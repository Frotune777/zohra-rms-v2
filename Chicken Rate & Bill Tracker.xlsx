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shboard" sheetId="1" r:id="rId4"/>
    <sheet state="hidden" name="Bill Entry" sheetId="2" r:id="rId5"/>
    <sheet state="hidden" name="Discrepancies" sheetId="3" r:id="rId6"/>
    <sheet state="hidden" name="PriceHistory" sheetId="4" r:id="rId7"/>
    <sheet state="visible" name="Raw Data" sheetId="5" r:id="rId8"/>
    <sheet state="visible" name="Bill" sheetId="6" r:id="rId9"/>
  </sheets>
  <definedNames/>
  <calcPr/>
</workbook>
</file>

<file path=xl/sharedStrings.xml><?xml version="1.0" encoding="utf-8"?>
<sst xmlns="http://schemas.openxmlformats.org/spreadsheetml/2006/main" count="79" uniqueCount="45">
  <si>
    <t>Billing Dashboard</t>
  </si>
  <si>
    <t>Total Mismatches Found:</t>
  </si>
  <si>
    <t>Date</t>
  </si>
  <si>
    <t>BillNo</t>
  </si>
  <si>
    <t>Item</t>
  </si>
  <si>
    <t>QtyReceived</t>
  </si>
  <si>
    <t>QtyDamaged</t>
  </si>
  <si>
    <t>VendorRate</t>
  </si>
  <si>
    <t>VendorAmount</t>
  </si>
  <si>
    <t>NetQty</t>
  </si>
  <si>
    <t>EffectiveRate</t>
  </si>
  <si>
    <t>ExpectedAmount</t>
  </si>
  <si>
    <t>VarianceAmt</t>
  </si>
  <si>
    <t>VariancePct</t>
  </si>
  <si>
    <t>Status</t>
  </si>
  <si>
    <t>Row</t>
  </si>
  <si>
    <t>Tandoori Paper Rate</t>
  </si>
  <si>
    <t>Boiler Paper Rate</t>
  </si>
  <si>
    <t>Egg Paper Rate</t>
  </si>
  <si>
    <t>Tandoori Effective Rate</t>
  </si>
  <si>
    <t>Spl Leg Effective Rate</t>
  </si>
  <si>
    <t>Boneless Effective Rate</t>
  </si>
  <si>
    <t>Full Leg Effective Rate</t>
  </si>
  <si>
    <t>Wings Effective Rate</t>
  </si>
  <si>
    <t>Dressing Tandoori Effective Rate</t>
  </si>
  <si>
    <t>Boiler Effective Rate</t>
  </si>
  <si>
    <t>Egg Effective Rate</t>
  </si>
  <si>
    <t xml:space="preserve"> </t>
  </si>
  <si>
    <t>Tandoor</t>
  </si>
  <si>
    <t>Boiler</t>
  </si>
  <si>
    <t>Egg</t>
  </si>
  <si>
    <t>``</t>
  </si>
  <si>
    <t>Bill</t>
  </si>
  <si>
    <t>Weight</t>
  </si>
  <si>
    <t>Tandoori</t>
  </si>
  <si>
    <t>Spl Leg</t>
  </si>
  <si>
    <t>Boneless</t>
  </si>
  <si>
    <t>Full Leg</t>
  </si>
  <si>
    <t>Wings</t>
  </si>
  <si>
    <t>Dressing Tandoori</t>
  </si>
  <si>
    <t>Chicken Bill</t>
  </si>
  <si>
    <t>Actual Bill</t>
  </si>
  <si>
    <t>Validate</t>
  </si>
  <si>
    <t>Difference</t>
  </si>
  <si>
    <t>Dressing Tandoor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</si>
</sst>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/YYYY"/>
    <numFmt numFmtId="166" formatCode="[$₹]#,##0.00"/>
    <numFmt numFmtId="167" formatCode="&quot;₹&quot;\ #,##0.00"/>
    <numFmt numFmtId="168" formatCode="_ &quot;₹&quot;\ * #,##0_ ;_ &quot;₹&quot;\ * \-#,##0_ ;_ &quot;₹&quot;\ * &quot;-&quot;??_ ;_ @_ "/>
    <numFmt numFmtId="169" formatCode="_ * #,##0.00_ ;_ * \-#,##0.00_ ;_ * &quot;-&quot;??_ ;_ @_ "/>
  </numFmts>
  <fonts count="18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color theme="0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ptos Narrow"/>
      <scheme val="minor"/>
    </font>
    <font>
      <sz val="11.0"/>
      <color theme="0"/>
      <name val="Aptos Narrow"/>
    </font>
    <font>
      <sz val="11.0"/>
      <color rgb="FFFFFFFF"/>
      <name val="Arial"/>
    </font>
    <font>
      <b/>
      <sz val="11.0"/>
      <color rgb="FFFFFFFF"/>
      <name val="Arial"/>
    </font>
    <font>
      <b/>
      <sz val="11.0"/>
      <color theme="1"/>
      <name val="Aptos Narrow"/>
    </font>
    <font/>
    <font>
      <b/>
      <sz val="11.0"/>
      <color rgb="FFFF0000"/>
      <name val="Aptos Narrow"/>
    </font>
    <font>
      <b/>
      <sz val="11.0"/>
      <color theme="0"/>
      <name val="Aptos Narrow"/>
    </font>
    <font>
      <sz val="11.0"/>
      <color rgb="FFFFFFFF"/>
      <name val="Aptos Narrow"/>
    </font>
    <font>
      <b/>
      <sz val="11.0"/>
      <color rgb="FFFFFFFF"/>
      <name val="Aptos Narrow"/>
    </font>
    <font>
      <sz val="11.0"/>
      <color rgb="FF000000"/>
      <name val="Aptos Narrow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000000"/>
        <bgColor rgb="FF000000"/>
      </patternFill>
    </fill>
    <fill>
      <patternFill patternType="solid">
        <fgColor rgb="FFC1F0C8"/>
        <bgColor rgb="FFC1F0C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5" numFmtId="166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6" numFmtId="0" xfId="0" applyFont="1"/>
    <xf borderId="0" fillId="2" fontId="1" numFmtId="0" xfId="0" applyFill="1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horizontal="center"/>
    </xf>
    <xf borderId="2" fillId="0" fontId="11" numFmtId="0" xfId="0" applyBorder="1" applyFont="1"/>
    <xf borderId="3" fillId="0" fontId="11" numFmtId="0" xfId="0" applyBorder="1" applyFont="1"/>
    <xf borderId="4" fillId="3" fontId="1" numFmtId="0" xfId="0" applyBorder="1" applyFill="1" applyFont="1"/>
    <xf borderId="4" fillId="0" fontId="1" numFmtId="0" xfId="0" applyBorder="1" applyFont="1"/>
    <xf borderId="4" fillId="4" fontId="12" numFmtId="168" xfId="0" applyBorder="1" applyFill="1" applyFont="1" applyNumberFormat="1"/>
    <xf borderId="5" fillId="0" fontId="10" numFmtId="0" xfId="0" applyAlignment="1" applyBorder="1" applyFont="1">
      <alignment horizontal="center"/>
    </xf>
    <xf borderId="4" fillId="5" fontId="13" numFmtId="0" xfId="0" applyBorder="1" applyFill="1" applyFont="1"/>
    <xf borderId="4" fillId="5" fontId="9" numFmtId="0" xfId="0" applyAlignment="1" applyBorder="1" applyFont="1">
      <alignment readingOrder="0"/>
    </xf>
    <xf borderId="4" fillId="0" fontId="14" numFmtId="0" xfId="0" applyBorder="1" applyFont="1"/>
    <xf borderId="4" fillId="6" fontId="8" numFmtId="0" xfId="0" applyAlignment="1" applyBorder="1" applyFill="1" applyFont="1">
      <alignment readingOrder="0"/>
    </xf>
    <xf borderId="4" fillId="0" fontId="15" numFmtId="0" xfId="0" applyBorder="1" applyFont="1"/>
    <xf borderId="4" fillId="3" fontId="16" numFmtId="0" xfId="0" applyBorder="1" applyFont="1"/>
    <xf borderId="4" fillId="0" fontId="7" numFmtId="0" xfId="0" applyBorder="1" applyFont="1"/>
    <xf borderId="4" fillId="0" fontId="8" numFmtId="0" xfId="0" applyAlignment="1" applyBorder="1" applyFont="1">
      <alignment readingOrder="0"/>
    </xf>
    <xf borderId="4" fillId="7" fontId="4" numFmtId="165" xfId="0" applyBorder="1" applyFill="1" applyFont="1" applyNumberFormat="1"/>
    <xf borderId="4" fillId="7" fontId="4" numFmtId="169" xfId="0" applyBorder="1" applyFont="1" applyNumberFormat="1"/>
    <xf borderId="4" fillId="0" fontId="4" numFmtId="165" xfId="0" applyBorder="1" applyFont="1" applyNumberFormat="1"/>
    <xf borderId="4" fillId="0" fontId="4" numFmtId="4" xfId="0" applyBorder="1" applyFont="1" applyNumberFormat="1"/>
    <xf borderId="4" fillId="0" fontId="10" numFmtId="4" xfId="0" applyBorder="1" applyFont="1" applyNumberFormat="1"/>
    <xf borderId="4" fillId="3" fontId="5" numFmtId="4" xfId="0" applyAlignment="1" applyBorder="1" applyFont="1" applyNumberFormat="1">
      <alignment readingOrder="0"/>
    </xf>
    <xf borderId="4" fillId="0" fontId="5" numFmtId="2" xfId="0" applyAlignment="1" applyBorder="1" applyFont="1" applyNumberFormat="1">
      <alignment readingOrder="0"/>
    </xf>
    <xf borderId="4" fillId="0" fontId="4" numFmtId="2" xfId="0" applyBorder="1" applyFont="1" applyNumberFormat="1"/>
    <xf borderId="4" fillId="0" fontId="4" numFmtId="169" xfId="0" applyBorder="1" applyFont="1" applyNumberFormat="1"/>
    <xf borderId="4" fillId="3" fontId="4" numFmtId="4" xfId="0" applyBorder="1" applyFont="1" applyNumberFormat="1"/>
    <xf borderId="4" fillId="3" fontId="5" numFmtId="2" xfId="0" applyAlignment="1" applyBorder="1" applyFont="1" applyNumberFormat="1">
      <alignment readingOrder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4" fillId="0" fontId="17" numFmtId="4" xfId="0" applyAlignment="1" applyBorder="1" applyFont="1" applyNumberFormat="1">
      <alignment readingOrder="0"/>
    </xf>
    <xf borderId="4" fillId="3" fontId="5" numFmtId="0" xfId="0" applyAlignment="1" applyBorder="1" applyFont="1">
      <alignment readingOrder="0"/>
    </xf>
    <xf borderId="0" fillId="0" fontId="4" numFmtId="0" xfId="0" applyFont="1"/>
    <xf borderId="4" fillId="0" fontId="5" numFmtId="0" xfId="0" applyAlignment="1" applyBorder="1" applyFont="1">
      <alignment readingOrder="0"/>
    </xf>
    <xf borderId="4" fillId="0" fontId="5" numFmtId="4" xfId="0" applyAlignment="1" applyBorder="1" applyFont="1" applyNumberFormat="1">
      <alignment readingOrder="0"/>
    </xf>
    <xf borderId="4" fillId="3" fontId="5" numFmtId="0" xfId="0" applyAlignment="1" applyBorder="1" applyFont="1">
      <alignment readingOrder="0"/>
    </xf>
    <xf borderId="4" fillId="3" fontId="5" numFmtId="4" xfId="0" applyBorder="1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>
        <color theme="0"/>
      </font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5">
    <tableStyle count="3" pivot="0" name="Raw Data-style">
      <tableStyleElement dxfId="1" type="headerRow"/>
      <tableStyleElement dxfId="2" type="firstRowStripe"/>
      <tableStyleElement dxfId="3" type="secondRowStripe"/>
    </tableStyle>
    <tableStyle count="3" pivot="0" name="Bill-style">
      <tableStyleElement dxfId="5" type="headerRow"/>
      <tableStyleElement dxfId="6" type="firstRowStripe"/>
      <tableStyleElement dxfId="3" type="secondRowStripe"/>
    </tableStyle>
    <tableStyle count="3" pivot="0" name="Bill-style 2">
      <tableStyleElement dxfId="7" type="headerRow"/>
      <tableStyleElement dxfId="2" type="firstRowStripe"/>
      <tableStyleElement dxfId="3" type="secondRowStripe"/>
    </tableStyle>
    <tableStyle count="3" pivot="0" name="Bill-style 3">
      <tableStyleElement dxfId="1" type="headerRow"/>
      <tableStyleElement dxfId="2" type="firstRowStripe"/>
      <tableStyleElement dxfId="3" type="secondRowStripe"/>
    </tableStyle>
    <tableStyle count="2" pivot="0" name="Bill-style 4">
      <tableStyleElement dxfId="2" type="firstRowStripe"/>
      <tableStyleElement dxfId="3" type="secondRowStripe"/>
    </tableStyle>
    <tableStyle count="2" pivot="0" name="Bill-style 5">
      <tableStyleElement dxfId="2" type="firstRowStripe"/>
      <tableStyleElement dxfId="3" type="secondRowStripe"/>
    </tableStyle>
    <tableStyle count="2" pivot="0" name="Bill-style 6">
      <tableStyleElement dxfId="3" type="firstRowStripe"/>
      <tableStyleElement dxfId="6" type="secondRowStripe"/>
    </tableStyle>
    <tableStyle count="2" pivot="0" name="Bill-style 7">
      <tableStyleElement dxfId="2" type="firstRowStripe"/>
      <tableStyleElement dxfId="3" type="secondRowStripe"/>
    </tableStyle>
    <tableStyle count="2" pivot="0" name="Bill-style 8">
      <tableStyleElement dxfId="2" type="firstRowStripe"/>
      <tableStyleElement dxfId="3" type="secondRowStripe"/>
    </tableStyle>
    <tableStyle count="2" pivot="0" name="Bill-style 9">
      <tableStyleElement dxfId="3" type="firstRowStripe"/>
      <tableStyleElement dxfId="6" type="secondRowStripe"/>
    </tableStyle>
    <tableStyle count="2" pivot="0" name="Bill-style 10">
      <tableStyleElement dxfId="2" type="firstRowStripe"/>
      <tableStyleElement dxfId="3" type="secondRowStripe"/>
    </tableStyle>
    <tableStyle count="2" pivot="0" name="Bill-style 11">
      <tableStyleElement dxfId="2" type="firstRowStripe"/>
      <tableStyleElement dxfId="3" type="secondRowStripe"/>
    </tableStyle>
    <tableStyle count="2" pivot="0" name="Bill-style 12">
      <tableStyleElement dxfId="3" type="firstRowStripe"/>
      <tableStyleElement dxfId="6" type="secondRowStripe"/>
    </tableStyle>
    <tableStyle count="4" pivot="0" name="Bill-style 13">
      <tableStyleElement dxfId="8" type="headerRow"/>
      <tableStyleElement dxfId="9" type="firstRowStripe"/>
      <tableStyleElement dxfId="9" type="secondRowStripe"/>
      <tableStyleElement dxfId="9" type="totalRow"/>
    </tableStyle>
    <tableStyle count="2" pivot="0" name="Bill-style 1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Tandoor, Boiler and Egg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'Raw Data'!$E$7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'Raw Data'!$D$8:$D$1000</c:f>
            </c:strRef>
          </c:cat>
          <c:val>
            <c:numRef>
              <c:f>'Raw Data'!$E$8:$E$1000</c:f>
              <c:numCache/>
            </c:numRef>
          </c:val>
          <c:smooth val="0"/>
        </c:ser>
        <c:ser>
          <c:idx val="1"/>
          <c:order val="1"/>
          <c:tx>
            <c:strRef>
              <c:f>'Raw Data'!$F$7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'Raw Data'!$D$8:$D$1000</c:f>
            </c:strRef>
          </c:cat>
          <c:val>
            <c:numRef>
              <c:f>'Raw Data'!$F$8:$F$1000</c:f>
              <c:numCache/>
            </c:numRef>
          </c:val>
          <c:smooth val="0"/>
        </c:ser>
        <c:ser>
          <c:idx val="2"/>
          <c:order val="2"/>
          <c:tx>
            <c:strRef>
              <c:f>'Raw Data'!$G$7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'Raw Data'!$D$8:$D$1000</c:f>
            </c:strRef>
          </c:cat>
          <c:val>
            <c:numRef>
              <c:f>'Raw Data'!$G$8:$G$1000</c:f>
              <c:numCache/>
            </c:numRef>
          </c:val>
          <c:smooth val="0"/>
        </c:ser>
        <c:axId val="1986980764"/>
        <c:axId val="2141200939"/>
      </c:lineChart>
      <c:catAx>
        <c:axId val="1986980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200939"/>
      </c:catAx>
      <c:valAx>
        <c:axId val="2141200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980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301</xdr:row>
      <xdr:rowOff>38100</xdr:rowOff>
    </xdr:from>
    <xdr:ext cx="7648575" cy="4724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7:G44" displayName="Table_1" name="Table_1" id="1">
  <tableColumns count="4">
    <tableColumn name="Date" id="1"/>
    <tableColumn name="Tandoor" id="2"/>
    <tableColumn name="Boiler" id="3"/>
    <tableColumn name="Egg" id="4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A5:I35" displayName="Table_2" name="Table_2" id="2">
  <tableColumns count="9">
    <tableColumn name="Date" id="1"/>
    <tableColumn name="Tandoori" id="2"/>
    <tableColumn name="Spl Leg" id="3"/>
    <tableColumn name="Boneless" id="4"/>
    <tableColumn name="Full Leg" id="5"/>
    <tableColumn name="Wings" id="6"/>
    <tableColumn name="Dressing Tandoori" id="7"/>
    <tableColumn name="Boiler" id="8"/>
    <tableColumn name="Egg" id="9"/>
  </tableColumns>
  <tableStyleInfo name="Bill-style" showColumnStripes="0" showFirstColumn="1" showLastColumn="1" showRowStripes="1"/>
</table>
</file>

<file path=xl/tables/table3.xml><?xml version="1.0" encoding="utf-8"?>
<table xmlns="http://schemas.openxmlformats.org/spreadsheetml/2006/main" ref="K5:W34" displayName="Table_3" name="Table_3" id="3">
  <tableColumns count="13">
    <tableColumn name="Date" id="1"/>
    <tableColumn name="Tandoori" id="2"/>
    <tableColumn name="Spl Leg" id="3"/>
    <tableColumn name="Boneless" id="4"/>
    <tableColumn name="Full Leg" id="5"/>
    <tableColumn name="Wings" id="6"/>
    <tableColumn name="Dressing Tandoori" id="7"/>
    <tableColumn name="Boiler" id="8"/>
    <tableColumn name="Egg" id="9"/>
    <tableColumn name="Chicken Bill" id="10"/>
    <tableColumn name="Actual Bill" id="11"/>
    <tableColumn name="Validate" id="12"/>
    <tableColumn name="Difference" id="13"/>
  </tableColumns>
  <tableStyleInfo name="Bill-style 2" showColumnStripes="0" showFirstColumn="1" showLastColumn="1" showRowStripes="1"/>
</table>
</file>

<file path=xl/tables/table4.xml><?xml version="1.0" encoding="utf-8"?>
<table xmlns="http://schemas.openxmlformats.org/spreadsheetml/2006/main" ref="Y5:AG34" displayName="Table_4" name="Table_4" id="4">
  <tableColumns count="9">
    <tableColumn name="Date" id="1"/>
    <tableColumn name="Dressing Tandoor" id="2"/>
    <tableColumn name="Tandoori" id="3"/>
    <tableColumn name="Spl Leg" id="4"/>
    <tableColumn name="Boneless" id="5"/>
    <tableColumn name="Full Leg" id="6"/>
    <tableColumn name="Wings" id="7"/>
    <tableColumn name="Boiler" id="8"/>
    <tableColumn name="Egg" id="9"/>
  </tableColumns>
  <tableStyleInfo name="Bill-style 3" showColumnStripes="0" showFirstColumn="1" showLastColumn="1" showRowStripes="1"/>
</table>
</file>

<file path=xl/tables/table5.xml><?xml version="1.0" encoding="utf-8"?>
<table xmlns="http://schemas.openxmlformats.org/spreadsheetml/2006/main" headerRowCount="0" ref="K35:W35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ill-style 4" showColumnStripes="0" showFirstColumn="1" showLastColumn="1" showRowStripes="1"/>
</table>
</file>

<file path=xl/tables/table6.xml><?xml version="1.0" encoding="utf-8"?>
<table xmlns="http://schemas.openxmlformats.org/spreadsheetml/2006/main" headerRowCount="0" ref="Y35:AG35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ll-style 5" showColumnStripes="0" showFirstColumn="1" showLastColumn="1" showRowStripes="1"/>
</table>
</file>

<file path=xl/tables/table7.xml><?xml version="1.0" encoding="utf-8"?>
<table xmlns="http://schemas.openxmlformats.org/spreadsheetml/2006/main" headerRowCount="0" ref="A36:I36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ll-style 6" showColumnStripes="0" showFirstColumn="1" showLastColumn="1" showRowStripes="1"/>
</table>
</file>

<file path=xl/tables/table8.xml><?xml version="1.0" encoding="utf-8"?>
<table xmlns="http://schemas.openxmlformats.org/spreadsheetml/2006/main" headerRowCount="0" ref="K36:W36" displayName="Table_8" name="Table_8" id="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ill-style 7" showColumnStripes="0" showFirstColumn="1" showLastColumn="1" showRowStripes="1"/>
</table>
</file>

<file path=xl/tables/table9.xml><?xml version="1.0" encoding="utf-8"?>
<table xmlns="http://schemas.openxmlformats.org/spreadsheetml/2006/main" headerRowCount="0" ref="Y36:AG36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ll-style 8" showColumnStripes="0" showFirstColumn="1" showLastColumn="1" showRowStripes="1"/>
</table>
</file>

<file path=xl/tables/table10.xml><?xml version="1.0" encoding="utf-8"?>
<table xmlns="http://schemas.openxmlformats.org/spreadsheetml/2006/main" headerRowCount="0" ref="A37:I37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ll-style 9" showColumnStripes="0" showFirstColumn="1" showLastColumn="1" showRowStripes="1"/>
</table>
</file>

<file path=xl/tables/table11.xml><?xml version="1.0" encoding="utf-8"?>
<table xmlns="http://schemas.openxmlformats.org/spreadsheetml/2006/main" headerRowCount="0" ref="K37:W37" displayName="Table_11" name="Table_11" id="1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ill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Y37:AG37" displayName="Table_12" name="Table_12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ll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A38:I1000" displayName="Table_13" name="Table_13" id="1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ll-style 12" showColumnStripes="0" showFirstColumn="1" showLastColumn="1" showRowStripes="1"/>
</table>
</file>

<file path=xl/tables/table14.xml><?xml version="1.0" encoding="utf-8"?>
<table xmlns="http://schemas.openxmlformats.org/spreadsheetml/2006/main" totalsRowCount="1" headerRowCount="0" ref="K38:W1000" displayName="Table_14" name="Table_14" id="14">
  <tableColumns count="1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ill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Y38:AG1000" displayName="Table_15" name="Table_15" id="1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ll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6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28" Type="http://schemas.openxmlformats.org/officeDocument/2006/relationships/table" Target="../tables/table14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Relationship Id="rId29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3">
      <c r="A3" s="1" t="s">
        <v>1</v>
      </c>
      <c r="B3" s="2">
        <f>COUNTA(Discrepancies!A2:A1000)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qref="C2:C1000">
      <formula1>"Tandoori,Spl Leg,Boneless,Full Leg,Wings,Dressing Tandoori,Boiler,Egg"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15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2</v>
      </c>
      <c r="B1" s="1" t="s">
        <v>16</v>
      </c>
      <c r="C1" s="1" t="s">
        <v>17</v>
      </c>
      <c r="D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>
      <c r="A2" s="3">
        <v>45878.0</v>
      </c>
      <c r="B2" s="4">
        <v>124.0</v>
      </c>
      <c r="C2" s="4">
        <v>105.0</v>
      </c>
      <c r="D2" s="4">
        <v>495.0</v>
      </c>
      <c r="F2" s="4">
        <v>144.0</v>
      </c>
      <c r="G2" s="4">
        <v>149.0</v>
      </c>
      <c r="H2" s="4">
        <v>200.0</v>
      </c>
      <c r="I2" s="4">
        <v>125.0</v>
      </c>
      <c r="J2" s="4">
        <v>130.0</v>
      </c>
      <c r="K2" s="4">
        <v>174.0</v>
      </c>
      <c r="L2" s="4">
        <v>125.0</v>
      </c>
      <c r="M2" s="4">
        <v>495.0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3" width="8.63"/>
    <col customWidth="1" min="4" max="5" width="10.38"/>
    <col customWidth="1" min="6" max="26" width="8.63"/>
  </cols>
  <sheetData>
    <row r="1">
      <c r="A1" s="5" t="s">
        <v>27</v>
      </c>
    </row>
    <row r="7">
      <c r="D7" s="6" t="s">
        <v>2</v>
      </c>
      <c r="E7" s="6" t="s">
        <v>28</v>
      </c>
      <c r="F7" s="6" t="s">
        <v>29</v>
      </c>
      <c r="G7" s="6" t="s">
        <v>30</v>
      </c>
      <c r="J7" s="2">
        <v>138.0</v>
      </c>
    </row>
    <row r="8">
      <c r="D8" s="7">
        <v>45564.0</v>
      </c>
      <c r="E8" s="8">
        <v>131.0</v>
      </c>
      <c r="F8" s="8">
        <v>118.0</v>
      </c>
      <c r="G8" s="8">
        <v>580.0</v>
      </c>
      <c r="J8" s="9">
        <f>J7-'Raw Data'!$F8</f>
        <v>20</v>
      </c>
    </row>
    <row r="9">
      <c r="D9" s="7">
        <f t="shared" ref="D9:D1000" si="1">D8+1</f>
        <v>45565</v>
      </c>
      <c r="E9" s="8">
        <v>131.0</v>
      </c>
      <c r="F9" s="8">
        <v>118.0</v>
      </c>
      <c r="G9" s="8">
        <v>580.0</v>
      </c>
    </row>
    <row r="10">
      <c r="D10" s="7">
        <f t="shared" si="1"/>
        <v>45566</v>
      </c>
      <c r="E10" s="8">
        <v>131.0</v>
      </c>
      <c r="F10" s="8">
        <v>118.0</v>
      </c>
      <c r="G10" s="8">
        <v>580.0</v>
      </c>
    </row>
    <row r="11">
      <c r="D11" s="7">
        <f t="shared" si="1"/>
        <v>45567</v>
      </c>
      <c r="E11" s="8">
        <v>131.0</v>
      </c>
      <c r="F11" s="8">
        <v>116.0</v>
      </c>
      <c r="G11" s="8">
        <v>580.0</v>
      </c>
    </row>
    <row r="12">
      <c r="D12" s="7">
        <f t="shared" si="1"/>
        <v>45568</v>
      </c>
      <c r="E12" s="8">
        <v>131.0</v>
      </c>
      <c r="F12" s="8">
        <v>116.0</v>
      </c>
      <c r="G12" s="8">
        <v>580.0</v>
      </c>
    </row>
    <row r="13">
      <c r="D13" s="7">
        <f t="shared" si="1"/>
        <v>45569</v>
      </c>
      <c r="E13" s="8">
        <v>131.0</v>
      </c>
      <c r="F13" s="8">
        <v>116.0</v>
      </c>
      <c r="G13" s="8">
        <v>560.0</v>
      </c>
    </row>
    <row r="14">
      <c r="D14" s="7">
        <f t="shared" si="1"/>
        <v>45570</v>
      </c>
      <c r="E14" s="8">
        <v>131.0</v>
      </c>
      <c r="F14" s="8">
        <v>118.0</v>
      </c>
      <c r="G14" s="8">
        <v>560.0</v>
      </c>
    </row>
    <row r="15">
      <c r="D15" s="7">
        <f t="shared" si="1"/>
        <v>45571</v>
      </c>
      <c r="E15" s="8">
        <v>133.0</v>
      </c>
      <c r="F15" s="8">
        <v>118.0</v>
      </c>
      <c r="G15" s="8">
        <v>560.0</v>
      </c>
    </row>
    <row r="16">
      <c r="D16" s="7">
        <f t="shared" si="1"/>
        <v>45572</v>
      </c>
      <c r="E16" s="8">
        <v>133.0</v>
      </c>
      <c r="F16" s="8">
        <v>118.0</v>
      </c>
      <c r="G16" s="8">
        <v>560.0</v>
      </c>
    </row>
    <row r="17">
      <c r="D17" s="7">
        <f t="shared" si="1"/>
        <v>45573</v>
      </c>
      <c r="E17" s="8">
        <v>133.0</v>
      </c>
      <c r="F17" s="8">
        <v>118.0</v>
      </c>
      <c r="G17" s="8">
        <v>560.0</v>
      </c>
    </row>
    <row r="18">
      <c r="D18" s="7">
        <f t="shared" si="1"/>
        <v>45574</v>
      </c>
      <c r="E18" s="8">
        <v>131.0</v>
      </c>
      <c r="F18" s="8">
        <v>114.0</v>
      </c>
      <c r="G18" s="8">
        <v>560.0</v>
      </c>
    </row>
    <row r="19">
      <c r="D19" s="7">
        <f t="shared" si="1"/>
        <v>45575</v>
      </c>
      <c r="E19" s="10">
        <v>131.0</v>
      </c>
      <c r="F19" s="10">
        <v>110.0</v>
      </c>
      <c r="G19" s="8">
        <v>560.0</v>
      </c>
    </row>
    <row r="20">
      <c r="D20" s="7">
        <f t="shared" si="1"/>
        <v>45576</v>
      </c>
      <c r="E20" s="10">
        <v>131.0</v>
      </c>
      <c r="F20" s="10">
        <v>110.0</v>
      </c>
      <c r="G20" s="8">
        <v>560.0</v>
      </c>
    </row>
    <row r="21" ht="15.75" customHeight="1">
      <c r="D21" s="7">
        <f t="shared" si="1"/>
        <v>45577</v>
      </c>
      <c r="E21" s="10">
        <v>133.0</v>
      </c>
      <c r="F21" s="10">
        <v>116.0</v>
      </c>
      <c r="G21" s="8">
        <v>560.0</v>
      </c>
    </row>
    <row r="22" ht="15.75" customHeight="1">
      <c r="D22" s="7">
        <f t="shared" si="1"/>
        <v>45578</v>
      </c>
      <c r="E22" s="10">
        <v>136.0</v>
      </c>
      <c r="F22" s="10">
        <v>127.0</v>
      </c>
      <c r="G22" s="8">
        <v>560.0</v>
      </c>
    </row>
    <row r="23" ht="15.75" customHeight="1">
      <c r="D23" s="7">
        <f t="shared" si="1"/>
        <v>45579</v>
      </c>
      <c r="E23" s="10">
        <v>138.0</v>
      </c>
      <c r="F23" s="10">
        <v>127.0</v>
      </c>
      <c r="G23" s="10">
        <v>562.0</v>
      </c>
    </row>
    <row r="24" ht="15.75" customHeight="1">
      <c r="D24" s="7">
        <f t="shared" si="1"/>
        <v>45580</v>
      </c>
      <c r="E24" s="10">
        <v>140.0</v>
      </c>
      <c r="F24" s="10">
        <v>127.0</v>
      </c>
      <c r="G24" s="10">
        <v>564.0</v>
      </c>
    </row>
    <row r="25" ht="15.75" customHeight="1">
      <c r="D25" s="7">
        <f t="shared" si="1"/>
        <v>45581</v>
      </c>
      <c r="E25" s="10">
        <v>140.0</v>
      </c>
      <c r="F25" s="10">
        <v>127.0</v>
      </c>
      <c r="G25" s="10">
        <v>564.0</v>
      </c>
    </row>
    <row r="26" ht="15.75" customHeight="1">
      <c r="D26" s="7">
        <f t="shared" si="1"/>
        <v>45582</v>
      </c>
      <c r="E26" s="10">
        <v>140.0</v>
      </c>
      <c r="F26" s="10">
        <v>127.0</v>
      </c>
      <c r="G26" s="10">
        <v>564.0</v>
      </c>
    </row>
    <row r="27" ht="15.75" customHeight="1">
      <c r="D27" s="7">
        <f t="shared" si="1"/>
        <v>45583</v>
      </c>
      <c r="E27" s="10">
        <v>142.0</v>
      </c>
      <c r="F27" s="10">
        <v>129.0</v>
      </c>
      <c r="G27" s="10">
        <v>564.0</v>
      </c>
    </row>
    <row r="28" ht="15.75" customHeight="1">
      <c r="D28" s="7">
        <f t="shared" si="1"/>
        <v>45584</v>
      </c>
      <c r="E28" s="10">
        <v>142.0</v>
      </c>
      <c r="F28" s="10">
        <v>129.0</v>
      </c>
      <c r="G28" s="10">
        <v>564.0</v>
      </c>
    </row>
    <row r="29" ht="15.75" customHeight="1">
      <c r="D29" s="7">
        <f t="shared" si="1"/>
        <v>45585</v>
      </c>
      <c r="E29" s="10">
        <v>142.0</v>
      </c>
      <c r="F29" s="10">
        <v>130.0</v>
      </c>
      <c r="G29" s="10">
        <v>565.0</v>
      </c>
    </row>
    <row r="30" ht="15.75" customHeight="1">
      <c r="D30" s="7">
        <f t="shared" si="1"/>
        <v>45586</v>
      </c>
      <c r="E30" s="10">
        <v>142.0</v>
      </c>
      <c r="F30" s="10">
        <v>130.0</v>
      </c>
      <c r="G30" s="10">
        <v>570.0</v>
      </c>
    </row>
    <row r="31" ht="15.75" customHeight="1">
      <c r="D31" s="7">
        <f t="shared" si="1"/>
        <v>45587</v>
      </c>
      <c r="E31" s="10">
        <v>142.0</v>
      </c>
      <c r="F31" s="10">
        <v>130.0</v>
      </c>
      <c r="G31" s="10">
        <v>575.0</v>
      </c>
    </row>
    <row r="32" ht="15.75" customHeight="1">
      <c r="D32" s="7">
        <f t="shared" si="1"/>
        <v>45588</v>
      </c>
      <c r="E32" s="10">
        <v>142.0</v>
      </c>
      <c r="F32" s="10">
        <v>132.0</v>
      </c>
      <c r="G32" s="10">
        <v>580.0</v>
      </c>
    </row>
    <row r="33" ht="15.75" customHeight="1">
      <c r="D33" s="7">
        <f t="shared" si="1"/>
        <v>45589</v>
      </c>
      <c r="E33" s="10">
        <v>142.0</v>
      </c>
      <c r="F33" s="10">
        <v>132.0</v>
      </c>
      <c r="G33" s="10">
        <v>585.0</v>
      </c>
    </row>
    <row r="34" ht="15.75" customHeight="1">
      <c r="D34" s="7">
        <f t="shared" si="1"/>
        <v>45590</v>
      </c>
      <c r="E34" s="11">
        <v>142.0</v>
      </c>
      <c r="F34" s="11">
        <v>134.0</v>
      </c>
      <c r="G34" s="11">
        <v>585.0</v>
      </c>
    </row>
    <row r="35" ht="15.75" customHeight="1">
      <c r="D35" s="7">
        <f t="shared" si="1"/>
        <v>45591</v>
      </c>
      <c r="E35" s="11">
        <v>144.0</v>
      </c>
      <c r="F35" s="11">
        <v>134.0</v>
      </c>
      <c r="G35" s="11">
        <v>585.0</v>
      </c>
    </row>
    <row r="36" ht="15.75" customHeight="1">
      <c r="D36" s="7">
        <f t="shared" si="1"/>
        <v>45592</v>
      </c>
      <c r="E36" s="11">
        <v>146.0</v>
      </c>
      <c r="F36" s="11">
        <v>136.0</v>
      </c>
      <c r="G36" s="11">
        <v>585.0</v>
      </c>
    </row>
    <row r="37" ht="15.75" customHeight="1">
      <c r="D37" s="7">
        <f t="shared" si="1"/>
        <v>45593</v>
      </c>
      <c r="E37" s="11">
        <v>148.0</v>
      </c>
      <c r="F37" s="11">
        <v>136.0</v>
      </c>
      <c r="G37" s="11">
        <v>580.0</v>
      </c>
    </row>
    <row r="38" ht="15.75" customHeight="1">
      <c r="D38" s="7">
        <f t="shared" si="1"/>
        <v>45594</v>
      </c>
      <c r="E38" s="11">
        <v>148.0</v>
      </c>
      <c r="F38" s="11">
        <v>136.0</v>
      </c>
      <c r="G38" s="11">
        <v>590.0</v>
      </c>
    </row>
    <row r="39" ht="15.75" customHeight="1">
      <c r="D39" s="7">
        <f t="shared" si="1"/>
        <v>45595</v>
      </c>
      <c r="E39" s="11">
        <v>148.0</v>
      </c>
      <c r="F39" s="11">
        <v>136.0</v>
      </c>
      <c r="G39" s="11">
        <v>590.0</v>
      </c>
    </row>
    <row r="40" ht="15.75" customHeight="1">
      <c r="D40" s="7">
        <f t="shared" si="1"/>
        <v>45596</v>
      </c>
      <c r="E40" s="11">
        <v>148.0</v>
      </c>
      <c r="F40" s="11">
        <v>136.0</v>
      </c>
      <c r="G40" s="11">
        <v>606.0</v>
      </c>
    </row>
    <row r="41" ht="15.75" customHeight="1">
      <c r="D41" s="7">
        <f t="shared" si="1"/>
        <v>45597</v>
      </c>
      <c r="E41" s="11">
        <v>148.0</v>
      </c>
      <c r="F41" s="11">
        <v>138.0</v>
      </c>
      <c r="G41" s="11">
        <v>606.0</v>
      </c>
    </row>
    <row r="42" ht="15.75" customHeight="1">
      <c r="D42" s="7">
        <f t="shared" si="1"/>
        <v>45598</v>
      </c>
      <c r="E42" s="11">
        <v>148.0</v>
      </c>
      <c r="F42" s="11">
        <v>144.0</v>
      </c>
      <c r="G42" s="11">
        <v>606.0</v>
      </c>
    </row>
    <row r="43" ht="15.75" customHeight="1">
      <c r="D43" s="7">
        <f t="shared" si="1"/>
        <v>45599</v>
      </c>
      <c r="E43" s="11">
        <v>150.0</v>
      </c>
      <c r="F43" s="11">
        <v>150.0</v>
      </c>
      <c r="G43" s="11">
        <v>606.0</v>
      </c>
    </row>
    <row r="44" ht="15.75" customHeight="1">
      <c r="D44" s="7">
        <f t="shared" si="1"/>
        <v>45600</v>
      </c>
      <c r="E44" s="11">
        <v>150.0</v>
      </c>
      <c r="F44" s="11">
        <v>150.0</v>
      </c>
      <c r="G44" s="11">
        <v>606.0</v>
      </c>
    </row>
    <row r="45" ht="15.75" customHeight="1">
      <c r="D45" s="7">
        <f t="shared" si="1"/>
        <v>45601</v>
      </c>
      <c r="E45" s="11">
        <v>150.0</v>
      </c>
      <c r="F45" s="11">
        <v>146.0</v>
      </c>
      <c r="G45" s="11">
        <v>606.0</v>
      </c>
    </row>
    <row r="46" ht="15.75" customHeight="1">
      <c r="D46" s="7">
        <f t="shared" si="1"/>
        <v>45602</v>
      </c>
      <c r="E46" s="11">
        <v>150.0</v>
      </c>
      <c r="F46" s="11">
        <v>141.0</v>
      </c>
      <c r="G46" s="11">
        <v>611.0</v>
      </c>
    </row>
    <row r="47" ht="15.75" customHeight="1">
      <c r="D47" s="7">
        <f t="shared" si="1"/>
        <v>45603</v>
      </c>
      <c r="E47" s="10">
        <v>148.0</v>
      </c>
      <c r="F47" s="10">
        <v>141.0</v>
      </c>
      <c r="G47" s="10">
        <v>611.0</v>
      </c>
    </row>
    <row r="48" ht="15.75" customHeight="1">
      <c r="D48" s="7">
        <f t="shared" si="1"/>
        <v>45604</v>
      </c>
      <c r="E48" s="10">
        <v>148.0</v>
      </c>
      <c r="F48" s="10">
        <v>141.0</v>
      </c>
      <c r="G48" s="10">
        <v>615.0</v>
      </c>
    </row>
    <row r="49" ht="15.75" customHeight="1">
      <c r="D49" s="7">
        <f t="shared" si="1"/>
        <v>45605</v>
      </c>
      <c r="E49" s="10">
        <v>148.0</v>
      </c>
      <c r="F49" s="10">
        <v>141.0</v>
      </c>
      <c r="G49" s="10">
        <v>615.0</v>
      </c>
    </row>
    <row r="50" ht="15.75" customHeight="1">
      <c r="D50" s="7">
        <f t="shared" si="1"/>
        <v>45606</v>
      </c>
      <c r="E50" s="10">
        <v>148.0</v>
      </c>
      <c r="F50" s="10">
        <v>139.0</v>
      </c>
      <c r="G50" s="10">
        <v>615.0</v>
      </c>
    </row>
    <row r="51" ht="15.75" customHeight="1">
      <c r="D51" s="7">
        <f t="shared" si="1"/>
        <v>45607</v>
      </c>
      <c r="E51" s="10">
        <v>148.0</v>
      </c>
      <c r="F51" s="10">
        <v>139.0</v>
      </c>
      <c r="G51" s="10">
        <v>615.0</v>
      </c>
    </row>
    <row r="52" ht="15.75" customHeight="1">
      <c r="D52" s="7">
        <f t="shared" si="1"/>
        <v>45608</v>
      </c>
      <c r="E52" s="10">
        <v>146.0</v>
      </c>
      <c r="F52" s="10">
        <v>136.0</v>
      </c>
      <c r="G52" s="10">
        <v>615.0</v>
      </c>
    </row>
    <row r="53" ht="15.75" customHeight="1">
      <c r="D53" s="7">
        <f t="shared" si="1"/>
        <v>45609</v>
      </c>
      <c r="E53" s="10">
        <v>142.0</v>
      </c>
      <c r="F53" s="10">
        <v>130.0</v>
      </c>
      <c r="G53" s="10">
        <v>600.0</v>
      </c>
    </row>
    <row r="54" ht="15.75" customHeight="1">
      <c r="D54" s="7">
        <f t="shared" si="1"/>
        <v>45610</v>
      </c>
      <c r="E54" s="10">
        <v>138.0</v>
      </c>
      <c r="F54" s="10">
        <v>124.0</v>
      </c>
      <c r="G54" s="10">
        <v>600.0</v>
      </c>
    </row>
    <row r="55" ht="15.75" customHeight="1">
      <c r="D55" s="7">
        <f t="shared" si="1"/>
        <v>45611</v>
      </c>
      <c r="E55" s="10">
        <v>136.0</v>
      </c>
      <c r="F55" s="10">
        <v>117.0</v>
      </c>
      <c r="G55" s="10">
        <v>600.0</v>
      </c>
    </row>
    <row r="56" ht="15.75" customHeight="1">
      <c r="D56" s="7">
        <f t="shared" si="1"/>
        <v>45612</v>
      </c>
      <c r="E56" s="10">
        <v>136.0</v>
      </c>
      <c r="F56" s="10">
        <v>117.0</v>
      </c>
      <c r="G56" s="10">
        <v>600.0</v>
      </c>
    </row>
    <row r="57" ht="15.75" customHeight="1">
      <c r="D57" s="7">
        <f t="shared" si="1"/>
        <v>45613</v>
      </c>
      <c r="E57" s="10">
        <v>136.0</v>
      </c>
      <c r="F57" s="10">
        <v>117.0</v>
      </c>
      <c r="G57" s="10">
        <v>610.0</v>
      </c>
    </row>
    <row r="58" ht="15.75" customHeight="1">
      <c r="D58" s="7">
        <f t="shared" si="1"/>
        <v>45614</v>
      </c>
      <c r="E58" s="10">
        <v>136.0</v>
      </c>
      <c r="F58" s="10">
        <v>117.0</v>
      </c>
      <c r="G58" s="10">
        <v>610.0</v>
      </c>
    </row>
    <row r="59" ht="15.75" customHeight="1">
      <c r="D59" s="7">
        <f t="shared" si="1"/>
        <v>45615</v>
      </c>
      <c r="E59" s="10">
        <v>136.0</v>
      </c>
      <c r="F59" s="10">
        <v>115.0</v>
      </c>
      <c r="G59" s="10">
        <v>630.0</v>
      </c>
    </row>
    <row r="60" ht="15.75" customHeight="1">
      <c r="D60" s="7">
        <f t="shared" si="1"/>
        <v>45616</v>
      </c>
      <c r="E60" s="10">
        <v>132.0</v>
      </c>
      <c r="F60" s="10">
        <v>115.0</v>
      </c>
      <c r="G60" s="10">
        <v>630.0</v>
      </c>
    </row>
    <row r="61" ht="15.75" customHeight="1">
      <c r="D61" s="7">
        <f t="shared" si="1"/>
        <v>45617</v>
      </c>
      <c r="E61" s="10">
        <v>132.0</v>
      </c>
      <c r="F61" s="10">
        <v>115.0</v>
      </c>
      <c r="G61" s="10">
        <v>630.0</v>
      </c>
    </row>
    <row r="62" ht="15.75" customHeight="1">
      <c r="D62" s="7">
        <f t="shared" si="1"/>
        <v>45618</v>
      </c>
      <c r="E62" s="10">
        <v>130.0</v>
      </c>
      <c r="F62" s="10">
        <v>111.0</v>
      </c>
      <c r="G62" s="10">
        <v>630.0</v>
      </c>
    </row>
    <row r="63" ht="15.75" customHeight="1">
      <c r="D63" s="7">
        <f t="shared" si="1"/>
        <v>45619</v>
      </c>
      <c r="E63" s="10">
        <v>130.0</v>
      </c>
      <c r="F63" s="10">
        <v>113.0</v>
      </c>
      <c r="G63" s="10">
        <v>630.0</v>
      </c>
    </row>
    <row r="64" ht="15.75" customHeight="1">
      <c r="D64" s="7">
        <f t="shared" si="1"/>
        <v>45620</v>
      </c>
      <c r="E64" s="10">
        <v>130.0</v>
      </c>
      <c r="F64" s="10">
        <v>115.0</v>
      </c>
      <c r="G64" s="10">
        <v>640.0</v>
      </c>
    </row>
    <row r="65" ht="15.75" customHeight="1">
      <c r="D65" s="7">
        <f t="shared" si="1"/>
        <v>45621</v>
      </c>
      <c r="E65" s="10">
        <v>130.0</v>
      </c>
      <c r="F65" s="10">
        <v>115.0</v>
      </c>
      <c r="G65" s="10">
        <v>645.0</v>
      </c>
    </row>
    <row r="66" ht="15.75" customHeight="1">
      <c r="D66" s="7">
        <f t="shared" si="1"/>
        <v>45622</v>
      </c>
      <c r="E66" s="10">
        <v>128.0</v>
      </c>
      <c r="F66" s="10">
        <v>115.0</v>
      </c>
      <c r="G66" s="10">
        <v>651.0</v>
      </c>
    </row>
    <row r="67" ht="15.75" customHeight="1">
      <c r="D67" s="7">
        <f t="shared" si="1"/>
        <v>45623</v>
      </c>
      <c r="E67" s="10">
        <v>126.0</v>
      </c>
      <c r="F67" s="10">
        <v>113.0</v>
      </c>
      <c r="G67" s="10">
        <v>651.0</v>
      </c>
    </row>
    <row r="68" ht="15.75" customHeight="1">
      <c r="D68" s="7">
        <f t="shared" si="1"/>
        <v>45624</v>
      </c>
      <c r="E68" s="10">
        <v>124.0</v>
      </c>
      <c r="F68" s="10">
        <v>111.0</v>
      </c>
      <c r="G68" s="10">
        <v>651.0</v>
      </c>
    </row>
    <row r="69" ht="15.75" customHeight="1">
      <c r="D69" s="7">
        <f t="shared" si="1"/>
        <v>45625</v>
      </c>
      <c r="E69" s="10">
        <v>124.0</v>
      </c>
      <c r="F69" s="10">
        <v>111.0</v>
      </c>
      <c r="G69" s="10">
        <v>655.0</v>
      </c>
    </row>
    <row r="70" ht="15.75" customHeight="1">
      <c r="D70" s="7">
        <f t="shared" si="1"/>
        <v>45626</v>
      </c>
      <c r="E70" s="10">
        <v>126.0</v>
      </c>
      <c r="F70" s="10">
        <v>111.0</v>
      </c>
      <c r="G70" s="10">
        <v>655.0</v>
      </c>
    </row>
    <row r="71" ht="15.75" customHeight="1">
      <c r="D71" s="7">
        <f t="shared" si="1"/>
        <v>45627</v>
      </c>
      <c r="E71" s="10">
        <v>128.0</v>
      </c>
      <c r="F71" s="12">
        <v>111.0</v>
      </c>
      <c r="G71" s="12">
        <v>660.0</v>
      </c>
    </row>
    <row r="72" ht="15.75" customHeight="1">
      <c r="D72" s="7">
        <f t="shared" si="1"/>
        <v>45628</v>
      </c>
      <c r="E72" s="12">
        <v>128.0</v>
      </c>
      <c r="F72" s="12">
        <v>111.0</v>
      </c>
      <c r="G72" s="12">
        <v>665.0</v>
      </c>
    </row>
    <row r="73" ht="15.75" customHeight="1">
      <c r="D73" s="7">
        <f t="shared" si="1"/>
        <v>45629</v>
      </c>
      <c r="E73" s="12">
        <v>128.0</v>
      </c>
      <c r="F73" s="12">
        <v>107.0</v>
      </c>
      <c r="G73" s="12">
        <v>675.0</v>
      </c>
    </row>
    <row r="74" ht="15.75" customHeight="1">
      <c r="D74" s="7">
        <f t="shared" si="1"/>
        <v>45630</v>
      </c>
      <c r="E74" s="12">
        <v>128.0</v>
      </c>
      <c r="F74" s="12">
        <v>107.0</v>
      </c>
      <c r="G74" s="12">
        <v>675.0</v>
      </c>
    </row>
    <row r="75" ht="15.75" customHeight="1">
      <c r="D75" s="7">
        <f t="shared" si="1"/>
        <v>45631</v>
      </c>
      <c r="E75" s="12">
        <v>128.0</v>
      </c>
      <c r="F75" s="12">
        <v>107.0</v>
      </c>
      <c r="G75" s="12">
        <v>675.0</v>
      </c>
    </row>
    <row r="76" ht="15.75" customHeight="1">
      <c r="D76" s="7">
        <f t="shared" si="1"/>
        <v>45632</v>
      </c>
      <c r="E76" s="12">
        <v>128.0</v>
      </c>
      <c r="F76" s="12">
        <v>105.0</v>
      </c>
      <c r="G76" s="12">
        <v>675.0</v>
      </c>
    </row>
    <row r="77" ht="15.75" customHeight="1">
      <c r="D77" s="7">
        <f t="shared" si="1"/>
        <v>45633</v>
      </c>
      <c r="E77" s="12">
        <v>126.0</v>
      </c>
      <c r="F77" s="12">
        <v>100.0</v>
      </c>
      <c r="G77" s="12">
        <v>675.0</v>
      </c>
    </row>
    <row r="78" ht="15.75" customHeight="1">
      <c r="D78" s="7">
        <f t="shared" si="1"/>
        <v>45634</v>
      </c>
      <c r="E78" s="12">
        <v>128.0</v>
      </c>
      <c r="F78" s="12">
        <v>102.0</v>
      </c>
      <c r="G78" s="12">
        <v>675.0</v>
      </c>
    </row>
    <row r="79" ht="15.75" customHeight="1">
      <c r="D79" s="7">
        <f t="shared" si="1"/>
        <v>45635</v>
      </c>
      <c r="E79" s="12">
        <v>126.0</v>
      </c>
      <c r="F79" s="12">
        <v>102.0</v>
      </c>
      <c r="G79" s="12">
        <v>675.0</v>
      </c>
    </row>
    <row r="80" ht="15.75" customHeight="1">
      <c r="D80" s="7">
        <f t="shared" si="1"/>
        <v>45636</v>
      </c>
      <c r="E80" s="12">
        <v>126.0</v>
      </c>
      <c r="F80" s="12">
        <v>102.0</v>
      </c>
      <c r="G80" s="12">
        <v>675.0</v>
      </c>
    </row>
    <row r="81" ht="15.75" customHeight="1">
      <c r="D81" s="7">
        <f t="shared" si="1"/>
        <v>45637</v>
      </c>
      <c r="E81" s="12">
        <v>124.0</v>
      </c>
      <c r="F81" s="12">
        <v>102.0</v>
      </c>
      <c r="G81" s="12">
        <v>675.0</v>
      </c>
    </row>
    <row r="82" ht="15.75" customHeight="1">
      <c r="D82" s="7">
        <f t="shared" si="1"/>
        <v>45638</v>
      </c>
      <c r="E82" s="12">
        <v>124.0</v>
      </c>
      <c r="F82" s="12">
        <v>104.0</v>
      </c>
      <c r="G82" s="12">
        <v>675.0</v>
      </c>
    </row>
    <row r="83" ht="15.75" customHeight="1">
      <c r="D83" s="7">
        <f t="shared" si="1"/>
        <v>45639</v>
      </c>
      <c r="E83" s="12">
        <v>126.0</v>
      </c>
      <c r="F83" s="12">
        <v>111.0</v>
      </c>
      <c r="G83" s="12">
        <v>675.0</v>
      </c>
    </row>
    <row r="84" ht="15.75" customHeight="1">
      <c r="D84" s="7">
        <f t="shared" si="1"/>
        <v>45640</v>
      </c>
      <c r="E84" s="12">
        <v>128.0</v>
      </c>
      <c r="F84" s="12">
        <v>123.0</v>
      </c>
      <c r="G84" s="12">
        <v>675.0</v>
      </c>
    </row>
    <row r="85" ht="15.75" customHeight="1">
      <c r="D85" s="7">
        <f t="shared" si="1"/>
        <v>45641</v>
      </c>
      <c r="E85" s="12">
        <v>130.0</v>
      </c>
      <c r="F85" s="12">
        <v>123.0</v>
      </c>
      <c r="G85" s="12">
        <v>675.0</v>
      </c>
    </row>
    <row r="86" ht="15.75" customHeight="1">
      <c r="D86" s="7">
        <f t="shared" si="1"/>
        <v>45642</v>
      </c>
      <c r="E86" s="12">
        <v>130.0</v>
      </c>
      <c r="F86" s="12">
        <v>123.0</v>
      </c>
      <c r="G86" s="12">
        <v>665.0</v>
      </c>
    </row>
    <row r="87" ht="15.75" customHeight="1">
      <c r="D87" s="7">
        <f t="shared" si="1"/>
        <v>45643</v>
      </c>
      <c r="E87" s="12">
        <v>132.0</v>
      </c>
      <c r="F87" s="12">
        <v>121.0</v>
      </c>
      <c r="G87" s="12">
        <v>655.0</v>
      </c>
    </row>
    <row r="88" ht="15.75" customHeight="1">
      <c r="D88" s="7">
        <f t="shared" si="1"/>
        <v>45644</v>
      </c>
      <c r="E88" s="12">
        <v>132.0</v>
      </c>
      <c r="F88" s="12">
        <v>113.0</v>
      </c>
      <c r="G88" s="12">
        <v>645.0</v>
      </c>
    </row>
    <row r="89" ht="15.75" customHeight="1">
      <c r="D89" s="7">
        <f t="shared" si="1"/>
        <v>45645</v>
      </c>
      <c r="E89" s="12">
        <v>132.0</v>
      </c>
      <c r="F89" s="12">
        <v>109.0</v>
      </c>
      <c r="G89" s="12">
        <v>635.0</v>
      </c>
    </row>
    <row r="90" ht="15.75" customHeight="1">
      <c r="D90" s="7">
        <f t="shared" si="1"/>
        <v>45646</v>
      </c>
      <c r="E90" s="12">
        <v>132.0</v>
      </c>
      <c r="F90" s="12">
        <v>109.0</v>
      </c>
      <c r="G90" s="12">
        <v>625.0</v>
      </c>
    </row>
    <row r="91" ht="15.75" customHeight="1">
      <c r="A91" s="5" t="s">
        <v>27</v>
      </c>
      <c r="D91" s="7">
        <f t="shared" si="1"/>
        <v>45647</v>
      </c>
      <c r="E91" s="12">
        <v>132.0</v>
      </c>
      <c r="F91" s="12">
        <v>111.0</v>
      </c>
      <c r="G91" s="12">
        <v>625.0</v>
      </c>
    </row>
    <row r="92" ht="15.75" customHeight="1">
      <c r="D92" s="7">
        <f t="shared" si="1"/>
        <v>45648</v>
      </c>
      <c r="E92" s="12">
        <v>132.0</v>
      </c>
      <c r="F92" s="12">
        <v>111.0</v>
      </c>
      <c r="G92" s="12">
        <v>620.0</v>
      </c>
    </row>
    <row r="93" ht="15.75" customHeight="1">
      <c r="D93" s="7">
        <f t="shared" si="1"/>
        <v>45649</v>
      </c>
      <c r="E93" s="12">
        <v>132.0</v>
      </c>
      <c r="F93" s="12">
        <v>111.0</v>
      </c>
      <c r="G93" s="12">
        <v>620.0</v>
      </c>
    </row>
    <row r="94" ht="15.75" customHeight="1">
      <c r="D94" s="7">
        <f t="shared" si="1"/>
        <v>45650</v>
      </c>
      <c r="E94" s="12">
        <v>132.0</v>
      </c>
      <c r="F94" s="12">
        <v>111.0</v>
      </c>
      <c r="G94" s="12">
        <v>620.0</v>
      </c>
    </row>
    <row r="95" ht="15.75" customHeight="1">
      <c r="D95" s="7">
        <f t="shared" si="1"/>
        <v>45651</v>
      </c>
      <c r="E95" s="12">
        <v>132.0</v>
      </c>
      <c r="F95" s="12">
        <v>113.0</v>
      </c>
      <c r="G95" s="12">
        <v>630.0</v>
      </c>
    </row>
    <row r="96" ht="15.75" customHeight="1">
      <c r="D96" s="7">
        <f t="shared" si="1"/>
        <v>45652</v>
      </c>
      <c r="E96" s="12">
        <v>132.0</v>
      </c>
      <c r="F96" s="12">
        <v>115.0</v>
      </c>
      <c r="G96" s="12">
        <v>635.0</v>
      </c>
    </row>
    <row r="97" ht="15.75" customHeight="1">
      <c r="D97" s="7">
        <f t="shared" si="1"/>
        <v>45653</v>
      </c>
      <c r="E97" s="12">
        <v>136.0</v>
      </c>
      <c r="F97" s="12">
        <v>117.0</v>
      </c>
      <c r="G97" s="12">
        <v>635.0</v>
      </c>
    </row>
    <row r="98" ht="15.75" customHeight="1">
      <c r="D98" s="7">
        <f t="shared" si="1"/>
        <v>45654</v>
      </c>
      <c r="E98" s="12">
        <v>138.0</v>
      </c>
      <c r="F98" s="12">
        <v>117.0</v>
      </c>
      <c r="G98" s="12">
        <v>635.0</v>
      </c>
    </row>
    <row r="99" ht="15.75" customHeight="1">
      <c r="D99" s="7">
        <f t="shared" si="1"/>
        <v>45655</v>
      </c>
      <c r="E99" s="12">
        <v>138.0</v>
      </c>
      <c r="F99" s="12">
        <v>117.0</v>
      </c>
      <c r="G99" s="12">
        <v>615.0</v>
      </c>
    </row>
    <row r="100" ht="15.75" customHeight="1">
      <c r="D100" s="7">
        <f t="shared" si="1"/>
        <v>45656</v>
      </c>
      <c r="E100" s="12">
        <v>138.0</v>
      </c>
      <c r="F100" s="12">
        <v>117.0</v>
      </c>
      <c r="G100" s="12">
        <v>595.0</v>
      </c>
    </row>
    <row r="101" ht="15.75" customHeight="1">
      <c r="D101" s="7">
        <f t="shared" si="1"/>
        <v>45657</v>
      </c>
      <c r="E101" s="12">
        <v>138.0</v>
      </c>
      <c r="F101" s="12">
        <v>117.0</v>
      </c>
      <c r="G101" s="12">
        <v>575.0</v>
      </c>
    </row>
    <row r="102" ht="15.75" customHeight="1">
      <c r="D102" s="7">
        <f t="shared" si="1"/>
        <v>45658</v>
      </c>
      <c r="E102" s="12">
        <v>138.0</v>
      </c>
      <c r="F102" s="12">
        <v>117.0</v>
      </c>
      <c r="G102" s="12">
        <v>580.0</v>
      </c>
    </row>
    <row r="103" ht="15.75" customHeight="1">
      <c r="D103" s="7">
        <f t="shared" si="1"/>
        <v>45659</v>
      </c>
      <c r="E103" s="12">
        <v>136.0</v>
      </c>
      <c r="F103" s="12">
        <v>115.0</v>
      </c>
      <c r="G103" s="12">
        <v>580.0</v>
      </c>
    </row>
    <row r="104" ht="15.75" customHeight="1">
      <c r="D104" s="7">
        <f t="shared" si="1"/>
        <v>45660</v>
      </c>
      <c r="E104" s="12">
        <v>132.0</v>
      </c>
      <c r="F104" s="12">
        <v>115.0</v>
      </c>
      <c r="G104" s="12">
        <v>585.0</v>
      </c>
    </row>
    <row r="105" ht="15.75" customHeight="1">
      <c r="D105" s="7">
        <f t="shared" si="1"/>
        <v>45661</v>
      </c>
      <c r="E105" s="12">
        <v>132.0</v>
      </c>
      <c r="F105" s="12">
        <v>117.0</v>
      </c>
      <c r="G105" s="12">
        <v>585.0</v>
      </c>
    </row>
    <row r="106" ht="15.75" customHeight="1">
      <c r="D106" s="7">
        <f t="shared" si="1"/>
        <v>45662</v>
      </c>
      <c r="E106" s="12">
        <v>132.0</v>
      </c>
      <c r="F106" s="12">
        <v>123.0</v>
      </c>
      <c r="G106" s="12">
        <v>570.0</v>
      </c>
    </row>
    <row r="107" ht="15.75" customHeight="1">
      <c r="D107" s="7">
        <f t="shared" si="1"/>
        <v>45663</v>
      </c>
      <c r="E107" s="12">
        <v>132.0</v>
      </c>
      <c r="F107" s="12">
        <v>123.0</v>
      </c>
      <c r="G107" s="12">
        <v>550.0</v>
      </c>
    </row>
    <row r="108" ht="15.75" customHeight="1">
      <c r="D108" s="7">
        <f t="shared" si="1"/>
        <v>45664</v>
      </c>
      <c r="E108" s="12">
        <v>132.0</v>
      </c>
      <c r="F108" s="12">
        <v>124.0</v>
      </c>
      <c r="G108" s="12">
        <v>550.0</v>
      </c>
    </row>
    <row r="109" ht="15.75" customHeight="1">
      <c r="D109" s="7">
        <f t="shared" si="1"/>
        <v>45665</v>
      </c>
      <c r="E109" s="12">
        <v>136.0</v>
      </c>
      <c r="F109" s="12">
        <v>128.0</v>
      </c>
      <c r="G109" s="12">
        <v>550.0</v>
      </c>
    </row>
    <row r="110" ht="15.75" customHeight="1">
      <c r="D110" s="7">
        <f t="shared" si="1"/>
        <v>45666</v>
      </c>
      <c r="E110" s="12">
        <v>136.0</v>
      </c>
      <c r="F110" s="12">
        <v>128.0</v>
      </c>
      <c r="G110" s="12">
        <v>550.0</v>
      </c>
    </row>
    <row r="111" ht="15.75" customHeight="1">
      <c r="D111" s="7">
        <f t="shared" si="1"/>
        <v>45667</v>
      </c>
      <c r="E111" s="12">
        <v>138.0</v>
      </c>
      <c r="F111" s="12">
        <v>130.0</v>
      </c>
      <c r="G111" s="12">
        <v>555.0</v>
      </c>
    </row>
    <row r="112" ht="15.75" customHeight="1">
      <c r="D112" s="7">
        <f t="shared" si="1"/>
        <v>45668</v>
      </c>
      <c r="E112" s="12">
        <v>138.0</v>
      </c>
      <c r="F112" s="12">
        <v>130.0</v>
      </c>
      <c r="G112" s="12">
        <v>555.0</v>
      </c>
    </row>
    <row r="113" ht="15.75" customHeight="1">
      <c r="D113" s="7">
        <f t="shared" si="1"/>
        <v>45669</v>
      </c>
      <c r="E113" s="12">
        <v>138.0</v>
      </c>
      <c r="F113" s="12">
        <v>130.0</v>
      </c>
      <c r="G113" s="12">
        <v>555.0</v>
      </c>
    </row>
    <row r="114" ht="15.75" customHeight="1">
      <c r="D114" s="7">
        <f t="shared" si="1"/>
        <v>45670</v>
      </c>
      <c r="E114" s="12">
        <v>138.0</v>
      </c>
      <c r="F114" s="12">
        <v>128.0</v>
      </c>
      <c r="G114" s="12">
        <v>555.0</v>
      </c>
    </row>
    <row r="115" ht="15.75" customHeight="1">
      <c r="D115" s="7">
        <f t="shared" si="1"/>
        <v>45671</v>
      </c>
      <c r="E115" s="12">
        <v>138.0</v>
      </c>
      <c r="F115" s="12">
        <v>128.0</v>
      </c>
      <c r="G115" s="12">
        <v>540.0</v>
      </c>
    </row>
    <row r="116" ht="15.75" customHeight="1">
      <c r="D116" s="7">
        <f t="shared" si="1"/>
        <v>45672</v>
      </c>
      <c r="E116" s="12">
        <v>138.0</v>
      </c>
      <c r="F116" s="12">
        <v>128.0</v>
      </c>
      <c r="G116" s="12">
        <v>540.0</v>
      </c>
    </row>
    <row r="117" ht="15.75" customHeight="1">
      <c r="D117" s="7">
        <f t="shared" si="1"/>
        <v>45673</v>
      </c>
      <c r="E117" s="12">
        <v>136.0</v>
      </c>
      <c r="F117" s="12">
        <v>128.0</v>
      </c>
      <c r="G117" s="12">
        <v>540.0</v>
      </c>
    </row>
    <row r="118" ht="15.75" customHeight="1">
      <c r="D118" s="7">
        <f t="shared" si="1"/>
        <v>45674</v>
      </c>
      <c r="E118" s="12">
        <v>136.0</v>
      </c>
      <c r="F118" s="12">
        <v>128.0</v>
      </c>
      <c r="G118" s="12">
        <v>540.0</v>
      </c>
    </row>
    <row r="119" ht="15.75" customHeight="1">
      <c r="D119" s="7">
        <f t="shared" si="1"/>
        <v>45675</v>
      </c>
      <c r="E119" s="12">
        <v>136.0</v>
      </c>
      <c r="F119" s="12">
        <v>126.0</v>
      </c>
      <c r="G119" s="12">
        <v>545.0</v>
      </c>
    </row>
    <row r="120" ht="15.75" customHeight="1">
      <c r="D120" s="7">
        <f t="shared" si="1"/>
        <v>45676</v>
      </c>
      <c r="E120" s="12">
        <v>136.0</v>
      </c>
      <c r="F120" s="12">
        <v>126.0</v>
      </c>
      <c r="G120" s="12">
        <v>550.0</v>
      </c>
    </row>
    <row r="121" ht="15.75" customHeight="1">
      <c r="D121" s="7">
        <f t="shared" si="1"/>
        <v>45677</v>
      </c>
      <c r="E121" s="12">
        <v>136.0</v>
      </c>
      <c r="F121" s="12">
        <v>126.0</v>
      </c>
      <c r="G121" s="12">
        <v>550.0</v>
      </c>
    </row>
    <row r="122" ht="15.75" customHeight="1">
      <c r="D122" s="7">
        <f t="shared" si="1"/>
        <v>45678</v>
      </c>
      <c r="E122" s="12">
        <v>136.0</v>
      </c>
      <c r="F122" s="12">
        <v>128.0</v>
      </c>
      <c r="G122" s="12">
        <v>550.0</v>
      </c>
    </row>
    <row r="123" ht="15.75" customHeight="1">
      <c r="D123" s="7">
        <f t="shared" si="1"/>
        <v>45679</v>
      </c>
      <c r="E123" s="12">
        <v>136.0</v>
      </c>
      <c r="F123" s="12">
        <v>130.0</v>
      </c>
      <c r="G123" s="12">
        <v>550.0</v>
      </c>
    </row>
    <row r="124" ht="15.75" customHeight="1">
      <c r="D124" s="7">
        <f t="shared" si="1"/>
        <v>45680</v>
      </c>
      <c r="E124" s="12">
        <v>136.0</v>
      </c>
      <c r="F124" s="12">
        <v>132.0</v>
      </c>
      <c r="G124" s="12">
        <v>550.0</v>
      </c>
    </row>
    <row r="125" ht="15.75" customHeight="1">
      <c r="D125" s="7">
        <f t="shared" si="1"/>
        <v>45681</v>
      </c>
      <c r="E125" s="12">
        <v>136.0</v>
      </c>
      <c r="F125" s="12">
        <v>132.0</v>
      </c>
      <c r="G125" s="12">
        <v>540.0</v>
      </c>
    </row>
    <row r="126" ht="15.75" customHeight="1">
      <c r="D126" s="7">
        <f t="shared" si="1"/>
        <v>45682</v>
      </c>
      <c r="E126" s="12">
        <v>138.0</v>
      </c>
      <c r="F126" s="12">
        <v>132.0</v>
      </c>
      <c r="G126" s="12">
        <v>530.0</v>
      </c>
    </row>
    <row r="127" ht="15.75" customHeight="1">
      <c r="D127" s="7">
        <f t="shared" si="1"/>
        <v>45683</v>
      </c>
      <c r="E127" s="12">
        <v>138.0</v>
      </c>
      <c r="F127" s="12">
        <v>132.0</v>
      </c>
      <c r="G127" s="12">
        <v>530.0</v>
      </c>
    </row>
    <row r="128" ht="15.75" customHeight="1">
      <c r="D128" s="7">
        <f t="shared" si="1"/>
        <v>45684</v>
      </c>
      <c r="E128" s="12">
        <v>138.0</v>
      </c>
      <c r="F128" s="12">
        <v>130.0</v>
      </c>
      <c r="G128" s="12">
        <v>530.0</v>
      </c>
    </row>
    <row r="129" ht="15.75" customHeight="1">
      <c r="D129" s="7">
        <f t="shared" si="1"/>
        <v>45685</v>
      </c>
      <c r="E129" s="12">
        <v>136.0</v>
      </c>
      <c r="F129" s="12">
        <v>128.0</v>
      </c>
      <c r="G129" s="12">
        <v>535.0</v>
      </c>
    </row>
    <row r="130" ht="15.75" customHeight="1">
      <c r="D130" s="7">
        <f t="shared" si="1"/>
        <v>45686</v>
      </c>
      <c r="E130" s="12">
        <v>132.0</v>
      </c>
      <c r="F130" s="12">
        <v>121.0</v>
      </c>
      <c r="G130" s="12">
        <v>540.0</v>
      </c>
    </row>
    <row r="131" ht="15.75" customHeight="1">
      <c r="D131" s="7">
        <f t="shared" si="1"/>
        <v>45687</v>
      </c>
      <c r="E131" s="12">
        <v>130.0</v>
      </c>
      <c r="F131" s="12">
        <v>116.0</v>
      </c>
      <c r="G131" s="12">
        <v>545.0</v>
      </c>
    </row>
    <row r="132" ht="15.75" customHeight="1">
      <c r="D132" s="7">
        <f t="shared" si="1"/>
        <v>45688</v>
      </c>
      <c r="E132" s="12">
        <v>122.0</v>
      </c>
      <c r="F132" s="12">
        <v>107.0</v>
      </c>
      <c r="G132" s="12">
        <v>545.0</v>
      </c>
    </row>
    <row r="133" ht="15.75" customHeight="1">
      <c r="D133" s="7">
        <f t="shared" si="1"/>
        <v>45689</v>
      </c>
      <c r="E133" s="12">
        <v>122.0</v>
      </c>
      <c r="F133" s="12">
        <v>107.0</v>
      </c>
      <c r="G133" s="12">
        <v>550.0</v>
      </c>
    </row>
    <row r="134" ht="15.75" customHeight="1">
      <c r="D134" s="7">
        <f t="shared" si="1"/>
        <v>45690</v>
      </c>
      <c r="E134" s="12">
        <v>122.0</v>
      </c>
      <c r="F134" s="12">
        <v>109.0</v>
      </c>
      <c r="G134" s="12">
        <v>535.0</v>
      </c>
    </row>
    <row r="135" ht="15.75" customHeight="1">
      <c r="D135" s="7">
        <f t="shared" si="1"/>
        <v>45691</v>
      </c>
      <c r="E135" s="12">
        <v>122.0</v>
      </c>
      <c r="F135" s="12">
        <v>109.0</v>
      </c>
      <c r="G135" s="12">
        <v>525.0</v>
      </c>
    </row>
    <row r="136" ht="15.75" customHeight="1">
      <c r="D136" s="7">
        <f t="shared" si="1"/>
        <v>45692</v>
      </c>
      <c r="E136" s="12">
        <v>122.0</v>
      </c>
      <c r="F136" s="12">
        <v>109.0</v>
      </c>
      <c r="G136" s="12">
        <v>525.0</v>
      </c>
    </row>
    <row r="137" ht="15.75" customHeight="1">
      <c r="D137" s="7">
        <f t="shared" si="1"/>
        <v>45693</v>
      </c>
      <c r="E137" s="12">
        <v>122.0</v>
      </c>
      <c r="F137" s="12">
        <v>111.0</v>
      </c>
      <c r="G137" s="12">
        <v>505.0</v>
      </c>
    </row>
    <row r="138" ht="15.75" customHeight="1">
      <c r="D138" s="7">
        <f t="shared" si="1"/>
        <v>45694</v>
      </c>
      <c r="E138" s="12">
        <v>124.0</v>
      </c>
      <c r="F138" s="12">
        <v>111.0</v>
      </c>
      <c r="G138" s="12">
        <v>505.0</v>
      </c>
    </row>
    <row r="139" ht="15.75" customHeight="1">
      <c r="D139" s="7">
        <f t="shared" si="1"/>
        <v>45695</v>
      </c>
      <c r="E139" s="12">
        <v>126.0</v>
      </c>
      <c r="F139" s="12">
        <v>113.0</v>
      </c>
      <c r="G139" s="12">
        <v>500.0</v>
      </c>
    </row>
    <row r="140" ht="15.75" customHeight="1">
      <c r="D140" s="7">
        <f t="shared" si="1"/>
        <v>45696</v>
      </c>
      <c r="E140" s="12">
        <v>126.0</v>
      </c>
      <c r="F140" s="12">
        <v>115.0</v>
      </c>
      <c r="G140" s="12">
        <v>495.0</v>
      </c>
    </row>
    <row r="141" ht="15.75" customHeight="1">
      <c r="D141" s="7">
        <f t="shared" si="1"/>
        <v>45697</v>
      </c>
      <c r="E141" s="12">
        <v>128.0</v>
      </c>
      <c r="F141" s="12">
        <v>115.0</v>
      </c>
      <c r="G141" s="12">
        <v>495.0</v>
      </c>
    </row>
    <row r="142" ht="15.75" customHeight="1">
      <c r="D142" s="7">
        <f t="shared" si="1"/>
        <v>45698</v>
      </c>
      <c r="E142" s="12">
        <v>128.0</v>
      </c>
      <c r="F142" s="12">
        <v>110.0</v>
      </c>
      <c r="G142" s="12">
        <v>495.0</v>
      </c>
    </row>
    <row r="143" ht="15.75" customHeight="1">
      <c r="D143" s="7">
        <f t="shared" si="1"/>
        <v>45699</v>
      </c>
      <c r="E143" s="12">
        <v>128.0</v>
      </c>
      <c r="F143" s="12">
        <v>110.0</v>
      </c>
      <c r="G143" s="12">
        <v>495.0</v>
      </c>
    </row>
    <row r="144" ht="15.75" customHeight="1">
      <c r="D144" s="7">
        <f t="shared" si="1"/>
        <v>45700</v>
      </c>
      <c r="E144" s="12">
        <v>128.0</v>
      </c>
      <c r="F144" s="12">
        <v>110.0</v>
      </c>
      <c r="G144" s="12">
        <v>495.0</v>
      </c>
    </row>
    <row r="145" ht="15.75" customHeight="1">
      <c r="D145" s="7">
        <f t="shared" si="1"/>
        <v>45701</v>
      </c>
      <c r="E145" s="13">
        <v>128.0</v>
      </c>
      <c r="F145" s="13">
        <v>107.0</v>
      </c>
      <c r="G145" s="13">
        <v>495.0</v>
      </c>
    </row>
    <row r="146" ht="15.75" customHeight="1">
      <c r="D146" s="7">
        <f t="shared" si="1"/>
        <v>45702</v>
      </c>
      <c r="E146" s="13">
        <v>128.0</v>
      </c>
      <c r="F146" s="13">
        <v>107.0</v>
      </c>
      <c r="G146" s="13">
        <v>495.0</v>
      </c>
    </row>
    <row r="147" ht="15.75" customHeight="1">
      <c r="D147" s="7">
        <f t="shared" si="1"/>
        <v>45703</v>
      </c>
      <c r="E147" s="13">
        <v>128.0</v>
      </c>
      <c r="F147" s="13">
        <v>107.0</v>
      </c>
      <c r="G147" s="13">
        <v>495.0</v>
      </c>
    </row>
    <row r="148" ht="15.75" customHeight="1">
      <c r="D148" s="7">
        <f t="shared" si="1"/>
        <v>45704</v>
      </c>
      <c r="E148" s="13">
        <v>128.0</v>
      </c>
      <c r="F148" s="13">
        <v>107.0</v>
      </c>
      <c r="G148" s="13">
        <v>495.0</v>
      </c>
    </row>
    <row r="149" ht="15.75" customHeight="1">
      <c r="D149" s="7">
        <f t="shared" si="1"/>
        <v>45705</v>
      </c>
      <c r="E149" s="12">
        <v>128.0</v>
      </c>
      <c r="F149" s="12">
        <v>107.0</v>
      </c>
      <c r="G149" s="12">
        <v>485.0</v>
      </c>
    </row>
    <row r="150" ht="15.75" customHeight="1">
      <c r="D150" s="7">
        <f t="shared" si="1"/>
        <v>45706</v>
      </c>
      <c r="E150" s="12">
        <v>126.0</v>
      </c>
      <c r="F150" s="12">
        <v>103.0</v>
      </c>
      <c r="G150" s="12">
        <v>485.0</v>
      </c>
    </row>
    <row r="151" ht="15.75" customHeight="1">
      <c r="D151" s="7">
        <f t="shared" si="1"/>
        <v>45707</v>
      </c>
      <c r="E151" s="13">
        <v>124.0</v>
      </c>
      <c r="F151" s="13">
        <v>97.0</v>
      </c>
      <c r="G151" s="13">
        <v>480.0</v>
      </c>
    </row>
    <row r="152" ht="15.75" customHeight="1">
      <c r="D152" s="7">
        <f t="shared" si="1"/>
        <v>45708</v>
      </c>
      <c r="E152" s="13">
        <v>122.0</v>
      </c>
      <c r="F152" s="13">
        <v>97.0</v>
      </c>
      <c r="G152" s="13">
        <v>480.0</v>
      </c>
    </row>
    <row r="153" ht="15.75" customHeight="1">
      <c r="D153" s="7">
        <f t="shared" si="1"/>
        <v>45709</v>
      </c>
      <c r="E153" s="13">
        <v>122.0</v>
      </c>
      <c r="F153" s="12">
        <v>92.0</v>
      </c>
      <c r="G153" s="13">
        <v>480.0</v>
      </c>
    </row>
    <row r="154" ht="15.75" customHeight="1">
      <c r="D154" s="7">
        <f t="shared" si="1"/>
        <v>45710</v>
      </c>
      <c r="E154" s="13">
        <v>122.0</v>
      </c>
      <c r="F154" s="13">
        <v>95.0</v>
      </c>
      <c r="G154" s="13">
        <v>480.0</v>
      </c>
    </row>
    <row r="155" ht="15.75" customHeight="1">
      <c r="D155" s="7">
        <f t="shared" si="1"/>
        <v>45711</v>
      </c>
      <c r="E155" s="12">
        <v>122.0</v>
      </c>
      <c r="F155" s="12">
        <v>97.0</v>
      </c>
      <c r="G155" s="13">
        <v>480.0</v>
      </c>
    </row>
    <row r="156" ht="15.75" customHeight="1">
      <c r="D156" s="7">
        <f t="shared" si="1"/>
        <v>45712</v>
      </c>
      <c r="E156" s="12">
        <v>122.0</v>
      </c>
      <c r="F156" s="12">
        <v>97.0</v>
      </c>
      <c r="G156" s="13">
        <v>480.0</v>
      </c>
    </row>
    <row r="157" ht="15.75" customHeight="1">
      <c r="D157" s="7">
        <f t="shared" si="1"/>
        <v>45713</v>
      </c>
      <c r="E157" s="12">
        <v>122.0</v>
      </c>
      <c r="F157" s="12">
        <v>97.0</v>
      </c>
      <c r="G157" s="13">
        <v>480.0</v>
      </c>
    </row>
    <row r="158" ht="15.75" customHeight="1">
      <c r="D158" s="7">
        <f t="shared" si="1"/>
        <v>45714</v>
      </c>
      <c r="E158" s="12">
        <v>122.0</v>
      </c>
      <c r="F158" s="12">
        <v>97.0</v>
      </c>
      <c r="G158" s="12">
        <v>506.0</v>
      </c>
    </row>
    <row r="159" ht="15.75" customHeight="1">
      <c r="D159" s="7">
        <f t="shared" si="1"/>
        <v>45715</v>
      </c>
      <c r="E159" s="12">
        <v>122.0</v>
      </c>
      <c r="F159" s="12">
        <v>97.0</v>
      </c>
      <c r="G159" s="12">
        <v>506.0</v>
      </c>
    </row>
    <row r="160" ht="15.75" customHeight="1">
      <c r="D160" s="7">
        <f t="shared" si="1"/>
        <v>45716</v>
      </c>
      <c r="E160" s="12">
        <v>122.0</v>
      </c>
      <c r="F160" s="12">
        <v>105.0</v>
      </c>
      <c r="G160" s="12">
        <v>510.0</v>
      </c>
    </row>
    <row r="161" ht="15.75" customHeight="1">
      <c r="D161" s="7">
        <f t="shared" si="1"/>
        <v>45717</v>
      </c>
      <c r="E161" s="12">
        <v>124.0</v>
      </c>
      <c r="F161" s="12">
        <v>110.0</v>
      </c>
      <c r="G161" s="14"/>
    </row>
    <row r="162" ht="15.75" customHeight="1">
      <c r="D162" s="7">
        <f t="shared" si="1"/>
        <v>45718</v>
      </c>
      <c r="E162" s="12">
        <v>128.0</v>
      </c>
      <c r="F162" s="12">
        <v>113.0</v>
      </c>
      <c r="G162" s="13">
        <v>510.0</v>
      </c>
    </row>
    <row r="163" ht="15.75" customHeight="1">
      <c r="D163" s="7">
        <f t="shared" si="1"/>
        <v>45719</v>
      </c>
      <c r="E163" s="13">
        <v>130.0</v>
      </c>
      <c r="F163" s="13">
        <v>113.0</v>
      </c>
      <c r="G163" s="13">
        <v>490.0</v>
      </c>
    </row>
    <row r="164" ht="15.75" customHeight="1">
      <c r="D164" s="7">
        <f t="shared" si="1"/>
        <v>45720</v>
      </c>
      <c r="E164" s="13">
        <v>130.0</v>
      </c>
      <c r="F164" s="13">
        <v>113.0</v>
      </c>
      <c r="G164" s="12">
        <v>480.0</v>
      </c>
    </row>
    <row r="165" ht="15.75" customHeight="1">
      <c r="D165" s="7">
        <f t="shared" si="1"/>
        <v>45721</v>
      </c>
      <c r="E165" s="12">
        <v>128.0</v>
      </c>
      <c r="F165" s="12">
        <v>113.0</v>
      </c>
      <c r="G165" s="14"/>
    </row>
    <row r="166" ht="15.75" customHeight="1">
      <c r="D166" s="7">
        <f t="shared" si="1"/>
        <v>45722</v>
      </c>
      <c r="E166" s="12">
        <v>126.0</v>
      </c>
      <c r="F166" s="12">
        <v>105.0</v>
      </c>
      <c r="G166" s="14"/>
    </row>
    <row r="167" ht="15.75" customHeight="1">
      <c r="D167" s="7">
        <f t="shared" si="1"/>
        <v>45723</v>
      </c>
      <c r="E167" s="13">
        <v>124.0</v>
      </c>
      <c r="F167" s="13">
        <v>100.0</v>
      </c>
      <c r="G167" s="13">
        <v>455.0</v>
      </c>
    </row>
    <row r="168" ht="15.75" customHeight="1">
      <c r="D168" s="7">
        <f t="shared" si="1"/>
        <v>45724</v>
      </c>
      <c r="E168" s="13">
        <v>122.0</v>
      </c>
      <c r="F168" s="13">
        <v>90.0</v>
      </c>
      <c r="G168" s="13">
        <v>455.0</v>
      </c>
    </row>
    <row r="169" ht="15.75" customHeight="1">
      <c r="D169" s="7">
        <f t="shared" si="1"/>
        <v>45725</v>
      </c>
      <c r="E169" s="12">
        <v>120.0</v>
      </c>
      <c r="F169" s="12">
        <v>90.0</v>
      </c>
      <c r="G169" s="12">
        <v>455.0</v>
      </c>
    </row>
    <row r="170" ht="15.75" customHeight="1">
      <c r="D170" s="7">
        <f t="shared" si="1"/>
        <v>45726</v>
      </c>
      <c r="E170" s="12">
        <v>120.0</v>
      </c>
      <c r="F170" s="12">
        <v>90.0</v>
      </c>
      <c r="G170" s="12">
        <v>455.0</v>
      </c>
    </row>
    <row r="171" ht="15.75" customHeight="1">
      <c r="D171" s="7">
        <f t="shared" si="1"/>
        <v>45727</v>
      </c>
      <c r="E171" s="12">
        <v>120.0</v>
      </c>
      <c r="F171" s="12">
        <v>90.0</v>
      </c>
      <c r="G171" s="12">
        <v>455.0</v>
      </c>
    </row>
    <row r="172" ht="15.75" customHeight="1">
      <c r="D172" s="7">
        <f t="shared" si="1"/>
        <v>45728</v>
      </c>
      <c r="E172" s="12">
        <v>120.0</v>
      </c>
      <c r="F172" s="12">
        <v>90.0</v>
      </c>
      <c r="G172" s="12">
        <v>455.0</v>
      </c>
    </row>
    <row r="173" ht="15.75" customHeight="1">
      <c r="D173" s="7">
        <f t="shared" si="1"/>
        <v>45729</v>
      </c>
      <c r="E173" s="12">
        <v>120.0</v>
      </c>
      <c r="F173" s="12">
        <v>95.0</v>
      </c>
      <c r="G173" s="12">
        <v>445.0</v>
      </c>
    </row>
    <row r="174" ht="15.75" customHeight="1">
      <c r="D174" s="7">
        <f t="shared" si="1"/>
        <v>45730</v>
      </c>
      <c r="E174" s="12">
        <v>120.0</v>
      </c>
      <c r="F174" s="12">
        <v>107.0</v>
      </c>
      <c r="G174" s="12">
        <v>435.0</v>
      </c>
    </row>
    <row r="175" ht="15.75" customHeight="1">
      <c r="D175" s="7">
        <f t="shared" si="1"/>
        <v>45731</v>
      </c>
      <c r="E175" s="12">
        <v>122.0</v>
      </c>
      <c r="F175" s="12">
        <v>112.0</v>
      </c>
      <c r="G175" s="12">
        <v>435.0</v>
      </c>
    </row>
    <row r="176" ht="15.75" customHeight="1">
      <c r="D176" s="7">
        <f t="shared" si="1"/>
        <v>45732</v>
      </c>
      <c r="E176" s="12">
        <v>117.0</v>
      </c>
      <c r="F176" s="12">
        <v>124.0</v>
      </c>
      <c r="G176" s="12">
        <v>435.0</v>
      </c>
    </row>
    <row r="177" ht="15.75" customHeight="1">
      <c r="D177" s="7">
        <f t="shared" si="1"/>
        <v>45733</v>
      </c>
      <c r="E177" s="12">
        <v>117.0</v>
      </c>
      <c r="F177" s="12">
        <v>124.0</v>
      </c>
      <c r="G177" s="12">
        <v>445.0</v>
      </c>
    </row>
    <row r="178" ht="15.75" customHeight="1">
      <c r="D178" s="7">
        <f t="shared" si="1"/>
        <v>45734</v>
      </c>
      <c r="E178" s="12">
        <v>117.0</v>
      </c>
      <c r="F178" s="12">
        <v>124.0</v>
      </c>
      <c r="G178" s="12">
        <v>455.0</v>
      </c>
    </row>
    <row r="179" ht="15.75" customHeight="1">
      <c r="D179" s="7">
        <f t="shared" si="1"/>
        <v>45735</v>
      </c>
      <c r="E179" s="12">
        <v>117.0</v>
      </c>
      <c r="F179" s="12">
        <v>124.0</v>
      </c>
      <c r="G179" s="12">
        <v>460.0</v>
      </c>
    </row>
    <row r="180" ht="15.75" customHeight="1">
      <c r="D180" s="7">
        <f t="shared" si="1"/>
        <v>45736</v>
      </c>
      <c r="E180" s="12">
        <v>117.0</v>
      </c>
      <c r="F180" s="12">
        <v>122.0</v>
      </c>
      <c r="G180" s="12">
        <v>465.0</v>
      </c>
    </row>
    <row r="181" ht="15.75" customHeight="1">
      <c r="D181" s="7">
        <f t="shared" si="1"/>
        <v>45737</v>
      </c>
      <c r="E181" s="12">
        <v>118.0</v>
      </c>
      <c r="F181" s="12">
        <v>122.0</v>
      </c>
      <c r="G181" s="12">
        <v>465.0</v>
      </c>
    </row>
    <row r="182" ht="15.75" customHeight="1">
      <c r="D182" s="7">
        <f t="shared" si="1"/>
        <v>45738</v>
      </c>
      <c r="E182" s="12">
        <v>118.0</v>
      </c>
      <c r="F182" s="12">
        <v>122.0</v>
      </c>
      <c r="G182" s="12">
        <v>465.0</v>
      </c>
    </row>
    <row r="183" ht="15.75" customHeight="1">
      <c r="D183" s="7">
        <f t="shared" si="1"/>
        <v>45739</v>
      </c>
      <c r="E183" s="12">
        <v>118.0</v>
      </c>
      <c r="F183" s="12">
        <v>122.0</v>
      </c>
      <c r="G183" s="12">
        <v>465.0</v>
      </c>
    </row>
    <row r="184" ht="15.75" customHeight="1">
      <c r="D184" s="7">
        <f t="shared" si="1"/>
        <v>45740</v>
      </c>
      <c r="E184" s="12">
        <v>113.0</v>
      </c>
      <c r="F184" s="12">
        <v>122.0</v>
      </c>
      <c r="G184" s="12">
        <v>455.0</v>
      </c>
    </row>
    <row r="185" ht="15.75" customHeight="1">
      <c r="D185" s="7">
        <f t="shared" si="1"/>
        <v>45741</v>
      </c>
      <c r="E185" s="12">
        <v>115.0</v>
      </c>
      <c r="F185" s="12">
        <v>122.0</v>
      </c>
      <c r="G185" s="12">
        <v>455.0</v>
      </c>
    </row>
    <row r="186" ht="15.75" customHeight="1">
      <c r="D186" s="7">
        <f t="shared" si="1"/>
        <v>45742</v>
      </c>
      <c r="E186" s="12">
        <v>115.0</v>
      </c>
      <c r="F186" s="12">
        <v>122.0</v>
      </c>
      <c r="G186" s="12">
        <v>455.0</v>
      </c>
    </row>
    <row r="187" ht="15.75" customHeight="1">
      <c r="D187" s="7">
        <f t="shared" si="1"/>
        <v>45743</v>
      </c>
      <c r="E187" s="12">
        <v>115.0</v>
      </c>
      <c r="F187" s="12">
        <v>122.0</v>
      </c>
      <c r="G187" s="12">
        <v>465.0</v>
      </c>
    </row>
    <row r="188" ht="15.75" customHeight="1">
      <c r="D188" s="7">
        <f t="shared" si="1"/>
        <v>45744</v>
      </c>
      <c r="E188" s="12">
        <v>117.0</v>
      </c>
      <c r="F188" s="12">
        <v>122.0</v>
      </c>
      <c r="G188" s="12">
        <v>470.0</v>
      </c>
    </row>
    <row r="189" ht="15.75" customHeight="1">
      <c r="D189" s="7">
        <f t="shared" si="1"/>
        <v>45745</v>
      </c>
      <c r="E189" s="12">
        <v>122.0</v>
      </c>
      <c r="F189" s="12">
        <v>117.0</v>
      </c>
      <c r="G189" s="12">
        <v>490.0</v>
      </c>
    </row>
    <row r="190" ht="15.75" customHeight="1">
      <c r="D190" s="7">
        <f t="shared" si="1"/>
        <v>45746</v>
      </c>
      <c r="E190" s="12">
        <v>122.0</v>
      </c>
      <c r="F190" s="12">
        <v>122.0</v>
      </c>
      <c r="G190" s="12">
        <v>500.0</v>
      </c>
    </row>
    <row r="191" ht="15.75" customHeight="1">
      <c r="D191" s="7">
        <f t="shared" si="1"/>
        <v>45747</v>
      </c>
      <c r="E191" s="12">
        <v>122.0</v>
      </c>
      <c r="F191" s="12">
        <v>127.0</v>
      </c>
      <c r="G191" s="12">
        <v>500.0</v>
      </c>
    </row>
    <row r="192" ht="15.75" customHeight="1">
      <c r="D192" s="7">
        <f t="shared" si="1"/>
        <v>45748</v>
      </c>
      <c r="E192" s="12">
        <v>124.0</v>
      </c>
      <c r="F192" s="12">
        <v>130.0</v>
      </c>
      <c r="G192" s="12">
        <v>500.0</v>
      </c>
    </row>
    <row r="193" ht="15.75" customHeight="1">
      <c r="D193" s="7">
        <f t="shared" si="1"/>
        <v>45749</v>
      </c>
      <c r="E193" s="12">
        <v>128.0</v>
      </c>
      <c r="F193" s="12">
        <v>132.0</v>
      </c>
      <c r="G193" s="12">
        <v>485.0</v>
      </c>
    </row>
    <row r="194" ht="15.75" customHeight="1">
      <c r="D194" s="7">
        <f t="shared" si="1"/>
        <v>45750</v>
      </c>
      <c r="E194" s="12">
        <v>128.0</v>
      </c>
      <c r="F194" s="12">
        <v>132.0</v>
      </c>
      <c r="G194" s="12">
        <v>485.0</v>
      </c>
    </row>
    <row r="195" ht="15.75" customHeight="1">
      <c r="D195" s="7">
        <f t="shared" si="1"/>
        <v>45751</v>
      </c>
      <c r="E195" s="12">
        <v>128.0</v>
      </c>
      <c r="F195" s="12">
        <v>132.0</v>
      </c>
      <c r="G195" s="12">
        <v>465.0</v>
      </c>
    </row>
    <row r="196" ht="15.75" customHeight="1">
      <c r="D196" s="7">
        <f t="shared" si="1"/>
        <v>45752</v>
      </c>
      <c r="E196" s="12">
        <v>128.0</v>
      </c>
      <c r="F196" s="12">
        <v>119.0</v>
      </c>
      <c r="G196" s="12">
        <v>465.0</v>
      </c>
    </row>
    <row r="197" ht="15.75" customHeight="1">
      <c r="D197" s="7">
        <f t="shared" si="1"/>
        <v>45753</v>
      </c>
      <c r="E197" s="12">
        <v>126.0</v>
      </c>
      <c r="F197" s="12">
        <v>117.0</v>
      </c>
      <c r="G197" s="12">
        <v>465.0</v>
      </c>
    </row>
    <row r="198" ht="15.75" customHeight="1">
      <c r="D198" s="7">
        <f t="shared" si="1"/>
        <v>45754</v>
      </c>
      <c r="E198" s="12">
        <v>124.0</v>
      </c>
      <c r="F198" s="12">
        <v>117.0</v>
      </c>
      <c r="G198" s="12">
        <v>470.0</v>
      </c>
    </row>
    <row r="199" ht="15.75" customHeight="1">
      <c r="D199" s="7">
        <f t="shared" si="1"/>
        <v>45755</v>
      </c>
      <c r="E199" s="12">
        <v>120.0</v>
      </c>
      <c r="F199" s="12">
        <v>107.0</v>
      </c>
      <c r="G199" s="12">
        <v>470.0</v>
      </c>
    </row>
    <row r="200" ht="15.75" customHeight="1">
      <c r="D200" s="7">
        <f t="shared" si="1"/>
        <v>45756</v>
      </c>
      <c r="E200" s="12">
        <v>120.0</v>
      </c>
      <c r="F200" s="12">
        <v>111.0</v>
      </c>
      <c r="G200" s="12">
        <v>460.0</v>
      </c>
    </row>
    <row r="201" ht="15.75" customHeight="1">
      <c r="D201" s="7">
        <f t="shared" si="1"/>
        <v>45757</v>
      </c>
      <c r="E201" s="12">
        <v>120.0</v>
      </c>
      <c r="F201" s="12">
        <v>115.0</v>
      </c>
      <c r="G201" s="12">
        <v>450.0</v>
      </c>
    </row>
    <row r="202" ht="15.75" customHeight="1">
      <c r="D202" s="7">
        <f t="shared" si="1"/>
        <v>45758</v>
      </c>
      <c r="E202" s="12">
        <v>122.0</v>
      </c>
      <c r="F202" s="12">
        <v>120.0</v>
      </c>
      <c r="G202" s="12">
        <v>440.0</v>
      </c>
    </row>
    <row r="203" ht="15.75" customHeight="1">
      <c r="D203" s="7">
        <f t="shared" si="1"/>
        <v>45759</v>
      </c>
      <c r="E203" s="12">
        <v>124.0</v>
      </c>
      <c r="F203" s="12">
        <v>122.0</v>
      </c>
      <c r="G203" s="12">
        <v>440.0</v>
      </c>
    </row>
    <row r="204" ht="15.75" customHeight="1">
      <c r="D204" s="7">
        <f t="shared" si="1"/>
        <v>45760</v>
      </c>
      <c r="E204" s="12">
        <v>124.0</v>
      </c>
      <c r="F204" s="12">
        <v>127.0</v>
      </c>
      <c r="G204" s="12">
        <v>440.0</v>
      </c>
    </row>
    <row r="205" ht="15.75" customHeight="1">
      <c r="D205" s="7">
        <f t="shared" si="1"/>
        <v>45761</v>
      </c>
      <c r="E205" s="12">
        <v>124.0</v>
      </c>
      <c r="F205" s="12">
        <v>127.0</v>
      </c>
      <c r="G205" s="12">
        <v>445.0</v>
      </c>
    </row>
    <row r="206" ht="15.75" customHeight="1">
      <c r="D206" s="7">
        <f t="shared" si="1"/>
        <v>45762</v>
      </c>
      <c r="E206" s="12">
        <v>126.0</v>
      </c>
      <c r="F206" s="12">
        <v>131.0</v>
      </c>
      <c r="G206" s="12">
        <v>455.0</v>
      </c>
    </row>
    <row r="207" ht="15.75" customHeight="1">
      <c r="D207" s="7">
        <f t="shared" si="1"/>
        <v>45763</v>
      </c>
      <c r="E207" s="12">
        <v>126.0</v>
      </c>
      <c r="F207" s="12">
        <v>131.0</v>
      </c>
      <c r="G207" s="12">
        <v>455.0</v>
      </c>
    </row>
    <row r="208" ht="15.75" customHeight="1">
      <c r="D208" s="7">
        <f t="shared" si="1"/>
        <v>45764</v>
      </c>
      <c r="E208" s="12">
        <v>126.0</v>
      </c>
      <c r="F208" s="12">
        <v>131.0</v>
      </c>
      <c r="G208" s="12">
        <v>455.0</v>
      </c>
    </row>
    <row r="209" ht="15.75" customHeight="1">
      <c r="D209" s="7">
        <f t="shared" si="1"/>
        <v>45765</v>
      </c>
      <c r="E209" s="12">
        <v>126.0</v>
      </c>
      <c r="F209" s="12">
        <v>131.0</v>
      </c>
      <c r="G209" s="12">
        <v>455.0</v>
      </c>
    </row>
    <row r="210" ht="15.75" customHeight="1">
      <c r="D210" s="7">
        <f t="shared" si="1"/>
        <v>45766</v>
      </c>
      <c r="E210" s="12">
        <v>126.0</v>
      </c>
      <c r="F210" s="12">
        <v>131.0</v>
      </c>
      <c r="G210" s="12">
        <v>455.0</v>
      </c>
    </row>
    <row r="211" ht="15.75" customHeight="1">
      <c r="D211" s="7">
        <f t="shared" si="1"/>
        <v>45767</v>
      </c>
      <c r="E211" s="12">
        <v>126.0</v>
      </c>
      <c r="F211" s="12">
        <v>131.0</v>
      </c>
      <c r="G211" s="12">
        <v>450.0</v>
      </c>
    </row>
    <row r="212" ht="15.75" customHeight="1">
      <c r="D212" s="7">
        <f t="shared" si="1"/>
        <v>45768</v>
      </c>
      <c r="E212" s="12">
        <v>126.0</v>
      </c>
      <c r="F212" s="12">
        <v>131.0</v>
      </c>
      <c r="G212" s="12">
        <v>450.0</v>
      </c>
    </row>
    <row r="213" ht="15.75" customHeight="1">
      <c r="D213" s="7">
        <f t="shared" si="1"/>
        <v>45769</v>
      </c>
      <c r="E213" s="12">
        <v>126.0</v>
      </c>
      <c r="F213" s="12">
        <v>119.0</v>
      </c>
      <c r="G213" s="12">
        <v>450.0</v>
      </c>
    </row>
    <row r="214" ht="15.75" customHeight="1">
      <c r="D214" s="7">
        <f t="shared" si="1"/>
        <v>45770</v>
      </c>
      <c r="E214" s="12">
        <v>126.0</v>
      </c>
      <c r="F214" s="12">
        <v>119.0</v>
      </c>
      <c r="G214" s="12">
        <v>450.0</v>
      </c>
    </row>
    <row r="215" ht="15.75" customHeight="1">
      <c r="D215" s="7">
        <f t="shared" si="1"/>
        <v>45771</v>
      </c>
      <c r="E215" s="12">
        <v>126.0</v>
      </c>
      <c r="F215" s="12">
        <v>119.0</v>
      </c>
      <c r="G215" s="14"/>
    </row>
    <row r="216" ht="15.75" customHeight="1">
      <c r="D216" s="7">
        <f t="shared" si="1"/>
        <v>45772</v>
      </c>
      <c r="E216" s="12">
        <v>126.0</v>
      </c>
      <c r="F216" s="12">
        <v>119.0</v>
      </c>
      <c r="G216" s="12">
        <v>450.0</v>
      </c>
    </row>
    <row r="217" ht="15.75" customHeight="1">
      <c r="D217" s="7">
        <f t="shared" si="1"/>
        <v>45773</v>
      </c>
      <c r="E217" s="12">
        <v>126.0</v>
      </c>
      <c r="F217" s="12">
        <v>121.0</v>
      </c>
      <c r="G217" s="12">
        <v>455.0</v>
      </c>
    </row>
    <row r="218" ht="15.75" customHeight="1">
      <c r="D218" s="7">
        <f t="shared" si="1"/>
        <v>45774</v>
      </c>
      <c r="E218" s="12">
        <v>126.0</v>
      </c>
      <c r="F218" s="12">
        <v>123.0</v>
      </c>
      <c r="G218" s="12">
        <v>460.0</v>
      </c>
    </row>
    <row r="219" ht="15.75" customHeight="1">
      <c r="D219" s="7">
        <f t="shared" si="1"/>
        <v>45775</v>
      </c>
      <c r="E219" s="12">
        <v>126.0</v>
      </c>
      <c r="F219" s="12">
        <v>123.0</v>
      </c>
      <c r="G219" s="12">
        <v>465.0</v>
      </c>
    </row>
    <row r="220" ht="15.75" customHeight="1">
      <c r="D220" s="7">
        <f t="shared" si="1"/>
        <v>45776</v>
      </c>
      <c r="E220" s="12">
        <v>126.0</v>
      </c>
      <c r="F220" s="12">
        <v>123.0</v>
      </c>
      <c r="G220" s="12">
        <v>470.0</v>
      </c>
    </row>
    <row r="221" ht="15.75" customHeight="1">
      <c r="D221" s="7">
        <f t="shared" si="1"/>
        <v>45777</v>
      </c>
      <c r="E221" s="12">
        <v>126.0</v>
      </c>
      <c r="F221" s="12">
        <v>125.0</v>
      </c>
      <c r="G221" s="12">
        <v>475.0</v>
      </c>
    </row>
    <row r="222" ht="15.75" customHeight="1">
      <c r="D222" s="7">
        <f t="shared" si="1"/>
        <v>45778</v>
      </c>
      <c r="E222" s="12">
        <v>126.0</v>
      </c>
      <c r="F222" s="12">
        <v>125.0</v>
      </c>
      <c r="G222" s="12">
        <v>485.0</v>
      </c>
    </row>
    <row r="223" ht="15.75" customHeight="1">
      <c r="D223" s="7">
        <f t="shared" si="1"/>
        <v>45779</v>
      </c>
      <c r="E223" s="12">
        <v>126.0</v>
      </c>
      <c r="F223" s="12">
        <v>127.0</v>
      </c>
      <c r="G223" s="12">
        <v>495.0</v>
      </c>
    </row>
    <row r="224" ht="15.75" customHeight="1">
      <c r="D224" s="7">
        <f t="shared" si="1"/>
        <v>45780</v>
      </c>
      <c r="E224" s="12">
        <v>126.0</v>
      </c>
      <c r="F224" s="12">
        <v>131.0</v>
      </c>
      <c r="G224" s="12">
        <v>505.0</v>
      </c>
    </row>
    <row r="225" ht="15.75" customHeight="1">
      <c r="D225" s="7">
        <f t="shared" si="1"/>
        <v>45781</v>
      </c>
      <c r="E225" s="12">
        <v>126.0</v>
      </c>
      <c r="F225" s="12">
        <v>140.0</v>
      </c>
      <c r="G225" s="12">
        <v>515.0</v>
      </c>
    </row>
    <row r="226" ht="15.75" customHeight="1">
      <c r="D226" s="7">
        <f t="shared" si="1"/>
        <v>45782</v>
      </c>
      <c r="E226" s="12">
        <v>126.0</v>
      </c>
      <c r="F226" s="12">
        <v>140.0</v>
      </c>
      <c r="G226" s="12">
        <v>515.0</v>
      </c>
    </row>
    <row r="227" ht="15.75" customHeight="1">
      <c r="D227" s="7">
        <f t="shared" si="1"/>
        <v>45783</v>
      </c>
      <c r="E227" s="12">
        <v>132.0</v>
      </c>
      <c r="F227" s="12">
        <v>145.0</v>
      </c>
      <c r="G227" s="12">
        <v>535.0</v>
      </c>
    </row>
    <row r="228" ht="15.75" customHeight="1">
      <c r="D228" s="7">
        <f t="shared" si="1"/>
        <v>45784</v>
      </c>
      <c r="E228" s="12">
        <v>134.0</v>
      </c>
      <c r="F228" s="12">
        <v>145.0</v>
      </c>
      <c r="G228" s="12">
        <v>540.0</v>
      </c>
    </row>
    <row r="229" ht="15.75" customHeight="1">
      <c r="D229" s="7">
        <f t="shared" si="1"/>
        <v>45785</v>
      </c>
      <c r="E229" s="12">
        <v>134.0</v>
      </c>
      <c r="F229" s="12">
        <v>145.0</v>
      </c>
      <c r="G229" s="12">
        <v>540.0</v>
      </c>
    </row>
    <row r="230" ht="15.75" customHeight="1">
      <c r="D230" s="7">
        <f t="shared" si="1"/>
        <v>45786</v>
      </c>
      <c r="E230" s="12">
        <v>134.0</v>
      </c>
      <c r="F230" s="12">
        <v>143.0</v>
      </c>
      <c r="G230" s="12">
        <v>545.0</v>
      </c>
    </row>
    <row r="231" ht="15.75" customHeight="1">
      <c r="D231" s="7">
        <f t="shared" si="1"/>
        <v>45787</v>
      </c>
      <c r="E231" s="12">
        <v>134.0</v>
      </c>
      <c r="F231" s="12">
        <v>143.0</v>
      </c>
      <c r="G231" s="12">
        <v>550.0</v>
      </c>
    </row>
    <row r="232" ht="15.75" customHeight="1">
      <c r="D232" s="7">
        <f t="shared" si="1"/>
        <v>45788</v>
      </c>
      <c r="E232" s="12">
        <v>134.0</v>
      </c>
      <c r="F232" s="12">
        <v>145.0</v>
      </c>
      <c r="G232" s="12">
        <v>550.0</v>
      </c>
    </row>
    <row r="233" ht="15.75" customHeight="1">
      <c r="D233" s="7">
        <f t="shared" si="1"/>
        <v>45789</v>
      </c>
      <c r="E233" s="12">
        <v>134.0</v>
      </c>
      <c r="F233" s="12">
        <v>145.0</v>
      </c>
      <c r="G233" s="12">
        <v>550.0</v>
      </c>
    </row>
    <row r="234" ht="15.75" customHeight="1">
      <c r="D234" s="7">
        <f t="shared" si="1"/>
        <v>45790</v>
      </c>
      <c r="E234" s="12">
        <v>134.0</v>
      </c>
      <c r="F234" s="12">
        <v>143.0</v>
      </c>
      <c r="G234" s="12">
        <v>550.0</v>
      </c>
    </row>
    <row r="235" ht="15.75" customHeight="1">
      <c r="D235" s="7">
        <f t="shared" si="1"/>
        <v>45791</v>
      </c>
      <c r="E235" s="12">
        <v>134.0</v>
      </c>
      <c r="F235" s="12">
        <v>143.0</v>
      </c>
      <c r="G235" s="12">
        <v>550.0</v>
      </c>
    </row>
    <row r="236" ht="15.75" customHeight="1">
      <c r="D236" s="7">
        <f t="shared" si="1"/>
        <v>45792</v>
      </c>
      <c r="E236" s="12">
        <v>134.0</v>
      </c>
      <c r="F236" s="12">
        <v>144.0</v>
      </c>
      <c r="G236" s="12">
        <v>560.0</v>
      </c>
    </row>
    <row r="237" ht="15.75" customHeight="1">
      <c r="D237" s="7">
        <f t="shared" si="1"/>
        <v>45793</v>
      </c>
      <c r="E237" s="12">
        <v>134.0</v>
      </c>
      <c r="F237" s="12">
        <v>143.0</v>
      </c>
      <c r="G237" s="12">
        <v>570.0</v>
      </c>
    </row>
    <row r="238" ht="15.75" customHeight="1">
      <c r="D238" s="7">
        <f t="shared" si="1"/>
        <v>45794</v>
      </c>
      <c r="E238" s="12">
        <v>134.0</v>
      </c>
      <c r="F238" s="12">
        <v>143.0</v>
      </c>
      <c r="G238" s="12">
        <v>580.0</v>
      </c>
    </row>
    <row r="239" ht="15.75" customHeight="1">
      <c r="D239" s="7">
        <f t="shared" si="1"/>
        <v>45795</v>
      </c>
      <c r="E239" s="12">
        <v>134.0</v>
      </c>
      <c r="F239" s="12">
        <v>147.0</v>
      </c>
      <c r="G239" s="12">
        <v>590.0</v>
      </c>
    </row>
    <row r="240" ht="15.75" customHeight="1">
      <c r="D240" s="7">
        <f t="shared" si="1"/>
        <v>45796</v>
      </c>
      <c r="E240" s="12">
        <v>134.0</v>
      </c>
      <c r="F240" s="12">
        <v>147.0</v>
      </c>
      <c r="G240" s="12">
        <v>600.0</v>
      </c>
    </row>
    <row r="241" ht="15.75" customHeight="1">
      <c r="D241" s="7">
        <f t="shared" si="1"/>
        <v>45797</v>
      </c>
      <c r="E241" s="12">
        <v>134.0</v>
      </c>
      <c r="F241" s="12">
        <v>148.0</v>
      </c>
      <c r="G241" s="12">
        <v>600.0</v>
      </c>
    </row>
    <row r="242" ht="15.75" customHeight="1">
      <c r="D242" s="7">
        <f t="shared" si="1"/>
        <v>45798</v>
      </c>
      <c r="E242" s="12">
        <v>134.0</v>
      </c>
      <c r="F242" s="12">
        <v>148.0</v>
      </c>
      <c r="G242" s="12">
        <v>600.0</v>
      </c>
    </row>
    <row r="243" ht="15.75" customHeight="1">
      <c r="D243" s="7">
        <f t="shared" si="1"/>
        <v>45799</v>
      </c>
      <c r="E243" s="12">
        <v>134.0</v>
      </c>
      <c r="F243" s="12">
        <v>145.0</v>
      </c>
      <c r="G243" s="12">
        <v>590.0</v>
      </c>
    </row>
    <row r="244" ht="15.75" customHeight="1">
      <c r="D244" s="7">
        <f t="shared" si="1"/>
        <v>45800</v>
      </c>
      <c r="E244" s="12">
        <v>134.0</v>
      </c>
      <c r="F244" s="12">
        <v>145.0</v>
      </c>
      <c r="G244" s="12">
        <v>580.0</v>
      </c>
    </row>
    <row r="245" ht="15.75" customHeight="1">
      <c r="D245" s="7">
        <f t="shared" si="1"/>
        <v>45801</v>
      </c>
      <c r="E245" s="12">
        <v>134.0</v>
      </c>
      <c r="F245" s="12">
        <v>145.0</v>
      </c>
      <c r="G245" s="12">
        <v>580.0</v>
      </c>
    </row>
    <row r="246" ht="15.75" customHeight="1">
      <c r="D246" s="7">
        <f t="shared" si="1"/>
        <v>45802</v>
      </c>
      <c r="E246" s="12">
        <v>136.0</v>
      </c>
      <c r="F246" s="12">
        <v>145.0</v>
      </c>
      <c r="G246" s="12">
        <v>580.0</v>
      </c>
    </row>
    <row r="247" ht="15.75" customHeight="1">
      <c r="D247" s="7">
        <f t="shared" si="1"/>
        <v>45803</v>
      </c>
      <c r="E247" s="12">
        <v>136.0</v>
      </c>
      <c r="F247" s="12">
        <v>145.0</v>
      </c>
      <c r="G247" s="12">
        <v>580.0</v>
      </c>
    </row>
    <row r="248" ht="15.75" customHeight="1">
      <c r="D248" s="7">
        <f t="shared" si="1"/>
        <v>45804</v>
      </c>
      <c r="E248" s="12">
        <v>136.0</v>
      </c>
      <c r="F248" s="12">
        <v>145.0</v>
      </c>
      <c r="G248" s="12">
        <v>590.0</v>
      </c>
    </row>
    <row r="249" ht="15.75" customHeight="1">
      <c r="D249" s="7">
        <f t="shared" si="1"/>
        <v>45805</v>
      </c>
      <c r="E249" s="12">
        <v>136.0</v>
      </c>
      <c r="F249" s="12">
        <v>140.0</v>
      </c>
      <c r="G249" s="12">
        <v>595.0</v>
      </c>
    </row>
    <row r="250" ht="15.75" customHeight="1">
      <c r="D250" s="7">
        <f t="shared" si="1"/>
        <v>45806</v>
      </c>
      <c r="E250" s="12">
        <v>136.0</v>
      </c>
      <c r="F250" s="12">
        <v>140.0</v>
      </c>
      <c r="G250" s="12">
        <v>595.0</v>
      </c>
    </row>
    <row r="251" ht="15.75" customHeight="1">
      <c r="D251" s="7">
        <f t="shared" si="1"/>
        <v>45807</v>
      </c>
      <c r="E251" s="12">
        <v>136.0</v>
      </c>
      <c r="F251" s="12">
        <v>140.0</v>
      </c>
      <c r="G251" s="12">
        <v>595.0</v>
      </c>
    </row>
    <row r="252" ht="15.75" customHeight="1">
      <c r="D252" s="7">
        <f t="shared" si="1"/>
        <v>45808</v>
      </c>
      <c r="E252" s="12">
        <v>136.0</v>
      </c>
      <c r="F252" s="12">
        <v>140.0</v>
      </c>
      <c r="G252" s="12">
        <v>595.0</v>
      </c>
    </row>
    <row r="253" ht="15.75" customHeight="1">
      <c r="D253" s="7">
        <f t="shared" si="1"/>
        <v>45809</v>
      </c>
      <c r="E253" s="12">
        <v>134.0</v>
      </c>
      <c r="F253" s="12">
        <v>140.0</v>
      </c>
      <c r="G253" s="12">
        <v>595.0</v>
      </c>
    </row>
    <row r="254" ht="15.75" customHeight="1">
      <c r="D254" s="7">
        <f t="shared" si="1"/>
        <v>45810</v>
      </c>
      <c r="E254" s="12">
        <v>134.0</v>
      </c>
      <c r="F254" s="12">
        <v>133.0</v>
      </c>
      <c r="G254" s="12">
        <v>595.0</v>
      </c>
    </row>
    <row r="255" ht="15.75" customHeight="1">
      <c r="D255" s="7">
        <f t="shared" si="1"/>
        <v>45811</v>
      </c>
      <c r="E255" s="12">
        <v>132.0</v>
      </c>
      <c r="F255" s="12">
        <v>128.0</v>
      </c>
      <c r="G255" s="12">
        <v>595.0</v>
      </c>
    </row>
    <row r="256" ht="15.75" customHeight="1">
      <c r="D256" s="7">
        <f t="shared" si="1"/>
        <v>45812</v>
      </c>
      <c r="E256" s="12">
        <v>132.0</v>
      </c>
      <c r="F256" s="12">
        <v>128.0</v>
      </c>
      <c r="G256" s="12">
        <v>595.0</v>
      </c>
    </row>
    <row r="257" ht="15.75" customHeight="1">
      <c r="D257" s="7">
        <f t="shared" si="1"/>
        <v>45813</v>
      </c>
      <c r="E257" s="12">
        <v>134.0</v>
      </c>
      <c r="F257" s="12">
        <v>130.0</v>
      </c>
      <c r="G257" s="12">
        <v>595.0</v>
      </c>
    </row>
    <row r="258" ht="15.75" customHeight="1">
      <c r="D258" s="7">
        <f t="shared" si="1"/>
        <v>45814</v>
      </c>
      <c r="E258" s="12">
        <v>132.0</v>
      </c>
      <c r="F258" s="12">
        <v>134.0</v>
      </c>
      <c r="G258" s="12">
        <v>595.0</v>
      </c>
    </row>
    <row r="259" ht="15.75" customHeight="1">
      <c r="D259" s="7">
        <f t="shared" si="1"/>
        <v>45815</v>
      </c>
      <c r="E259" s="12">
        <v>132.0</v>
      </c>
      <c r="F259" s="12">
        <v>134.0</v>
      </c>
      <c r="G259" s="12">
        <v>601.0</v>
      </c>
    </row>
    <row r="260" ht="15.75" customHeight="1">
      <c r="D260" s="7">
        <f t="shared" si="1"/>
        <v>45816</v>
      </c>
      <c r="E260" s="12">
        <v>132.0</v>
      </c>
      <c r="F260" s="12">
        <v>134.0</v>
      </c>
      <c r="G260" s="12">
        <v>605.0</v>
      </c>
    </row>
    <row r="261" ht="15.75" customHeight="1">
      <c r="D261" s="7">
        <f t="shared" si="1"/>
        <v>45817</v>
      </c>
      <c r="E261" s="12">
        <v>132.0</v>
      </c>
      <c r="F261" s="12">
        <v>134.0</v>
      </c>
      <c r="G261" s="12">
        <v>611.0</v>
      </c>
    </row>
    <row r="262" ht="15.75" customHeight="1">
      <c r="D262" s="7">
        <f t="shared" si="1"/>
        <v>45818</v>
      </c>
      <c r="E262" s="12">
        <v>130.0</v>
      </c>
      <c r="F262" s="12">
        <v>134.0</v>
      </c>
      <c r="G262" s="12">
        <v>611.0</v>
      </c>
    </row>
    <row r="263" ht="15.75" customHeight="1">
      <c r="D263" s="7">
        <f t="shared" si="1"/>
        <v>45819</v>
      </c>
      <c r="E263" s="12">
        <v>128.0</v>
      </c>
      <c r="F263" s="12">
        <v>128.0</v>
      </c>
      <c r="G263" s="12">
        <v>611.0</v>
      </c>
    </row>
    <row r="264" ht="15.75" customHeight="1">
      <c r="D264" s="7">
        <f t="shared" si="1"/>
        <v>45820</v>
      </c>
      <c r="E264" s="12">
        <v>128.0</v>
      </c>
      <c r="F264" s="12">
        <v>117.0</v>
      </c>
      <c r="G264" s="12">
        <v>611.0</v>
      </c>
    </row>
    <row r="265" ht="15.75" customHeight="1">
      <c r="D265" s="7">
        <f t="shared" si="1"/>
        <v>45821</v>
      </c>
      <c r="E265" s="12">
        <v>126.0</v>
      </c>
      <c r="F265" s="12">
        <v>112.0</v>
      </c>
      <c r="G265" s="12">
        <v>590.0</v>
      </c>
    </row>
    <row r="266" ht="15.75" customHeight="1">
      <c r="D266" s="7">
        <f t="shared" si="1"/>
        <v>45822</v>
      </c>
      <c r="E266" s="12">
        <v>126.0</v>
      </c>
      <c r="F266" s="12">
        <v>112.0</v>
      </c>
      <c r="G266" s="12">
        <v>590.0</v>
      </c>
    </row>
    <row r="267" ht="15.75" customHeight="1">
      <c r="D267" s="7">
        <f t="shared" si="1"/>
        <v>45823</v>
      </c>
      <c r="E267" s="12">
        <v>124.0</v>
      </c>
      <c r="F267" s="12">
        <v>112.0</v>
      </c>
      <c r="G267" s="12">
        <v>580.0</v>
      </c>
    </row>
    <row r="268" ht="15.75" customHeight="1">
      <c r="D268" s="7">
        <f t="shared" si="1"/>
        <v>45824</v>
      </c>
      <c r="E268" s="12">
        <v>124.0</v>
      </c>
      <c r="F268" s="12">
        <v>112.0</v>
      </c>
      <c r="G268" s="12">
        <v>560.0</v>
      </c>
    </row>
    <row r="269" ht="15.75" customHeight="1">
      <c r="D269" s="7">
        <f t="shared" si="1"/>
        <v>45825</v>
      </c>
      <c r="E269" s="12">
        <v>122.0</v>
      </c>
      <c r="F269" s="12">
        <v>112.0</v>
      </c>
      <c r="G269" s="12">
        <v>560.0</v>
      </c>
    </row>
    <row r="270" ht="15.75" customHeight="1">
      <c r="D270" s="7">
        <f t="shared" si="1"/>
        <v>45826</v>
      </c>
      <c r="E270" s="12">
        <v>122.0</v>
      </c>
      <c r="F270" s="12">
        <v>112.0</v>
      </c>
      <c r="G270" s="12">
        <v>560.0</v>
      </c>
    </row>
    <row r="271" ht="15.75" customHeight="1">
      <c r="D271" s="7">
        <f t="shared" si="1"/>
        <v>45827</v>
      </c>
      <c r="E271" s="12">
        <v>122.0</v>
      </c>
      <c r="F271" s="12">
        <v>114.0</v>
      </c>
      <c r="G271" s="12">
        <v>560.0</v>
      </c>
    </row>
    <row r="272" ht="15.75" customHeight="1">
      <c r="D272" s="7">
        <f t="shared" si="1"/>
        <v>45828</v>
      </c>
      <c r="E272" s="12">
        <v>124.0</v>
      </c>
      <c r="F272" s="12">
        <v>118.0</v>
      </c>
      <c r="G272" s="12">
        <v>570.0</v>
      </c>
    </row>
    <row r="273" ht="15.75" customHeight="1">
      <c r="D273" s="7">
        <f t="shared" si="1"/>
        <v>45829</v>
      </c>
      <c r="E273" s="12">
        <v>126.0</v>
      </c>
      <c r="F273" s="12">
        <v>118.0</v>
      </c>
      <c r="G273" s="12">
        <v>580.0</v>
      </c>
    </row>
    <row r="274" ht="15.75" customHeight="1">
      <c r="D274" s="7">
        <f t="shared" si="1"/>
        <v>45830</v>
      </c>
      <c r="E274" s="12">
        <v>128.0</v>
      </c>
      <c r="F274" s="12">
        <v>118.0</v>
      </c>
      <c r="G274" s="12">
        <v>585.0</v>
      </c>
    </row>
    <row r="275" ht="15.75" customHeight="1">
      <c r="D275" s="7">
        <f t="shared" si="1"/>
        <v>45831</v>
      </c>
      <c r="E275" s="12">
        <v>128.0</v>
      </c>
      <c r="F275" s="12">
        <v>118.0</v>
      </c>
      <c r="G275" s="12">
        <v>590.0</v>
      </c>
    </row>
    <row r="276" ht="15.75" customHeight="1">
      <c r="D276" s="7">
        <f t="shared" si="1"/>
        <v>45832</v>
      </c>
      <c r="E276" s="12">
        <v>128.0</v>
      </c>
      <c r="F276" s="12">
        <v>118.0</v>
      </c>
      <c r="G276" s="12">
        <v>595.0</v>
      </c>
    </row>
    <row r="277" ht="15.75" customHeight="1">
      <c r="D277" s="7">
        <f t="shared" si="1"/>
        <v>45833</v>
      </c>
      <c r="E277" s="12">
        <v>128.0</v>
      </c>
      <c r="F277" s="12">
        <v>120.0</v>
      </c>
      <c r="G277" s="12">
        <v>601.0</v>
      </c>
    </row>
    <row r="278" ht="15.75" customHeight="1">
      <c r="D278" s="7">
        <f t="shared" si="1"/>
        <v>45834</v>
      </c>
      <c r="E278" s="12">
        <v>128.0</v>
      </c>
      <c r="F278" s="12">
        <v>120.0</v>
      </c>
      <c r="G278" s="12">
        <v>606.0</v>
      </c>
    </row>
    <row r="279" ht="15.75" customHeight="1">
      <c r="D279" s="7">
        <f t="shared" si="1"/>
        <v>45835</v>
      </c>
      <c r="E279" s="12">
        <v>128.0</v>
      </c>
      <c r="F279" s="12">
        <v>120.0</v>
      </c>
      <c r="G279" s="12">
        <v>611.0</v>
      </c>
    </row>
    <row r="280" ht="15.75" customHeight="1">
      <c r="D280" s="7">
        <f t="shared" si="1"/>
        <v>45836</v>
      </c>
      <c r="E280" s="12">
        <v>128.0</v>
      </c>
      <c r="F280" s="12">
        <v>120.0</v>
      </c>
      <c r="G280" s="12">
        <v>616.0</v>
      </c>
    </row>
    <row r="281" ht="15.75" customHeight="1">
      <c r="D281" s="7">
        <f t="shared" si="1"/>
        <v>45837</v>
      </c>
      <c r="E281" s="12">
        <v>128.0</v>
      </c>
      <c r="F281" s="12">
        <v>120.0</v>
      </c>
      <c r="G281" s="12">
        <v>621.0</v>
      </c>
    </row>
    <row r="282" ht="15.75" customHeight="1">
      <c r="D282" s="7">
        <f t="shared" si="1"/>
        <v>45838</v>
      </c>
      <c r="E282" s="12">
        <v>128.0</v>
      </c>
      <c r="F282" s="12">
        <v>112.0</v>
      </c>
      <c r="G282" s="12">
        <v>625.0</v>
      </c>
    </row>
    <row r="283" ht="15.75" customHeight="1">
      <c r="D283" s="7">
        <f t="shared" si="1"/>
        <v>45839</v>
      </c>
      <c r="E283" s="12">
        <v>128.0</v>
      </c>
      <c r="F283" s="12">
        <v>112.0</v>
      </c>
      <c r="G283" s="12">
        <v>630.0</v>
      </c>
    </row>
    <row r="284" ht="15.75" customHeight="1">
      <c r="D284" s="7">
        <f t="shared" si="1"/>
        <v>45840</v>
      </c>
      <c r="E284" s="12">
        <v>128.0</v>
      </c>
      <c r="F284" s="12">
        <v>112.0</v>
      </c>
      <c r="G284" s="12">
        <v>635.0</v>
      </c>
    </row>
    <row r="285" ht="15.75" customHeight="1">
      <c r="D285" s="7">
        <f t="shared" si="1"/>
        <v>45841</v>
      </c>
      <c r="E285" s="12">
        <v>128.0</v>
      </c>
      <c r="F285" s="12">
        <v>112.0</v>
      </c>
      <c r="G285" s="12">
        <v>635.0</v>
      </c>
    </row>
    <row r="286" ht="15.75" customHeight="1">
      <c r="D286" s="7">
        <f t="shared" si="1"/>
        <v>45842</v>
      </c>
      <c r="E286" s="12">
        <v>128.0</v>
      </c>
      <c r="F286" s="12">
        <v>116.0</v>
      </c>
      <c r="G286" s="12">
        <v>635.0</v>
      </c>
    </row>
    <row r="287" ht="15.75" customHeight="1">
      <c r="D287" s="7">
        <f t="shared" si="1"/>
        <v>45843</v>
      </c>
      <c r="E287" s="12">
        <v>128.0</v>
      </c>
      <c r="F287" s="12">
        <v>118.0</v>
      </c>
      <c r="G287" s="12">
        <v>615.0</v>
      </c>
    </row>
    <row r="288" ht="15.75" customHeight="1">
      <c r="D288" s="7">
        <f t="shared" si="1"/>
        <v>45844</v>
      </c>
      <c r="E288" s="12">
        <v>128.0</v>
      </c>
      <c r="F288" s="12">
        <v>120.0</v>
      </c>
      <c r="G288" s="12">
        <v>615.0</v>
      </c>
    </row>
    <row r="289" ht="15.75" customHeight="1">
      <c r="D289" s="7">
        <f t="shared" si="1"/>
        <v>45845</v>
      </c>
      <c r="E289" s="12">
        <v>128.0</v>
      </c>
      <c r="F289" s="12">
        <v>122.0</v>
      </c>
      <c r="G289" s="12">
        <v>615.0</v>
      </c>
    </row>
    <row r="290" ht="15.75" customHeight="1">
      <c r="D290" s="7">
        <f t="shared" si="1"/>
        <v>45846</v>
      </c>
      <c r="E290" s="12">
        <v>128.0</v>
      </c>
      <c r="F290" s="12">
        <v>124.0</v>
      </c>
      <c r="G290" s="12">
        <v>610.0</v>
      </c>
    </row>
    <row r="291" ht="15.75" customHeight="1">
      <c r="D291" s="7">
        <f t="shared" si="1"/>
        <v>45847</v>
      </c>
      <c r="E291" s="12">
        <v>128.0</v>
      </c>
      <c r="F291" s="12">
        <v>124.0</v>
      </c>
      <c r="G291" s="12">
        <v>600.0</v>
      </c>
    </row>
    <row r="292" ht="15.75" customHeight="1">
      <c r="D292" s="7">
        <f t="shared" si="1"/>
        <v>45848</v>
      </c>
      <c r="E292" s="12">
        <v>128.0</v>
      </c>
      <c r="F292" s="12">
        <v>124.0</v>
      </c>
      <c r="G292" s="12">
        <v>585.0</v>
      </c>
    </row>
    <row r="293" ht="15.75" customHeight="1">
      <c r="D293" s="7">
        <f t="shared" si="1"/>
        <v>45849</v>
      </c>
      <c r="E293" s="12">
        <v>128.0</v>
      </c>
      <c r="F293" s="12">
        <v>122.0</v>
      </c>
      <c r="G293" s="12">
        <v>570.0</v>
      </c>
    </row>
    <row r="294" ht="15.75" customHeight="1">
      <c r="D294" s="7">
        <f t="shared" si="1"/>
        <v>45850</v>
      </c>
      <c r="E294" s="12">
        <v>128.0</v>
      </c>
      <c r="F294" s="12">
        <v>120.0</v>
      </c>
      <c r="G294" s="12">
        <v>570.0</v>
      </c>
    </row>
    <row r="295" ht="15.75" customHeight="1">
      <c r="D295" s="7">
        <f t="shared" si="1"/>
        <v>45851</v>
      </c>
      <c r="E295" s="12">
        <v>126.0</v>
      </c>
      <c r="F295" s="12">
        <v>120.0</v>
      </c>
      <c r="G295" s="12">
        <v>570.0</v>
      </c>
    </row>
    <row r="296" ht="15.75" customHeight="1">
      <c r="D296" s="7">
        <f t="shared" si="1"/>
        <v>45852</v>
      </c>
      <c r="E296" s="12">
        <v>126.0</v>
      </c>
      <c r="F296" s="12">
        <v>120.0</v>
      </c>
      <c r="G296" s="12">
        <v>560.0</v>
      </c>
    </row>
    <row r="297" ht="15.75" customHeight="1">
      <c r="D297" s="7">
        <f t="shared" si="1"/>
        <v>45853</v>
      </c>
      <c r="E297" s="12">
        <v>126.0</v>
      </c>
      <c r="F297" s="12">
        <v>120.0</v>
      </c>
      <c r="G297" s="12">
        <v>560.0</v>
      </c>
    </row>
    <row r="298" ht="15.75" customHeight="1">
      <c r="D298" s="7">
        <f t="shared" si="1"/>
        <v>45854</v>
      </c>
      <c r="E298" s="12">
        <v>124.0</v>
      </c>
      <c r="F298" s="12">
        <v>120.0</v>
      </c>
      <c r="G298" s="12">
        <v>560.0</v>
      </c>
    </row>
    <row r="299" ht="15.75" customHeight="1">
      <c r="D299" s="7">
        <f t="shared" si="1"/>
        <v>45855</v>
      </c>
      <c r="E299" s="12">
        <v>126.0</v>
      </c>
      <c r="F299" s="12">
        <v>120.0</v>
      </c>
      <c r="G299" s="12">
        <v>560.0</v>
      </c>
    </row>
    <row r="300" ht="15.75" customHeight="1">
      <c r="D300" s="7">
        <f t="shared" si="1"/>
        <v>45856</v>
      </c>
      <c r="E300" s="12">
        <v>126.0</v>
      </c>
      <c r="F300" s="12">
        <v>122.0</v>
      </c>
      <c r="G300" s="12">
        <v>560.0</v>
      </c>
    </row>
    <row r="301" ht="15.75" customHeight="1">
      <c r="D301" s="7">
        <f t="shared" si="1"/>
        <v>45857</v>
      </c>
      <c r="E301" s="12">
        <v>126.0</v>
      </c>
      <c r="F301" s="12">
        <v>124.0</v>
      </c>
      <c r="G301" s="12">
        <v>560.0</v>
      </c>
    </row>
    <row r="302" ht="15.75" customHeight="1">
      <c r="D302" s="7">
        <f t="shared" si="1"/>
        <v>45858</v>
      </c>
      <c r="E302" s="12">
        <v>128.0</v>
      </c>
      <c r="F302" s="12">
        <v>128.0</v>
      </c>
      <c r="G302" s="12">
        <v>560.0</v>
      </c>
    </row>
    <row r="303" ht="15.75" customHeight="1">
      <c r="D303" s="7">
        <f t="shared" si="1"/>
        <v>45859</v>
      </c>
      <c r="E303" s="12">
        <v>130.0</v>
      </c>
      <c r="F303" s="12">
        <v>130.0</v>
      </c>
      <c r="G303" s="12">
        <v>560.0</v>
      </c>
    </row>
    <row r="304" ht="15.75" customHeight="1">
      <c r="D304" s="7">
        <f t="shared" si="1"/>
        <v>45860</v>
      </c>
      <c r="E304" s="12">
        <v>132.0</v>
      </c>
      <c r="F304" s="12">
        <v>134.0</v>
      </c>
      <c r="G304" s="12">
        <v>545.0</v>
      </c>
    </row>
    <row r="305" ht="15.75" customHeight="1">
      <c r="D305" s="7">
        <f t="shared" si="1"/>
        <v>45861</v>
      </c>
      <c r="E305" s="12">
        <v>134.0</v>
      </c>
      <c r="F305" s="12">
        <v>134.0</v>
      </c>
      <c r="G305" s="12">
        <v>530.0</v>
      </c>
    </row>
    <row r="306" ht="15.75" customHeight="1">
      <c r="D306" s="7">
        <f t="shared" si="1"/>
        <v>45862</v>
      </c>
      <c r="E306" s="12">
        <v>134.0</v>
      </c>
      <c r="F306" s="12">
        <v>134.0</v>
      </c>
      <c r="G306" s="12">
        <v>515.0</v>
      </c>
    </row>
    <row r="307" ht="15.75" customHeight="1">
      <c r="D307" s="7">
        <f t="shared" si="1"/>
        <v>45863</v>
      </c>
      <c r="E307" s="12">
        <v>134.0</v>
      </c>
      <c r="F307" s="12">
        <v>134.0</v>
      </c>
      <c r="G307" s="12">
        <v>495.0</v>
      </c>
    </row>
    <row r="308" ht="15.75" customHeight="1">
      <c r="D308" s="7">
        <f t="shared" si="1"/>
        <v>45864</v>
      </c>
      <c r="E308" s="12">
        <v>132.0</v>
      </c>
      <c r="F308" s="12">
        <v>130.0</v>
      </c>
      <c r="G308" s="12">
        <v>485.0</v>
      </c>
    </row>
    <row r="309" ht="15.75" customHeight="1">
      <c r="D309" s="7">
        <f t="shared" si="1"/>
        <v>45865</v>
      </c>
      <c r="E309" s="12">
        <v>132.0</v>
      </c>
      <c r="F309" s="12">
        <v>128.0</v>
      </c>
      <c r="G309" s="12">
        <v>465.0</v>
      </c>
    </row>
    <row r="310" ht="15.75" customHeight="1">
      <c r="D310" s="7">
        <f t="shared" si="1"/>
        <v>45866</v>
      </c>
      <c r="E310" s="12">
        <v>132.0</v>
      </c>
      <c r="F310" s="12">
        <v>128.0</v>
      </c>
      <c r="G310" s="12">
        <v>455.0</v>
      </c>
    </row>
    <row r="311" ht="15.75" customHeight="1">
      <c r="D311" s="7">
        <f t="shared" si="1"/>
        <v>45867</v>
      </c>
      <c r="E311" s="12">
        <v>130.0</v>
      </c>
      <c r="F311" s="12">
        <v>128.0</v>
      </c>
      <c r="G311" s="12">
        <v>455.0</v>
      </c>
    </row>
    <row r="312" ht="15.75" customHeight="1">
      <c r="D312" s="7">
        <f t="shared" si="1"/>
        <v>45868</v>
      </c>
      <c r="E312" s="12">
        <v>128.0</v>
      </c>
      <c r="F312" s="12">
        <v>121.0</v>
      </c>
      <c r="G312" s="12">
        <v>455.0</v>
      </c>
    </row>
    <row r="313" ht="15.75" customHeight="1">
      <c r="D313" s="7">
        <f t="shared" si="1"/>
        <v>45869</v>
      </c>
      <c r="E313" s="12">
        <v>126.0</v>
      </c>
      <c r="F313" s="12">
        <v>115.0</v>
      </c>
      <c r="G313" s="12">
        <v>460.0</v>
      </c>
    </row>
    <row r="314" ht="15.75" customHeight="1">
      <c r="D314" s="7">
        <f t="shared" si="1"/>
        <v>45870</v>
      </c>
      <c r="E314" s="12">
        <v>124.0</v>
      </c>
      <c r="F314" s="12">
        <v>115.0</v>
      </c>
      <c r="G314" s="12">
        <v>465.0</v>
      </c>
    </row>
    <row r="315" ht="15.75" customHeight="1">
      <c r="D315" s="7">
        <f t="shared" si="1"/>
        <v>45871</v>
      </c>
      <c r="E315" s="12">
        <v>124.0</v>
      </c>
      <c r="F315" s="12">
        <v>113.0</v>
      </c>
      <c r="G315" s="12">
        <v>470.0</v>
      </c>
    </row>
    <row r="316" ht="15.75" customHeight="1">
      <c r="D316" s="7">
        <f t="shared" si="1"/>
        <v>45872</v>
      </c>
      <c r="E316" s="12">
        <v>124.0</v>
      </c>
      <c r="F316" s="12">
        <v>113.0</v>
      </c>
      <c r="G316" s="12">
        <v>470.0</v>
      </c>
    </row>
    <row r="317" ht="15.75" customHeight="1">
      <c r="D317" s="7">
        <f t="shared" si="1"/>
        <v>45873</v>
      </c>
      <c r="E317" s="12">
        <v>124.0</v>
      </c>
      <c r="F317" s="12">
        <v>113.0</v>
      </c>
      <c r="G317" s="12">
        <v>475.0</v>
      </c>
    </row>
    <row r="318" ht="15.75" customHeight="1">
      <c r="D318" s="7">
        <f t="shared" si="1"/>
        <v>45874</v>
      </c>
      <c r="E318" s="12">
        <v>122.0</v>
      </c>
      <c r="F318" s="12">
        <v>105.0</v>
      </c>
      <c r="G318" s="12">
        <v>475.0</v>
      </c>
    </row>
    <row r="319" ht="15.75" customHeight="1">
      <c r="D319" s="7">
        <f t="shared" si="1"/>
        <v>45875</v>
      </c>
      <c r="E319" s="12">
        <v>122.0</v>
      </c>
      <c r="F319" s="12">
        <v>105.0</v>
      </c>
      <c r="G319" s="12">
        <v>475.0</v>
      </c>
    </row>
    <row r="320" ht="15.75" customHeight="1">
      <c r="D320" s="7">
        <f t="shared" si="1"/>
        <v>45876</v>
      </c>
      <c r="E320" s="12">
        <v>122.0</v>
      </c>
      <c r="F320" s="12">
        <v>97.0</v>
      </c>
      <c r="G320" s="12">
        <v>480.0</v>
      </c>
    </row>
    <row r="321" ht="15.75" customHeight="1">
      <c r="D321" s="7">
        <f t="shared" si="1"/>
        <v>45877</v>
      </c>
      <c r="E321" s="12">
        <v>122.0</v>
      </c>
      <c r="F321" s="12">
        <v>99.0</v>
      </c>
      <c r="G321" s="12">
        <v>485.0</v>
      </c>
    </row>
    <row r="322" ht="15.75" customHeight="1">
      <c r="D322" s="7">
        <f t="shared" si="1"/>
        <v>45878</v>
      </c>
      <c r="E322" s="12">
        <v>122.0</v>
      </c>
      <c r="F322" s="12">
        <v>99.0</v>
      </c>
      <c r="G322" s="12">
        <v>490.0</v>
      </c>
    </row>
    <row r="323" ht="15.75" customHeight="1">
      <c r="D323" s="7">
        <f t="shared" si="1"/>
        <v>45879</v>
      </c>
      <c r="E323" s="12">
        <v>124.0</v>
      </c>
      <c r="F323" s="12">
        <v>105.0</v>
      </c>
      <c r="G323" s="12">
        <v>495.0</v>
      </c>
    </row>
    <row r="324" ht="15.75" customHeight="1">
      <c r="D324" s="7">
        <f t="shared" si="1"/>
        <v>45880</v>
      </c>
      <c r="E324" s="12">
        <v>124.0</v>
      </c>
      <c r="F324" s="12">
        <v>105.0</v>
      </c>
      <c r="G324" s="12">
        <v>505.0</v>
      </c>
    </row>
    <row r="325" ht="15.75" customHeight="1">
      <c r="D325" s="7">
        <f t="shared" si="1"/>
        <v>45881</v>
      </c>
      <c r="E325" s="12">
        <v>126.0</v>
      </c>
      <c r="F325" s="12">
        <v>107.0</v>
      </c>
      <c r="G325" s="12">
        <v>515.0</v>
      </c>
    </row>
    <row r="326" ht="15.75" customHeight="1">
      <c r="D326" s="7">
        <f t="shared" si="1"/>
        <v>45882</v>
      </c>
      <c r="E326" s="12">
        <v>126.0</v>
      </c>
      <c r="F326" s="12">
        <v>109.0</v>
      </c>
      <c r="G326" s="12">
        <v>520.0</v>
      </c>
    </row>
    <row r="327" ht="15.75" customHeight="1">
      <c r="D327" s="7">
        <f t="shared" si="1"/>
        <v>45883</v>
      </c>
      <c r="E327" s="12">
        <v>126.0</v>
      </c>
      <c r="F327" s="12">
        <v>112.0</v>
      </c>
      <c r="G327" s="12">
        <v>520.0</v>
      </c>
    </row>
    <row r="328" ht="15.75" customHeight="1">
      <c r="D328" s="7">
        <f t="shared" si="1"/>
        <v>45884</v>
      </c>
      <c r="E328" s="12">
        <v>126.0</v>
      </c>
      <c r="F328" s="12">
        <v>112.0</v>
      </c>
      <c r="G328" s="12">
        <v>520.0</v>
      </c>
    </row>
    <row r="329" ht="15.75" customHeight="1">
      <c r="D329" s="7">
        <f t="shared" si="1"/>
        <v>45885</v>
      </c>
      <c r="E329" s="12">
        <v>126.0</v>
      </c>
      <c r="F329" s="12">
        <v>114.0</v>
      </c>
      <c r="G329" s="12">
        <v>520.0</v>
      </c>
    </row>
    <row r="330" ht="15.75" customHeight="1">
      <c r="D330" s="7">
        <f t="shared" si="1"/>
        <v>45886</v>
      </c>
      <c r="E330" s="12">
        <v>126.0</v>
      </c>
      <c r="F330" s="12">
        <v>114.0</v>
      </c>
      <c r="G330" s="12">
        <v>520.0</v>
      </c>
    </row>
    <row r="331" ht="15.75" customHeight="1">
      <c r="D331" s="7">
        <f t="shared" si="1"/>
        <v>45887</v>
      </c>
      <c r="E331" s="12">
        <v>126.0</v>
      </c>
      <c r="F331" s="12">
        <v>114.0</v>
      </c>
      <c r="G331" s="12">
        <v>525.0</v>
      </c>
    </row>
    <row r="332" ht="15.75" customHeight="1">
      <c r="D332" s="7">
        <f t="shared" si="1"/>
        <v>45888</v>
      </c>
      <c r="E332" s="12">
        <v>126.0</v>
      </c>
      <c r="F332" s="12">
        <v>114.0</v>
      </c>
      <c r="G332" s="12">
        <v>535.0</v>
      </c>
    </row>
    <row r="333" ht="15.75" customHeight="1">
      <c r="D333" s="7">
        <f t="shared" si="1"/>
        <v>45889</v>
      </c>
      <c r="E333" s="12">
        <v>126.0</v>
      </c>
      <c r="F333" s="12">
        <v>109.0</v>
      </c>
      <c r="G333" s="12">
        <v>535.0</v>
      </c>
    </row>
    <row r="334" ht="15.75" customHeight="1">
      <c r="D334" s="7">
        <f t="shared" si="1"/>
        <v>45890</v>
      </c>
      <c r="E334" s="12">
        <v>124.0</v>
      </c>
      <c r="F334" s="12">
        <v>101.0</v>
      </c>
      <c r="G334" s="12">
        <v>535.0</v>
      </c>
    </row>
    <row r="335" ht="15.75" customHeight="1">
      <c r="D335" s="7">
        <f t="shared" si="1"/>
        <v>45891</v>
      </c>
      <c r="E335" s="12">
        <v>124.0</v>
      </c>
      <c r="F335" s="12">
        <v>101.0</v>
      </c>
      <c r="G335" s="12">
        <v>540.0</v>
      </c>
    </row>
    <row r="336" ht="15.75" customHeight="1">
      <c r="D336" s="7">
        <f t="shared" si="1"/>
        <v>45892</v>
      </c>
      <c r="E336" s="12">
        <v>124.0</v>
      </c>
      <c r="F336" s="12">
        <v>107.0</v>
      </c>
      <c r="G336" s="12">
        <v>540.0</v>
      </c>
    </row>
    <row r="337" ht="15.75" customHeight="1">
      <c r="D337" s="7">
        <f t="shared" si="1"/>
        <v>45893</v>
      </c>
      <c r="E337" s="12">
        <v>124.0</v>
      </c>
      <c r="F337" s="12">
        <v>111.0</v>
      </c>
      <c r="G337" s="12">
        <v>540.0</v>
      </c>
    </row>
    <row r="338" ht="15.75" customHeight="1">
      <c r="D338" s="7">
        <f t="shared" si="1"/>
        <v>45894</v>
      </c>
      <c r="E338" s="12">
        <v>124.0</v>
      </c>
      <c r="F338" s="12">
        <v>111.0</v>
      </c>
      <c r="G338" s="12">
        <v>540.0</v>
      </c>
    </row>
    <row r="339" ht="15.75" customHeight="1">
      <c r="D339" s="7">
        <f t="shared" si="1"/>
        <v>45895</v>
      </c>
      <c r="E339" s="12">
        <v>124.0</v>
      </c>
      <c r="F339" s="12">
        <v>109.0</v>
      </c>
      <c r="G339" s="12">
        <v>545.0</v>
      </c>
    </row>
    <row r="340" ht="15.75" customHeight="1">
      <c r="D340" s="7">
        <f t="shared" si="1"/>
        <v>45896</v>
      </c>
      <c r="E340" s="12">
        <v>124.0</v>
      </c>
      <c r="F340" s="12">
        <v>109.0</v>
      </c>
      <c r="G340" s="12">
        <v>550.0</v>
      </c>
    </row>
    <row r="341" ht="15.75" customHeight="1">
      <c r="D341" s="7">
        <f t="shared" si="1"/>
        <v>45897</v>
      </c>
      <c r="E341" s="12">
        <v>124.0</v>
      </c>
      <c r="F341" s="12">
        <v>107.0</v>
      </c>
      <c r="G341" s="12">
        <v>550.0</v>
      </c>
    </row>
    <row r="342" ht="15.75" customHeight="1">
      <c r="D342" s="7">
        <f t="shared" si="1"/>
        <v>45898</v>
      </c>
      <c r="E342" s="12">
        <v>124.0</v>
      </c>
      <c r="F342" s="12">
        <v>109.0</v>
      </c>
      <c r="G342" s="12">
        <v>560.0</v>
      </c>
    </row>
    <row r="343" ht="15.75" customHeight="1">
      <c r="D343" s="7">
        <f t="shared" si="1"/>
        <v>45899</v>
      </c>
      <c r="E343" s="12">
        <v>126.0</v>
      </c>
      <c r="F343" s="12">
        <v>113.0</v>
      </c>
      <c r="G343" s="12">
        <v>565.0</v>
      </c>
    </row>
    <row r="344" ht="15.75" customHeight="1">
      <c r="D344" s="7">
        <f t="shared" si="1"/>
        <v>45900</v>
      </c>
      <c r="E344" s="12">
        <v>128.0</v>
      </c>
      <c r="F344" s="12">
        <v>115.0</v>
      </c>
      <c r="G344" s="12">
        <v>565.0</v>
      </c>
    </row>
    <row r="345" ht="15.75" customHeight="1">
      <c r="D345" s="7">
        <f t="shared" si="1"/>
        <v>45901</v>
      </c>
      <c r="E345" s="12">
        <v>128.0</v>
      </c>
      <c r="F345" s="12">
        <v>117.0</v>
      </c>
      <c r="G345" s="12">
        <v>570.0</v>
      </c>
    </row>
    <row r="346" ht="15.75" customHeight="1">
      <c r="D346" s="7">
        <f t="shared" si="1"/>
        <v>45902</v>
      </c>
      <c r="E346" s="12">
        <v>128.0</v>
      </c>
      <c r="F346" s="12">
        <v>117.0</v>
      </c>
      <c r="G346" s="12">
        <v>575.0</v>
      </c>
    </row>
    <row r="347" ht="15.75" customHeight="1">
      <c r="D347" s="7">
        <f t="shared" si="1"/>
        <v>45903</v>
      </c>
      <c r="E347" s="12">
        <v>126.0</v>
      </c>
      <c r="F347" s="12">
        <v>115.0</v>
      </c>
      <c r="G347" s="12">
        <v>580.0</v>
      </c>
    </row>
    <row r="348" ht="15.75" customHeight="1">
      <c r="D348" s="7">
        <f t="shared" si="1"/>
        <v>45904</v>
      </c>
      <c r="E348" s="12">
        <v>126.0</v>
      </c>
      <c r="F348" s="12">
        <v>115.0</v>
      </c>
      <c r="G348" s="12">
        <v>580.0</v>
      </c>
    </row>
    <row r="349" ht="15.75" customHeight="1">
      <c r="D349" s="7">
        <f t="shared" si="1"/>
        <v>45905</v>
      </c>
      <c r="E349" s="13">
        <v>124.0</v>
      </c>
      <c r="F349" s="13">
        <v>117.0</v>
      </c>
      <c r="G349" s="13">
        <v>580.0</v>
      </c>
    </row>
    <row r="350" ht="15.75" customHeight="1">
      <c r="D350" s="7">
        <f t="shared" si="1"/>
        <v>45906</v>
      </c>
      <c r="E350" s="12">
        <v>126.0</v>
      </c>
      <c r="F350" s="13">
        <v>117.0</v>
      </c>
      <c r="G350" s="12">
        <v>570.0</v>
      </c>
    </row>
    <row r="351" ht="15.75" customHeight="1">
      <c r="D351" s="7">
        <f t="shared" si="1"/>
        <v>45907</v>
      </c>
      <c r="E351" s="13">
        <v>128.0</v>
      </c>
      <c r="F351" s="13">
        <v>125.0</v>
      </c>
      <c r="G351" s="13">
        <v>570.0</v>
      </c>
    </row>
    <row r="352" ht="15.75" customHeight="1">
      <c r="D352" s="7">
        <f t="shared" si="1"/>
        <v>45908</v>
      </c>
      <c r="E352" s="13">
        <v>128.0</v>
      </c>
      <c r="F352" s="12">
        <v>123.0</v>
      </c>
      <c r="G352" s="13">
        <v>570.0</v>
      </c>
    </row>
    <row r="353" ht="15.75" customHeight="1">
      <c r="D353" s="7">
        <f t="shared" si="1"/>
        <v>45909</v>
      </c>
      <c r="E353" s="12">
        <v>130.0</v>
      </c>
      <c r="F353" s="12">
        <v>127.0</v>
      </c>
      <c r="G353" s="12">
        <v>580.0</v>
      </c>
    </row>
    <row r="354" ht="15.75" customHeight="1">
      <c r="D354" s="7">
        <f t="shared" si="1"/>
        <v>45910</v>
      </c>
      <c r="E354" s="12">
        <v>132.0</v>
      </c>
      <c r="F354" s="12">
        <v>127.0</v>
      </c>
      <c r="G354" s="12">
        <v>580.0</v>
      </c>
    </row>
    <row r="355" ht="15.75" customHeight="1">
      <c r="D355" s="7">
        <f t="shared" si="1"/>
        <v>45911</v>
      </c>
      <c r="E355" s="12">
        <v>132.0</v>
      </c>
      <c r="F355" s="12">
        <v>127.0</v>
      </c>
      <c r="G355" s="12">
        <v>580.0</v>
      </c>
    </row>
    <row r="356" ht="15.75" customHeight="1">
      <c r="D356" s="7">
        <f t="shared" si="1"/>
        <v>45912</v>
      </c>
      <c r="E356" s="12">
        <v>132.0</v>
      </c>
      <c r="F356" s="12">
        <v>120.0</v>
      </c>
      <c r="G356" s="12">
        <v>570.0</v>
      </c>
    </row>
    <row r="357" ht="15.75" customHeight="1">
      <c r="D357" s="7">
        <f t="shared" si="1"/>
        <v>45913</v>
      </c>
      <c r="E357" s="12">
        <v>132.0</v>
      </c>
      <c r="F357" s="12">
        <v>118.0</v>
      </c>
      <c r="G357" s="12">
        <v>570.0</v>
      </c>
    </row>
    <row r="358" ht="15.75" customHeight="1">
      <c r="D358" s="7">
        <f t="shared" si="1"/>
        <v>45914</v>
      </c>
      <c r="E358" s="12">
        <v>132.0</v>
      </c>
      <c r="F358" s="12">
        <v>118.0</v>
      </c>
      <c r="G358" s="12">
        <v>570.0</v>
      </c>
    </row>
    <row r="359" ht="15.75" customHeight="1">
      <c r="D359" s="7">
        <f t="shared" si="1"/>
        <v>45915</v>
      </c>
      <c r="E359" s="12">
        <v>132.0</v>
      </c>
      <c r="F359" s="12">
        <v>118.0</v>
      </c>
      <c r="G359" s="12">
        <v>580.0</v>
      </c>
    </row>
    <row r="360" ht="15.75" customHeight="1">
      <c r="D360" s="7">
        <f t="shared" si="1"/>
        <v>45916</v>
      </c>
      <c r="E360" s="12">
        <v>132.0</v>
      </c>
      <c r="F360" s="12">
        <v>120.0</v>
      </c>
      <c r="G360" s="12">
        <v>590.0</v>
      </c>
    </row>
    <row r="361" ht="15.75" customHeight="1">
      <c r="D361" s="7">
        <f t="shared" si="1"/>
        <v>45917</v>
      </c>
      <c r="E361" s="12">
        <v>132.0</v>
      </c>
      <c r="F361" s="12">
        <v>120.0</v>
      </c>
      <c r="G361" s="12">
        <v>590.0</v>
      </c>
    </row>
    <row r="362" ht="15.75" customHeight="1">
      <c r="D362" s="7">
        <f t="shared" si="1"/>
        <v>45918</v>
      </c>
      <c r="E362" s="12">
        <v>132.0</v>
      </c>
      <c r="F362" s="12">
        <v>120.0</v>
      </c>
      <c r="G362" s="12">
        <v>590.0</v>
      </c>
    </row>
    <row r="363" ht="15.75" customHeight="1">
      <c r="D363" s="7">
        <f t="shared" si="1"/>
        <v>45919</v>
      </c>
      <c r="E363" s="12">
        <v>132.0</v>
      </c>
      <c r="F363" s="12">
        <v>122.0</v>
      </c>
      <c r="G363" s="12">
        <v>590.0</v>
      </c>
    </row>
    <row r="364" ht="15.75" customHeight="1">
      <c r="D364" s="7">
        <f t="shared" si="1"/>
        <v>45920</v>
      </c>
      <c r="E364" s="12">
        <v>132.0</v>
      </c>
      <c r="F364" s="12">
        <v>122.0</v>
      </c>
      <c r="G364" s="12">
        <v>590.0</v>
      </c>
    </row>
    <row r="365" ht="15.75" customHeight="1">
      <c r="D365" s="7">
        <f t="shared" si="1"/>
        <v>45921</v>
      </c>
      <c r="E365" s="12">
        <v>132.0</v>
      </c>
      <c r="F365" s="12">
        <v>122.0</v>
      </c>
      <c r="G365" s="12">
        <v>590.0</v>
      </c>
    </row>
    <row r="366" ht="15.75" customHeight="1">
      <c r="D366" s="7">
        <f t="shared" si="1"/>
        <v>45922</v>
      </c>
      <c r="E366" s="12">
        <v>132.0</v>
      </c>
      <c r="F366" s="12">
        <v>118.0</v>
      </c>
      <c r="G366" s="12">
        <v>580.0</v>
      </c>
    </row>
    <row r="367" ht="15.75" customHeight="1">
      <c r="D367" s="7">
        <f t="shared" si="1"/>
        <v>45923</v>
      </c>
      <c r="E367" s="12">
        <v>132.0</v>
      </c>
      <c r="F367" s="12">
        <v>112.0</v>
      </c>
      <c r="G367" s="12">
        <v>580.0</v>
      </c>
    </row>
    <row r="368" ht="15.75" customHeight="1">
      <c r="D368" s="7">
        <f t="shared" si="1"/>
        <v>45924</v>
      </c>
      <c r="E368" s="12">
        <v>132.0</v>
      </c>
      <c r="F368" s="12">
        <v>107.0</v>
      </c>
      <c r="G368" s="12">
        <v>570.0</v>
      </c>
    </row>
    <row r="369" ht="15.75" customHeight="1">
      <c r="D369" s="7">
        <f t="shared" si="1"/>
        <v>45925</v>
      </c>
      <c r="E369" s="12">
        <v>132.0</v>
      </c>
      <c r="F369" s="12">
        <v>100.0</v>
      </c>
      <c r="G369" s="12">
        <v>560.0</v>
      </c>
    </row>
    <row r="370" ht="15.75" customHeight="1">
      <c r="D370" s="7">
        <f t="shared" si="1"/>
        <v>45926</v>
      </c>
      <c r="E370" s="12">
        <v>132.0</v>
      </c>
      <c r="F370" s="12">
        <v>100.0</v>
      </c>
      <c r="G370" s="12">
        <v>560.0</v>
      </c>
    </row>
    <row r="371" ht="15.75" customHeight="1">
      <c r="D371" s="7">
        <f t="shared" si="1"/>
        <v>45927</v>
      </c>
      <c r="E371" s="12">
        <v>132.0</v>
      </c>
      <c r="F371" s="12">
        <v>100.0</v>
      </c>
      <c r="G371" s="12">
        <v>560.0</v>
      </c>
    </row>
    <row r="372" ht="15.75" customHeight="1">
      <c r="D372" s="7">
        <f t="shared" si="1"/>
        <v>45928</v>
      </c>
      <c r="E372" s="12">
        <v>132.0</v>
      </c>
      <c r="F372" s="12">
        <v>100.0</v>
      </c>
      <c r="G372" s="12">
        <v>560.0</v>
      </c>
    </row>
    <row r="373" ht="15.75" customHeight="1">
      <c r="D373" s="7">
        <f t="shared" si="1"/>
        <v>45929</v>
      </c>
      <c r="E373" s="12">
        <v>132.0</v>
      </c>
      <c r="F373" s="12">
        <v>100.0</v>
      </c>
      <c r="G373" s="12">
        <v>540.0</v>
      </c>
    </row>
    <row r="374" ht="15.75" customHeight="1">
      <c r="D374" s="7">
        <f t="shared" si="1"/>
        <v>45930</v>
      </c>
      <c r="E374" s="12">
        <v>132.0</v>
      </c>
      <c r="F374" s="12">
        <v>102.0</v>
      </c>
      <c r="G374" s="12">
        <v>560.0</v>
      </c>
    </row>
    <row r="375" ht="15.75" customHeight="1">
      <c r="D375" s="7">
        <f t="shared" si="1"/>
        <v>45931</v>
      </c>
      <c r="E375" s="12">
        <v>132.0</v>
      </c>
      <c r="F375" s="12">
        <v>110.0</v>
      </c>
      <c r="G375" s="12">
        <v>555.0</v>
      </c>
    </row>
    <row r="376" ht="15.75" customHeight="1">
      <c r="D376" s="7">
        <f t="shared" si="1"/>
        <v>45932</v>
      </c>
      <c r="E376" s="12">
        <v>132.0</v>
      </c>
      <c r="F376" s="12">
        <v>120.0</v>
      </c>
      <c r="G376" s="12">
        <v>535.0</v>
      </c>
    </row>
    <row r="377" ht="15.75" customHeight="1">
      <c r="D377" s="7">
        <f t="shared" si="1"/>
        <v>45933</v>
      </c>
      <c r="E377" s="12">
        <v>132.0</v>
      </c>
      <c r="F377" s="12">
        <v>122.0</v>
      </c>
      <c r="G377" s="12">
        <v>555.0</v>
      </c>
    </row>
    <row r="378" ht="15.75" customHeight="1">
      <c r="D378" s="7">
        <f t="shared" si="1"/>
        <v>45934</v>
      </c>
      <c r="E378" s="12">
        <v>134.0</v>
      </c>
      <c r="F378" s="12">
        <v>123.0</v>
      </c>
      <c r="G378" s="12">
        <v>555.0</v>
      </c>
    </row>
    <row r="379" ht="15.75" customHeight="1">
      <c r="D379" s="7">
        <f t="shared" si="1"/>
        <v>45935</v>
      </c>
      <c r="E379" s="12">
        <v>138.0</v>
      </c>
      <c r="F379" s="12">
        <v>125.0</v>
      </c>
      <c r="G379" s="12">
        <v>535.0</v>
      </c>
    </row>
    <row r="380" ht="15.75" customHeight="1">
      <c r="D380" s="7">
        <f t="shared" si="1"/>
        <v>45936</v>
      </c>
      <c r="E380" s="12">
        <v>138.0</v>
      </c>
      <c r="F380" s="12">
        <v>125.0</v>
      </c>
      <c r="G380" s="12">
        <v>560.0</v>
      </c>
    </row>
    <row r="381" ht="15.75" customHeight="1">
      <c r="D381" s="7">
        <f t="shared" si="1"/>
        <v>45937</v>
      </c>
      <c r="E381" s="12">
        <v>138.0</v>
      </c>
      <c r="F381" s="12">
        <v>123.0</v>
      </c>
      <c r="G381" s="12">
        <v>565.0</v>
      </c>
    </row>
    <row r="382" ht="15.75" customHeight="1">
      <c r="D382" s="7">
        <f t="shared" si="1"/>
        <v>45938</v>
      </c>
      <c r="E382" s="12">
        <v>138.0</v>
      </c>
      <c r="F382" s="12">
        <v>116.0</v>
      </c>
      <c r="G382" s="12">
        <v>570.0</v>
      </c>
    </row>
    <row r="383" ht="15.75" customHeight="1">
      <c r="D383" s="7">
        <f t="shared" si="1"/>
        <v>45939</v>
      </c>
      <c r="E383" s="12">
        <v>138.0</v>
      </c>
      <c r="F383" s="12">
        <v>116.0</v>
      </c>
      <c r="G383" s="12">
        <v>550.0</v>
      </c>
    </row>
    <row r="384" ht="15.75" customHeight="1">
      <c r="D384" s="7">
        <f t="shared" si="1"/>
        <v>45940</v>
      </c>
      <c r="E384" s="12">
        <v>136.0</v>
      </c>
      <c r="F384" s="12">
        <v>116.0</v>
      </c>
      <c r="G384" s="12">
        <v>570.0</v>
      </c>
    </row>
    <row r="385" ht="15.75" customHeight="1">
      <c r="D385" s="7">
        <f t="shared" si="1"/>
        <v>45941</v>
      </c>
      <c r="E385" s="12">
        <v>136.0</v>
      </c>
      <c r="F385" s="12">
        <v>112.0</v>
      </c>
      <c r="G385" s="12">
        <v>570.0</v>
      </c>
    </row>
    <row r="386" ht="15.75" customHeight="1">
      <c r="D386" s="7">
        <f t="shared" si="1"/>
        <v>45942</v>
      </c>
      <c r="E386" s="12">
        <v>136.0</v>
      </c>
      <c r="F386" s="12">
        <v>116.0</v>
      </c>
      <c r="G386" s="12">
        <v>550.0</v>
      </c>
    </row>
    <row r="387" ht="15.75" customHeight="1">
      <c r="D387" s="7">
        <f t="shared" si="1"/>
        <v>45943</v>
      </c>
      <c r="E387" s="12">
        <v>136.0</v>
      </c>
      <c r="F387" s="12">
        <v>116.0</v>
      </c>
      <c r="G387" s="12">
        <v>570.0</v>
      </c>
    </row>
    <row r="388" ht="15.75" customHeight="1">
      <c r="D388" s="7">
        <f t="shared" si="1"/>
        <v>45944</v>
      </c>
      <c r="E388" s="12">
        <v>136.0</v>
      </c>
      <c r="F388" s="12">
        <v>116.0</v>
      </c>
      <c r="G388" s="12">
        <v>575.0</v>
      </c>
    </row>
    <row r="389" ht="15.75" customHeight="1">
      <c r="D389" s="7">
        <f t="shared" si="1"/>
        <v>45945</v>
      </c>
      <c r="E389" s="12">
        <v>136.0</v>
      </c>
      <c r="F389" s="12">
        <v>118.0</v>
      </c>
      <c r="G389" s="12">
        <v>580.0</v>
      </c>
    </row>
    <row r="390" ht="15.75" customHeight="1">
      <c r="D390" s="7">
        <f t="shared" si="1"/>
        <v>45946</v>
      </c>
      <c r="E390" s="12">
        <v>134.0</v>
      </c>
      <c r="F390" s="12">
        <v>120.0</v>
      </c>
      <c r="G390" s="12">
        <v>585.0</v>
      </c>
    </row>
    <row r="391" ht="15.75" customHeight="1">
      <c r="D391" s="7">
        <f t="shared" si="1"/>
        <v>45947</v>
      </c>
      <c r="E391" s="12">
        <v>136.0</v>
      </c>
      <c r="F391" s="12">
        <v>122.0</v>
      </c>
      <c r="G391" s="12">
        <v>590.0</v>
      </c>
    </row>
    <row r="392" ht="15.75" customHeight="1">
      <c r="D392" s="7">
        <f t="shared" si="1"/>
        <v>45948</v>
      </c>
      <c r="E392" s="12">
        <v>136.0</v>
      </c>
      <c r="F392" s="12">
        <v>122.0</v>
      </c>
      <c r="G392" s="12">
        <v>595.0</v>
      </c>
    </row>
    <row r="393" ht="15.75" customHeight="1">
      <c r="D393" s="7">
        <f t="shared" si="1"/>
        <v>45949</v>
      </c>
      <c r="E393" s="12">
        <v>138.0</v>
      </c>
      <c r="F393" s="12">
        <v>130.0</v>
      </c>
      <c r="G393" s="12">
        <v>601.0</v>
      </c>
    </row>
    <row r="394" ht="15.75" customHeight="1">
      <c r="D394" s="7">
        <f t="shared" si="1"/>
        <v>45950</v>
      </c>
      <c r="E394" s="12">
        <v>138.0</v>
      </c>
      <c r="F394" s="12">
        <v>130.0</v>
      </c>
      <c r="G394" s="12">
        <v>601.0</v>
      </c>
    </row>
    <row r="395" ht="15.75" customHeight="1">
      <c r="D395" s="7">
        <f t="shared" si="1"/>
        <v>45951</v>
      </c>
      <c r="E395" s="12">
        <v>138.0</v>
      </c>
      <c r="F395" s="12">
        <v>130.0</v>
      </c>
      <c r="G395" s="12">
        <v>601.0</v>
      </c>
    </row>
    <row r="396" ht="15.75" customHeight="1">
      <c r="D396" s="7">
        <f t="shared" si="1"/>
        <v>45952</v>
      </c>
      <c r="E396" s="12">
        <v>138.0</v>
      </c>
      <c r="F396" s="12">
        <v>130.0</v>
      </c>
      <c r="G396" s="12">
        <v>601.0</v>
      </c>
    </row>
    <row r="397" ht="15.75" customHeight="1">
      <c r="D397" s="7">
        <f t="shared" si="1"/>
        <v>45953</v>
      </c>
      <c r="E397" s="12">
        <v>142.0</v>
      </c>
      <c r="F397" s="12">
        <v>136.0</v>
      </c>
      <c r="G397" s="12">
        <v>601.0</v>
      </c>
    </row>
    <row r="398" ht="15.75" customHeight="1">
      <c r="D398" s="7">
        <f t="shared" si="1"/>
        <v>45954</v>
      </c>
      <c r="E398" s="12">
        <v>142.0</v>
      </c>
      <c r="F398" s="12">
        <v>136.0</v>
      </c>
      <c r="G398" s="12">
        <v>601.0</v>
      </c>
    </row>
    <row r="399" ht="15.75" customHeight="1">
      <c r="D399" s="7">
        <f t="shared" si="1"/>
        <v>45955</v>
      </c>
      <c r="E399" s="12">
        <v>144.0</v>
      </c>
      <c r="F399" s="12">
        <v>140.0</v>
      </c>
      <c r="G399" s="12">
        <v>605.0</v>
      </c>
    </row>
    <row r="400" ht="15.75" customHeight="1">
      <c r="D400" s="7">
        <f t="shared" si="1"/>
        <v>45956</v>
      </c>
      <c r="E400" s="12">
        <v>148.0</v>
      </c>
      <c r="F400" s="12">
        <v>151.0</v>
      </c>
      <c r="G400" s="12">
        <v>611.0</v>
      </c>
    </row>
    <row r="401" ht="15.75" customHeight="1">
      <c r="D401" s="7">
        <f t="shared" si="1"/>
        <v>45957</v>
      </c>
      <c r="E401" s="12">
        <v>148.0</v>
      </c>
      <c r="F401" s="12">
        <v>151.0</v>
      </c>
      <c r="G401" s="12">
        <v>615.0</v>
      </c>
    </row>
    <row r="402" ht="15.75" customHeight="1">
      <c r="D402" s="7">
        <f t="shared" si="1"/>
        <v>45958</v>
      </c>
      <c r="E402" s="12">
        <v>148.0</v>
      </c>
      <c r="F402" s="12">
        <v>145.0</v>
      </c>
      <c r="G402" s="12">
        <v>621.0</v>
      </c>
    </row>
    <row r="403" ht="15.75" customHeight="1">
      <c r="D403" s="7">
        <f t="shared" si="1"/>
        <v>45959</v>
      </c>
      <c r="E403" s="12">
        <v>142.0</v>
      </c>
      <c r="F403" s="12">
        <v>137.0</v>
      </c>
      <c r="G403" s="12">
        <v>626.0</v>
      </c>
    </row>
    <row r="404" ht="15.75" customHeight="1">
      <c r="D404" s="7">
        <f t="shared" si="1"/>
        <v>45960</v>
      </c>
      <c r="E404" s="12">
        <v>140.0</v>
      </c>
      <c r="F404" s="12">
        <v>138.0</v>
      </c>
      <c r="G404" s="12">
        <v>631.0</v>
      </c>
    </row>
    <row r="405" ht="15.75" customHeight="1">
      <c r="D405" s="7">
        <f t="shared" si="1"/>
        <v>45961</v>
      </c>
      <c r="E405" s="13">
        <v>140.0</v>
      </c>
      <c r="F405" s="13">
        <v>138.0</v>
      </c>
      <c r="G405" s="13">
        <v>631.0</v>
      </c>
    </row>
    <row r="406" ht="15.75" customHeight="1">
      <c r="D406" s="7">
        <f t="shared" si="1"/>
        <v>45962</v>
      </c>
      <c r="E406" s="12">
        <v>140.0</v>
      </c>
      <c r="F406" s="12">
        <v>139.0</v>
      </c>
      <c r="G406" s="12">
        <v>631.0</v>
      </c>
    </row>
    <row r="407" ht="15.75" customHeight="1">
      <c r="D407" s="7">
        <f t="shared" si="1"/>
        <v>45963</v>
      </c>
      <c r="E407" s="12">
        <v>140.0</v>
      </c>
      <c r="F407" s="12">
        <v>138.0</v>
      </c>
      <c r="G407" s="12">
        <v>631.0</v>
      </c>
    </row>
    <row r="408" ht="15.75" customHeight="1">
      <c r="D408" s="7">
        <f t="shared" si="1"/>
        <v>45964</v>
      </c>
      <c r="E408" s="12">
        <v>140.0</v>
      </c>
      <c r="F408" s="12">
        <v>138.0</v>
      </c>
      <c r="G408" s="12">
        <v>631.0</v>
      </c>
    </row>
    <row r="409" ht="15.75" customHeight="1">
      <c r="D409" s="7">
        <f t="shared" si="1"/>
        <v>45965</v>
      </c>
      <c r="E409" s="12">
        <v>140.0</v>
      </c>
      <c r="F409" s="12">
        <v>136.0</v>
      </c>
      <c r="G409" s="12">
        <v>631.0</v>
      </c>
    </row>
    <row r="410" ht="15.75" customHeight="1">
      <c r="D410" s="7">
        <f t="shared" si="1"/>
        <v>45966</v>
      </c>
      <c r="E410" s="12">
        <v>138.0</v>
      </c>
      <c r="F410" s="12">
        <v>132.0</v>
      </c>
      <c r="G410" s="12">
        <v>631.0</v>
      </c>
    </row>
    <row r="411" ht="15.75" customHeight="1">
      <c r="D411" s="7">
        <f t="shared" si="1"/>
        <v>45967</v>
      </c>
      <c r="E411" s="12">
        <v>138.0</v>
      </c>
      <c r="F411" s="12">
        <v>132.0</v>
      </c>
      <c r="G411" s="12">
        <v>641.0</v>
      </c>
    </row>
    <row r="412" ht="15.75" customHeight="1">
      <c r="D412" s="7">
        <f t="shared" si="1"/>
        <v>45968</v>
      </c>
      <c r="E412" s="12">
        <v>140.0</v>
      </c>
      <c r="F412" s="12">
        <v>132.0</v>
      </c>
      <c r="G412" s="12">
        <v>645.0</v>
      </c>
    </row>
    <row r="413" ht="15.75" customHeight="1">
      <c r="D413" s="7">
        <f t="shared" si="1"/>
        <v>45969</v>
      </c>
      <c r="E413" s="12">
        <v>140.0</v>
      </c>
      <c r="F413" s="12">
        <v>130.0</v>
      </c>
      <c r="G413" s="12">
        <v>651.0</v>
      </c>
    </row>
    <row r="414" ht="15.75" customHeight="1">
      <c r="D414" s="7">
        <f t="shared" si="1"/>
        <v>45970</v>
      </c>
      <c r="E414" s="12">
        <v>140.0</v>
      </c>
      <c r="F414" s="12">
        <v>132.0</v>
      </c>
      <c r="G414" s="12">
        <v>651.0</v>
      </c>
    </row>
    <row r="415" ht="15.75" customHeight="1">
      <c r="D415" s="7">
        <f t="shared" si="1"/>
        <v>45971</v>
      </c>
      <c r="E415" s="12">
        <v>140.0</v>
      </c>
      <c r="F415" s="12">
        <v>132.0</v>
      </c>
      <c r="G415" s="12">
        <v>651.0</v>
      </c>
    </row>
    <row r="416" ht="15.75" customHeight="1">
      <c r="D416" s="7">
        <f t="shared" si="1"/>
        <v>45972</v>
      </c>
      <c r="E416" s="12">
        <v>140.0</v>
      </c>
      <c r="F416" s="12">
        <v>134.0</v>
      </c>
      <c r="G416" s="12">
        <v>651.0</v>
      </c>
    </row>
    <row r="417" ht="15.75" customHeight="1">
      <c r="D417" s="7">
        <f t="shared" si="1"/>
        <v>45973</v>
      </c>
      <c r="E417" s="12">
        <v>140.0</v>
      </c>
      <c r="F417" s="12">
        <v>136.0</v>
      </c>
      <c r="G417" s="12">
        <v>651.0</v>
      </c>
    </row>
    <row r="418" ht="15.75" customHeight="1">
      <c r="D418" s="7">
        <f t="shared" si="1"/>
        <v>45974</v>
      </c>
      <c r="E418" s="12">
        <v>142.0</v>
      </c>
      <c r="F418" s="12">
        <v>136.0</v>
      </c>
      <c r="G418" s="12">
        <v>656.0</v>
      </c>
    </row>
    <row r="419" ht="15.75" customHeight="1">
      <c r="D419" s="7">
        <f t="shared" si="1"/>
        <v>45975</v>
      </c>
      <c r="E419" s="12">
        <v>142.0</v>
      </c>
      <c r="F419" s="12">
        <v>136.0</v>
      </c>
      <c r="G419" s="12">
        <v>661.0</v>
      </c>
    </row>
    <row r="420" ht="15.75" customHeight="1">
      <c r="D420" s="7">
        <f t="shared" si="1"/>
        <v>45976</v>
      </c>
      <c r="E420" s="12">
        <v>142.0</v>
      </c>
      <c r="F420" s="12">
        <v>136.0</v>
      </c>
      <c r="G420" s="12">
        <v>666.0</v>
      </c>
    </row>
    <row r="421" ht="15.75" customHeight="1">
      <c r="D421" s="7">
        <f t="shared" si="1"/>
        <v>45977</v>
      </c>
      <c r="E421" s="12">
        <v>148.0</v>
      </c>
      <c r="F421" s="12">
        <v>138.0</v>
      </c>
      <c r="G421" s="12">
        <v>671.0</v>
      </c>
    </row>
    <row r="422" ht="15.75" customHeight="1">
      <c r="D422" s="7">
        <f t="shared" si="1"/>
        <v>45978</v>
      </c>
      <c r="E422" s="12">
        <v>148.0</v>
      </c>
      <c r="F422" s="12">
        <v>140.0</v>
      </c>
      <c r="G422" s="12">
        <v>680.0</v>
      </c>
    </row>
    <row r="423" ht="15.75" customHeight="1">
      <c r="D423" s="7">
        <f t="shared" si="1"/>
        <v>45979</v>
      </c>
      <c r="E423" s="12">
        <v>152.0</v>
      </c>
      <c r="F423" s="12">
        <v>142.0</v>
      </c>
      <c r="G423" s="12">
        <v>690.0</v>
      </c>
    </row>
    <row r="424" ht="15.75" customHeight="1">
      <c r="D424" s="7">
        <f t="shared" si="1"/>
        <v>45980</v>
      </c>
      <c r="E424" s="12">
        <v>155.0</v>
      </c>
      <c r="F424" s="12">
        <v>145.0</v>
      </c>
      <c r="G424" s="12">
        <v>701.0</v>
      </c>
    </row>
    <row r="425" ht="15.75" customHeight="1">
      <c r="D425" s="7">
        <f t="shared" si="1"/>
        <v>45981</v>
      </c>
      <c r="E425" s="12">
        <v>152.0</v>
      </c>
      <c r="F425" s="12">
        <v>142.0</v>
      </c>
      <c r="G425" s="12">
        <v>710.0</v>
      </c>
    </row>
    <row r="426" ht="15.75" customHeight="1">
      <c r="D426" s="7">
        <f t="shared" si="1"/>
        <v>45982</v>
      </c>
      <c r="E426" s="12">
        <v>152.0</v>
      </c>
      <c r="F426" s="12">
        <v>138.0</v>
      </c>
      <c r="G426" s="12">
        <v>710.0</v>
      </c>
    </row>
    <row r="427" ht="15.75" customHeight="1">
      <c r="D427" s="7">
        <f t="shared" si="1"/>
        <v>45983</v>
      </c>
      <c r="E427" s="12">
        <v>150.0</v>
      </c>
      <c r="F427" s="12">
        <v>136.0</v>
      </c>
      <c r="G427" s="12">
        <v>715.0</v>
      </c>
    </row>
    <row r="428" ht="15.75" customHeight="1">
      <c r="D428" s="7">
        <f t="shared" si="1"/>
        <v>45984</v>
      </c>
      <c r="E428" s="12">
        <v>150.0</v>
      </c>
      <c r="F428" s="12">
        <v>136.0</v>
      </c>
      <c r="G428" s="12">
        <v>715.0</v>
      </c>
    </row>
    <row r="429" ht="15.75" customHeight="1">
      <c r="D429" s="7">
        <f t="shared" si="1"/>
        <v>45985</v>
      </c>
      <c r="E429" s="12">
        <v>150.0</v>
      </c>
      <c r="F429" s="12">
        <v>136.0</v>
      </c>
      <c r="G429" s="12">
        <v>720.0</v>
      </c>
    </row>
    <row r="430" ht="15.75" customHeight="1">
      <c r="D430" s="7">
        <f t="shared" si="1"/>
        <v>45986</v>
      </c>
      <c r="E430" s="12">
        <v>150.0</v>
      </c>
      <c r="F430" s="12">
        <v>133.0</v>
      </c>
      <c r="G430" s="12">
        <v>720.0</v>
      </c>
    </row>
    <row r="431" ht="15.75" customHeight="1">
      <c r="D431" s="7">
        <f t="shared" si="1"/>
        <v>45987</v>
      </c>
      <c r="E431" s="12">
        <v>150.0</v>
      </c>
      <c r="F431" s="12">
        <v>133.0</v>
      </c>
      <c r="G431" s="12">
        <v>720.0</v>
      </c>
    </row>
    <row r="432" ht="15.75" customHeight="1">
      <c r="D432" s="7">
        <f t="shared" si="1"/>
        <v>45988</v>
      </c>
      <c r="E432" s="14"/>
      <c r="F432" s="14"/>
      <c r="G432" s="14"/>
    </row>
    <row r="433" ht="15.75" customHeight="1">
      <c r="D433" s="7">
        <f t="shared" si="1"/>
        <v>45989</v>
      </c>
      <c r="E433" s="14"/>
      <c r="F433" s="14"/>
      <c r="G433" s="14"/>
    </row>
    <row r="434" ht="15.75" customHeight="1">
      <c r="D434" s="7">
        <f t="shared" si="1"/>
        <v>45990</v>
      </c>
      <c r="E434" s="14"/>
      <c r="F434" s="14"/>
      <c r="G434" s="14"/>
    </row>
    <row r="435" ht="15.75" customHeight="1">
      <c r="D435" s="7">
        <f t="shared" si="1"/>
        <v>45991</v>
      </c>
      <c r="E435" s="14"/>
      <c r="F435" s="14"/>
      <c r="G435" s="14"/>
    </row>
    <row r="436" ht="15.75" customHeight="1">
      <c r="D436" s="7">
        <f t="shared" si="1"/>
        <v>45992</v>
      </c>
      <c r="E436" s="14"/>
      <c r="F436" s="14"/>
      <c r="G436" s="14"/>
    </row>
    <row r="437" ht="15.75" customHeight="1">
      <c r="D437" s="7">
        <f t="shared" si="1"/>
        <v>45993</v>
      </c>
      <c r="E437" s="14"/>
      <c r="F437" s="14"/>
      <c r="G437" s="14"/>
    </row>
    <row r="438" ht="15.75" customHeight="1">
      <c r="D438" s="7">
        <f t="shared" si="1"/>
        <v>45994</v>
      </c>
      <c r="E438" s="14"/>
      <c r="F438" s="14"/>
      <c r="G438" s="14"/>
    </row>
    <row r="439" ht="15.75" customHeight="1">
      <c r="D439" s="7">
        <f t="shared" si="1"/>
        <v>45995</v>
      </c>
      <c r="E439" s="14"/>
      <c r="F439" s="14"/>
      <c r="G439" s="14"/>
    </row>
    <row r="440" ht="15.75" customHeight="1">
      <c r="D440" s="7">
        <f t="shared" si="1"/>
        <v>45996</v>
      </c>
      <c r="E440" s="14"/>
      <c r="F440" s="14"/>
      <c r="G440" s="14"/>
    </row>
    <row r="441" ht="15.75" customHeight="1">
      <c r="D441" s="7">
        <f t="shared" si="1"/>
        <v>45997</v>
      </c>
      <c r="E441" s="14"/>
      <c r="F441" s="14"/>
      <c r="G441" s="14"/>
    </row>
    <row r="442" ht="15.75" customHeight="1">
      <c r="D442" s="7">
        <f t="shared" si="1"/>
        <v>45998</v>
      </c>
      <c r="E442" s="14"/>
      <c r="F442" s="14"/>
      <c r="G442" s="14"/>
    </row>
    <row r="443" ht="15.75" customHeight="1">
      <c r="D443" s="7">
        <f t="shared" si="1"/>
        <v>45999</v>
      </c>
      <c r="E443" s="14"/>
      <c r="F443" s="14"/>
      <c r="G443" s="14"/>
    </row>
    <row r="444" ht="15.75" customHeight="1">
      <c r="D444" s="7">
        <f t="shared" si="1"/>
        <v>46000</v>
      </c>
      <c r="E444" s="14"/>
      <c r="F444" s="14"/>
      <c r="G444" s="14"/>
    </row>
    <row r="445" ht="15.75" customHeight="1">
      <c r="D445" s="7">
        <f t="shared" si="1"/>
        <v>46001</v>
      </c>
      <c r="E445" s="14"/>
      <c r="F445" s="14"/>
      <c r="G445" s="14"/>
    </row>
    <row r="446" ht="15.75" customHeight="1">
      <c r="D446" s="7">
        <f t="shared" si="1"/>
        <v>46002</v>
      </c>
      <c r="E446" s="14"/>
      <c r="F446" s="14"/>
      <c r="G446" s="14"/>
    </row>
    <row r="447" ht="15.75" customHeight="1">
      <c r="D447" s="7">
        <f t="shared" si="1"/>
        <v>46003</v>
      </c>
      <c r="E447" s="14"/>
      <c r="F447" s="14"/>
      <c r="G447" s="14"/>
    </row>
    <row r="448" ht="15.75" customHeight="1">
      <c r="D448" s="7">
        <f t="shared" si="1"/>
        <v>46004</v>
      </c>
      <c r="E448" s="14"/>
      <c r="F448" s="14"/>
      <c r="G448" s="14"/>
    </row>
    <row r="449" ht="15.75" customHeight="1">
      <c r="D449" s="7">
        <f t="shared" si="1"/>
        <v>46005</v>
      </c>
      <c r="E449" s="14"/>
      <c r="F449" s="14"/>
      <c r="G449" s="14"/>
    </row>
    <row r="450" ht="15.75" customHeight="1">
      <c r="D450" s="7">
        <f t="shared" si="1"/>
        <v>46006</v>
      </c>
      <c r="E450" s="14"/>
      <c r="F450" s="14"/>
      <c r="G450" s="14"/>
    </row>
    <row r="451" ht="15.75" customHeight="1">
      <c r="D451" s="7">
        <f t="shared" si="1"/>
        <v>46007</v>
      </c>
      <c r="E451" s="14"/>
      <c r="F451" s="14"/>
      <c r="G451" s="14"/>
    </row>
    <row r="452" ht="15.75" customHeight="1">
      <c r="D452" s="7">
        <f t="shared" si="1"/>
        <v>46008</v>
      </c>
      <c r="E452" s="14"/>
      <c r="F452" s="14"/>
      <c r="G452" s="14"/>
    </row>
    <row r="453" ht="15.75" customHeight="1">
      <c r="D453" s="7">
        <f t="shared" si="1"/>
        <v>46009</v>
      </c>
      <c r="E453" s="14"/>
      <c r="F453" s="14"/>
      <c r="G453" s="14"/>
    </row>
    <row r="454" ht="15.75" customHeight="1">
      <c r="D454" s="7">
        <f t="shared" si="1"/>
        <v>46010</v>
      </c>
      <c r="E454" s="14"/>
      <c r="F454" s="14"/>
      <c r="G454" s="14"/>
    </row>
    <row r="455" ht="15.75" customHeight="1">
      <c r="D455" s="7">
        <f t="shared" si="1"/>
        <v>46011</v>
      </c>
      <c r="E455" s="14"/>
      <c r="F455" s="14"/>
      <c r="G455" s="14"/>
    </row>
    <row r="456" ht="15.75" customHeight="1">
      <c r="D456" s="7">
        <f t="shared" si="1"/>
        <v>46012</v>
      </c>
      <c r="E456" s="14"/>
      <c r="F456" s="14"/>
      <c r="G456" s="14"/>
    </row>
    <row r="457" ht="15.75" customHeight="1">
      <c r="D457" s="7">
        <f t="shared" si="1"/>
        <v>46013</v>
      </c>
      <c r="E457" s="14"/>
      <c r="F457" s="14"/>
      <c r="G457" s="14"/>
    </row>
    <row r="458" ht="15.75" customHeight="1">
      <c r="D458" s="7">
        <f t="shared" si="1"/>
        <v>46014</v>
      </c>
      <c r="E458" s="14"/>
      <c r="F458" s="14"/>
      <c r="G458" s="14"/>
    </row>
    <row r="459" ht="15.75" customHeight="1">
      <c r="D459" s="7">
        <f t="shared" si="1"/>
        <v>46015</v>
      </c>
      <c r="E459" s="14"/>
      <c r="F459" s="14"/>
      <c r="G459" s="14"/>
    </row>
    <row r="460" ht="15.75" customHeight="1">
      <c r="D460" s="7">
        <f t="shared" si="1"/>
        <v>46016</v>
      </c>
      <c r="E460" s="14"/>
      <c r="F460" s="14"/>
      <c r="G460" s="14"/>
    </row>
    <row r="461" ht="15.75" customHeight="1">
      <c r="D461" s="7">
        <f t="shared" si="1"/>
        <v>46017</v>
      </c>
      <c r="E461" s="14"/>
      <c r="F461" s="14"/>
      <c r="G461" s="14"/>
    </row>
    <row r="462" ht="15.75" customHeight="1">
      <c r="D462" s="7">
        <f t="shared" si="1"/>
        <v>46018</v>
      </c>
      <c r="E462" s="14"/>
      <c r="F462" s="14"/>
      <c r="G462" s="14"/>
    </row>
    <row r="463" ht="15.75" customHeight="1">
      <c r="D463" s="7">
        <f t="shared" si="1"/>
        <v>46019</v>
      </c>
      <c r="E463" s="14"/>
      <c r="F463" s="14"/>
      <c r="G463" s="14"/>
    </row>
    <row r="464" ht="15.75" customHeight="1">
      <c r="D464" s="7">
        <f t="shared" si="1"/>
        <v>46020</v>
      </c>
      <c r="E464" s="14"/>
      <c r="F464" s="14"/>
      <c r="G464" s="14"/>
    </row>
    <row r="465" ht="15.75" customHeight="1">
      <c r="D465" s="7">
        <f t="shared" si="1"/>
        <v>46021</v>
      </c>
      <c r="E465" s="14"/>
      <c r="F465" s="14"/>
      <c r="G465" s="14"/>
    </row>
    <row r="466" ht="15.75" customHeight="1">
      <c r="D466" s="7">
        <f t="shared" si="1"/>
        <v>46022</v>
      </c>
      <c r="E466" s="14"/>
      <c r="F466" s="14"/>
      <c r="G466" s="14"/>
    </row>
    <row r="467" ht="15.75" customHeight="1">
      <c r="D467" s="7">
        <f t="shared" si="1"/>
        <v>46023</v>
      </c>
      <c r="E467" s="14"/>
      <c r="F467" s="14"/>
      <c r="G467" s="14"/>
    </row>
    <row r="468" ht="15.75" customHeight="1">
      <c r="D468" s="7">
        <f t="shared" si="1"/>
        <v>46024</v>
      </c>
      <c r="E468" s="14"/>
      <c r="F468" s="14"/>
      <c r="G468" s="14"/>
    </row>
    <row r="469" ht="15.75" customHeight="1">
      <c r="D469" s="7">
        <f t="shared" si="1"/>
        <v>46025</v>
      </c>
      <c r="E469" s="14"/>
      <c r="F469" s="14"/>
      <c r="G469" s="14"/>
    </row>
    <row r="470" ht="15.75" customHeight="1">
      <c r="D470" s="7">
        <f t="shared" si="1"/>
        <v>46026</v>
      </c>
      <c r="E470" s="14"/>
      <c r="F470" s="14"/>
      <c r="G470" s="14"/>
    </row>
    <row r="471" ht="15.75" customHeight="1">
      <c r="D471" s="7">
        <f t="shared" si="1"/>
        <v>46027</v>
      </c>
      <c r="E471" s="14"/>
      <c r="F471" s="14"/>
      <c r="G471" s="14"/>
    </row>
    <row r="472" ht="15.75" customHeight="1">
      <c r="D472" s="7">
        <f t="shared" si="1"/>
        <v>46028</v>
      </c>
      <c r="E472" s="14"/>
      <c r="F472" s="14"/>
      <c r="G472" s="14"/>
    </row>
    <row r="473" ht="15.75" customHeight="1">
      <c r="D473" s="7">
        <f t="shared" si="1"/>
        <v>46029</v>
      </c>
      <c r="E473" s="14"/>
      <c r="F473" s="14"/>
      <c r="G473" s="14"/>
    </row>
    <row r="474" ht="15.75" customHeight="1">
      <c r="D474" s="7">
        <f t="shared" si="1"/>
        <v>46030</v>
      </c>
      <c r="E474" s="14"/>
      <c r="F474" s="14"/>
      <c r="G474" s="14"/>
    </row>
    <row r="475" ht="15.75" customHeight="1">
      <c r="D475" s="7">
        <f t="shared" si="1"/>
        <v>46031</v>
      </c>
      <c r="E475" s="14"/>
      <c r="F475" s="14"/>
      <c r="G475" s="14"/>
    </row>
    <row r="476" ht="15.75" customHeight="1">
      <c r="D476" s="7">
        <f t="shared" si="1"/>
        <v>46032</v>
      </c>
      <c r="E476" s="14"/>
      <c r="F476" s="14"/>
      <c r="G476" s="14"/>
    </row>
    <row r="477" ht="15.75" customHeight="1">
      <c r="D477" s="7">
        <f t="shared" si="1"/>
        <v>46033</v>
      </c>
      <c r="E477" s="14"/>
      <c r="F477" s="14"/>
      <c r="G477" s="14"/>
    </row>
    <row r="478" ht="15.75" customHeight="1">
      <c r="D478" s="7">
        <f t="shared" si="1"/>
        <v>46034</v>
      </c>
      <c r="E478" s="14"/>
      <c r="F478" s="14"/>
      <c r="G478" s="14"/>
    </row>
    <row r="479" ht="15.75" customHeight="1">
      <c r="D479" s="7">
        <f t="shared" si="1"/>
        <v>46035</v>
      </c>
      <c r="E479" s="14"/>
      <c r="F479" s="14"/>
      <c r="G479" s="14"/>
    </row>
    <row r="480" ht="15.75" customHeight="1">
      <c r="D480" s="7">
        <f t="shared" si="1"/>
        <v>46036</v>
      </c>
      <c r="E480" s="14"/>
      <c r="F480" s="14"/>
      <c r="G480" s="14"/>
    </row>
    <row r="481" ht="15.75" customHeight="1">
      <c r="D481" s="7">
        <f t="shared" si="1"/>
        <v>46037</v>
      </c>
      <c r="E481" s="14"/>
      <c r="F481" s="14"/>
      <c r="G481" s="14"/>
    </row>
    <row r="482" ht="15.75" customHeight="1">
      <c r="D482" s="7">
        <f t="shared" si="1"/>
        <v>46038</v>
      </c>
      <c r="E482" s="14"/>
      <c r="F482" s="14"/>
      <c r="G482" s="14"/>
    </row>
    <row r="483" ht="15.75" customHeight="1">
      <c r="D483" s="7">
        <f t="shared" si="1"/>
        <v>46039</v>
      </c>
      <c r="E483" s="14"/>
      <c r="F483" s="14"/>
      <c r="G483" s="14"/>
    </row>
    <row r="484" ht="15.75" customHeight="1">
      <c r="D484" s="7">
        <f t="shared" si="1"/>
        <v>46040</v>
      </c>
      <c r="E484" s="14"/>
      <c r="F484" s="14"/>
      <c r="G484" s="14"/>
    </row>
    <row r="485" ht="15.75" customHeight="1">
      <c r="D485" s="7">
        <f t="shared" si="1"/>
        <v>46041</v>
      </c>
      <c r="E485" s="14"/>
      <c r="F485" s="14"/>
      <c r="G485" s="14"/>
    </row>
    <row r="486" ht="15.75" customHeight="1">
      <c r="D486" s="7">
        <f t="shared" si="1"/>
        <v>46042</v>
      </c>
      <c r="E486" s="14"/>
      <c r="F486" s="14"/>
      <c r="G486" s="14"/>
    </row>
    <row r="487" ht="15.75" customHeight="1">
      <c r="D487" s="7">
        <f t="shared" si="1"/>
        <v>46043</v>
      </c>
      <c r="E487" s="14"/>
      <c r="F487" s="14"/>
      <c r="G487" s="14"/>
    </row>
    <row r="488" ht="15.75" customHeight="1">
      <c r="D488" s="7">
        <f t="shared" si="1"/>
        <v>46044</v>
      </c>
      <c r="E488" s="14"/>
      <c r="F488" s="14"/>
      <c r="G488" s="14"/>
    </row>
    <row r="489" ht="15.75" customHeight="1">
      <c r="D489" s="7">
        <f t="shared" si="1"/>
        <v>46045</v>
      </c>
      <c r="E489" s="14"/>
      <c r="F489" s="14"/>
      <c r="G489" s="14"/>
    </row>
    <row r="490" ht="15.75" customHeight="1">
      <c r="D490" s="7">
        <f t="shared" si="1"/>
        <v>46046</v>
      </c>
      <c r="E490" s="14"/>
      <c r="F490" s="14"/>
      <c r="G490" s="14"/>
    </row>
    <row r="491" ht="15.75" customHeight="1">
      <c r="D491" s="7">
        <f t="shared" si="1"/>
        <v>46047</v>
      </c>
      <c r="E491" s="14"/>
      <c r="F491" s="14"/>
      <c r="G491" s="14"/>
    </row>
    <row r="492" ht="15.75" customHeight="1">
      <c r="D492" s="7">
        <f t="shared" si="1"/>
        <v>46048</v>
      </c>
      <c r="E492" s="14"/>
      <c r="F492" s="14"/>
      <c r="G492" s="14"/>
    </row>
    <row r="493" ht="15.75" customHeight="1">
      <c r="D493" s="7">
        <f t="shared" si="1"/>
        <v>46049</v>
      </c>
      <c r="E493" s="14"/>
      <c r="F493" s="14"/>
      <c r="G493" s="14"/>
    </row>
    <row r="494" ht="15.75" customHeight="1">
      <c r="D494" s="7">
        <f t="shared" si="1"/>
        <v>46050</v>
      </c>
      <c r="E494" s="14"/>
      <c r="F494" s="14"/>
      <c r="G494" s="14"/>
    </row>
    <row r="495" ht="15.75" customHeight="1">
      <c r="D495" s="7">
        <f t="shared" si="1"/>
        <v>46051</v>
      </c>
      <c r="E495" s="14"/>
      <c r="F495" s="14"/>
      <c r="G495" s="14"/>
    </row>
    <row r="496" ht="15.75" customHeight="1">
      <c r="D496" s="7">
        <f t="shared" si="1"/>
        <v>46052</v>
      </c>
      <c r="E496" s="14"/>
      <c r="F496" s="14"/>
      <c r="G496" s="14"/>
    </row>
    <row r="497" ht="15.75" customHeight="1">
      <c r="D497" s="7">
        <f t="shared" si="1"/>
        <v>46053</v>
      </c>
      <c r="E497" s="14"/>
      <c r="F497" s="14"/>
      <c r="G497" s="14"/>
    </row>
    <row r="498" ht="15.75" customHeight="1">
      <c r="D498" s="7">
        <f t="shared" si="1"/>
        <v>46054</v>
      </c>
      <c r="E498" s="14"/>
      <c r="F498" s="14"/>
      <c r="G498" s="14"/>
    </row>
    <row r="499" ht="15.75" customHeight="1">
      <c r="D499" s="7">
        <f t="shared" si="1"/>
        <v>46055</v>
      </c>
      <c r="E499" s="14"/>
      <c r="F499" s="14"/>
      <c r="G499" s="14"/>
    </row>
    <row r="500" ht="15.75" customHeight="1">
      <c r="D500" s="7">
        <f t="shared" si="1"/>
        <v>46056</v>
      </c>
      <c r="E500" s="14"/>
      <c r="F500" s="14"/>
      <c r="G500" s="14"/>
    </row>
    <row r="501" ht="15.75" customHeight="1">
      <c r="D501" s="7">
        <f t="shared" si="1"/>
        <v>46057</v>
      </c>
      <c r="E501" s="14"/>
      <c r="F501" s="14"/>
      <c r="G501" s="14"/>
    </row>
    <row r="502" ht="15.75" customHeight="1">
      <c r="D502" s="7">
        <f t="shared" si="1"/>
        <v>46058</v>
      </c>
      <c r="E502" s="14"/>
      <c r="F502" s="14"/>
      <c r="G502" s="14"/>
    </row>
    <row r="503" ht="15.75" customHeight="1">
      <c r="D503" s="7">
        <f t="shared" si="1"/>
        <v>46059</v>
      </c>
      <c r="E503" s="14"/>
      <c r="F503" s="14"/>
      <c r="G503" s="14"/>
    </row>
    <row r="504" ht="15.75" customHeight="1">
      <c r="D504" s="7">
        <f t="shared" si="1"/>
        <v>46060</v>
      </c>
      <c r="E504" s="14"/>
      <c r="F504" s="14"/>
      <c r="G504" s="14"/>
    </row>
    <row r="505" ht="15.75" customHeight="1">
      <c r="D505" s="7">
        <f t="shared" si="1"/>
        <v>46061</v>
      </c>
      <c r="E505" s="14"/>
      <c r="F505" s="14"/>
      <c r="G505" s="14"/>
    </row>
    <row r="506" ht="15.75" customHeight="1">
      <c r="D506" s="7">
        <f t="shared" si="1"/>
        <v>46062</v>
      </c>
      <c r="E506" s="14"/>
      <c r="F506" s="14"/>
      <c r="G506" s="14"/>
    </row>
    <row r="507" ht="15.75" customHeight="1">
      <c r="D507" s="7">
        <f t="shared" si="1"/>
        <v>46063</v>
      </c>
      <c r="E507" s="14"/>
      <c r="F507" s="14"/>
      <c r="G507" s="14"/>
    </row>
    <row r="508" ht="15.75" customHeight="1">
      <c r="D508" s="7">
        <f t="shared" si="1"/>
        <v>46064</v>
      </c>
      <c r="E508" s="14"/>
      <c r="F508" s="14"/>
      <c r="G508" s="14"/>
    </row>
    <row r="509" ht="15.75" customHeight="1">
      <c r="D509" s="7">
        <f t="shared" si="1"/>
        <v>46065</v>
      </c>
      <c r="E509" s="14"/>
      <c r="F509" s="14"/>
      <c r="G509" s="14"/>
    </row>
    <row r="510" ht="15.75" customHeight="1">
      <c r="D510" s="7">
        <f t="shared" si="1"/>
        <v>46066</v>
      </c>
      <c r="E510" s="14"/>
      <c r="F510" s="14"/>
      <c r="G510" s="14"/>
    </row>
    <row r="511" ht="15.75" customHeight="1">
      <c r="D511" s="7">
        <f t="shared" si="1"/>
        <v>46067</v>
      </c>
      <c r="E511" s="14"/>
      <c r="F511" s="14"/>
      <c r="G511" s="14"/>
    </row>
    <row r="512" ht="15.75" customHeight="1">
      <c r="D512" s="7">
        <f t="shared" si="1"/>
        <v>46068</v>
      </c>
      <c r="E512" s="14"/>
      <c r="F512" s="14"/>
      <c r="G512" s="14"/>
    </row>
    <row r="513" ht="15.75" customHeight="1">
      <c r="D513" s="7">
        <f t="shared" si="1"/>
        <v>46069</v>
      </c>
      <c r="E513" s="14"/>
      <c r="F513" s="14"/>
      <c r="G513" s="14"/>
    </row>
    <row r="514" ht="15.75" customHeight="1">
      <c r="D514" s="7">
        <f t="shared" si="1"/>
        <v>46070</v>
      </c>
      <c r="E514" s="14"/>
      <c r="F514" s="14"/>
      <c r="G514" s="14"/>
    </row>
    <row r="515" ht="15.75" customHeight="1">
      <c r="D515" s="7">
        <f t="shared" si="1"/>
        <v>46071</v>
      </c>
      <c r="E515" s="14"/>
      <c r="F515" s="14"/>
      <c r="G515" s="14"/>
    </row>
    <row r="516" ht="15.75" customHeight="1">
      <c r="D516" s="7">
        <f t="shared" si="1"/>
        <v>46072</v>
      </c>
      <c r="E516" s="14"/>
      <c r="F516" s="14"/>
      <c r="G516" s="14"/>
    </row>
    <row r="517" ht="15.75" customHeight="1">
      <c r="D517" s="7">
        <f t="shared" si="1"/>
        <v>46073</v>
      </c>
      <c r="E517" s="14"/>
      <c r="F517" s="14"/>
      <c r="G517" s="14"/>
    </row>
    <row r="518" ht="15.75" customHeight="1">
      <c r="D518" s="7">
        <f t="shared" si="1"/>
        <v>46074</v>
      </c>
      <c r="E518" s="14"/>
      <c r="F518" s="14"/>
      <c r="G518" s="14"/>
    </row>
    <row r="519" ht="15.75" customHeight="1">
      <c r="D519" s="7">
        <f t="shared" si="1"/>
        <v>46075</v>
      </c>
      <c r="E519" s="14"/>
      <c r="F519" s="14"/>
      <c r="G519" s="14"/>
    </row>
    <row r="520" ht="15.75" customHeight="1">
      <c r="D520" s="7">
        <f t="shared" si="1"/>
        <v>46076</v>
      </c>
      <c r="E520" s="14"/>
      <c r="F520" s="14"/>
      <c r="G520" s="14"/>
    </row>
    <row r="521" ht="15.75" customHeight="1">
      <c r="D521" s="7">
        <f t="shared" si="1"/>
        <v>46077</v>
      </c>
      <c r="E521" s="14"/>
      <c r="F521" s="14"/>
      <c r="G521" s="14"/>
    </row>
    <row r="522" ht="15.75" customHeight="1">
      <c r="D522" s="7">
        <f t="shared" si="1"/>
        <v>46078</v>
      </c>
      <c r="E522" s="14"/>
      <c r="F522" s="14"/>
      <c r="G522" s="14"/>
    </row>
    <row r="523" ht="15.75" customHeight="1">
      <c r="D523" s="7">
        <f t="shared" si="1"/>
        <v>46079</v>
      </c>
      <c r="E523" s="14"/>
      <c r="F523" s="14"/>
      <c r="G523" s="14"/>
    </row>
    <row r="524" ht="15.75" customHeight="1">
      <c r="D524" s="7">
        <f t="shared" si="1"/>
        <v>46080</v>
      </c>
      <c r="E524" s="14"/>
      <c r="F524" s="14"/>
      <c r="G524" s="14"/>
    </row>
    <row r="525" ht="15.75" customHeight="1">
      <c r="D525" s="7">
        <f t="shared" si="1"/>
        <v>46081</v>
      </c>
      <c r="E525" s="14"/>
      <c r="F525" s="14"/>
      <c r="G525" s="14"/>
    </row>
    <row r="526" ht="15.75" customHeight="1">
      <c r="D526" s="7">
        <f t="shared" si="1"/>
        <v>46082</v>
      </c>
      <c r="E526" s="14"/>
      <c r="F526" s="14"/>
      <c r="G526" s="14"/>
    </row>
    <row r="527" ht="15.75" customHeight="1">
      <c r="D527" s="7">
        <f t="shared" si="1"/>
        <v>46083</v>
      </c>
      <c r="E527" s="14"/>
      <c r="F527" s="14"/>
      <c r="G527" s="14"/>
    </row>
    <row r="528" ht="15.75" customHeight="1">
      <c r="D528" s="7">
        <f t="shared" si="1"/>
        <v>46084</v>
      </c>
      <c r="E528" s="14"/>
      <c r="F528" s="14"/>
      <c r="G528" s="14"/>
    </row>
    <row r="529" ht="15.75" customHeight="1">
      <c r="D529" s="7">
        <f t="shared" si="1"/>
        <v>46085</v>
      </c>
      <c r="E529" s="14"/>
      <c r="F529" s="14"/>
      <c r="G529" s="14"/>
    </row>
    <row r="530" ht="15.75" customHeight="1">
      <c r="D530" s="7">
        <f t="shared" si="1"/>
        <v>46086</v>
      </c>
      <c r="E530" s="14"/>
      <c r="F530" s="14"/>
      <c r="G530" s="14"/>
    </row>
    <row r="531" ht="15.75" customHeight="1">
      <c r="D531" s="7">
        <f t="shared" si="1"/>
        <v>46087</v>
      </c>
      <c r="E531" s="14"/>
      <c r="F531" s="14"/>
      <c r="G531" s="14"/>
    </row>
    <row r="532" ht="15.75" customHeight="1">
      <c r="D532" s="7">
        <f t="shared" si="1"/>
        <v>46088</v>
      </c>
      <c r="E532" s="14"/>
      <c r="F532" s="14"/>
      <c r="G532" s="14"/>
    </row>
    <row r="533" ht="15.75" customHeight="1">
      <c r="D533" s="7">
        <f t="shared" si="1"/>
        <v>46089</v>
      </c>
      <c r="E533" s="14"/>
      <c r="F533" s="14"/>
      <c r="G533" s="14"/>
    </row>
    <row r="534" ht="15.75" customHeight="1">
      <c r="D534" s="7">
        <f t="shared" si="1"/>
        <v>46090</v>
      </c>
      <c r="E534" s="14"/>
      <c r="F534" s="14"/>
      <c r="G534" s="14"/>
    </row>
    <row r="535" ht="15.75" customHeight="1">
      <c r="D535" s="7">
        <f t="shared" si="1"/>
        <v>46091</v>
      </c>
      <c r="E535" s="14"/>
      <c r="F535" s="14"/>
      <c r="G535" s="14"/>
    </row>
    <row r="536" ht="15.75" customHeight="1">
      <c r="D536" s="7">
        <f t="shared" si="1"/>
        <v>46092</v>
      </c>
      <c r="E536" s="14"/>
      <c r="F536" s="14"/>
      <c r="G536" s="14"/>
    </row>
    <row r="537" ht="15.75" customHeight="1">
      <c r="D537" s="7">
        <f t="shared" si="1"/>
        <v>46093</v>
      </c>
      <c r="E537" s="14"/>
      <c r="F537" s="14"/>
      <c r="G537" s="14"/>
    </row>
    <row r="538" ht="15.75" customHeight="1">
      <c r="D538" s="7">
        <f t="shared" si="1"/>
        <v>46094</v>
      </c>
      <c r="E538" s="14"/>
      <c r="F538" s="14"/>
      <c r="G538" s="14"/>
    </row>
    <row r="539" ht="15.75" customHeight="1">
      <c r="D539" s="7">
        <f t="shared" si="1"/>
        <v>46095</v>
      </c>
      <c r="E539" s="14"/>
      <c r="F539" s="14"/>
      <c r="G539" s="14"/>
    </row>
    <row r="540" ht="15.75" customHeight="1">
      <c r="D540" s="7">
        <f t="shared" si="1"/>
        <v>46096</v>
      </c>
      <c r="E540" s="14"/>
      <c r="F540" s="14"/>
      <c r="G540" s="14"/>
    </row>
    <row r="541" ht="15.75" customHeight="1">
      <c r="D541" s="7">
        <f t="shared" si="1"/>
        <v>46097</v>
      </c>
      <c r="E541" s="14"/>
      <c r="F541" s="14"/>
      <c r="G541" s="14"/>
    </row>
    <row r="542" ht="15.75" customHeight="1">
      <c r="D542" s="7">
        <f t="shared" si="1"/>
        <v>46098</v>
      </c>
      <c r="E542" s="14"/>
      <c r="F542" s="14"/>
      <c r="G542" s="14"/>
    </row>
    <row r="543" ht="15.75" customHeight="1">
      <c r="D543" s="7">
        <f t="shared" si="1"/>
        <v>46099</v>
      </c>
      <c r="E543" s="14"/>
      <c r="F543" s="14"/>
      <c r="G543" s="14"/>
    </row>
    <row r="544" ht="15.75" customHeight="1">
      <c r="D544" s="7">
        <f t="shared" si="1"/>
        <v>46100</v>
      </c>
      <c r="E544" s="14"/>
      <c r="F544" s="14"/>
      <c r="G544" s="14"/>
    </row>
    <row r="545" ht="15.75" customHeight="1">
      <c r="D545" s="7">
        <f t="shared" si="1"/>
        <v>46101</v>
      </c>
      <c r="E545" s="14"/>
      <c r="F545" s="14"/>
      <c r="G545" s="14"/>
    </row>
    <row r="546" ht="15.75" customHeight="1">
      <c r="D546" s="7">
        <f t="shared" si="1"/>
        <v>46102</v>
      </c>
      <c r="E546" s="14"/>
      <c r="F546" s="14"/>
      <c r="G546" s="14"/>
    </row>
    <row r="547" ht="15.75" customHeight="1">
      <c r="D547" s="7">
        <f t="shared" si="1"/>
        <v>46103</v>
      </c>
      <c r="E547" s="14"/>
      <c r="F547" s="14"/>
      <c r="G547" s="14"/>
    </row>
    <row r="548" ht="15.75" customHeight="1">
      <c r="D548" s="7">
        <f t="shared" si="1"/>
        <v>46104</v>
      </c>
      <c r="E548" s="14"/>
      <c r="F548" s="14"/>
      <c r="G548" s="14"/>
    </row>
    <row r="549" ht="15.75" customHeight="1">
      <c r="D549" s="7">
        <f t="shared" si="1"/>
        <v>46105</v>
      </c>
      <c r="E549" s="14"/>
      <c r="F549" s="14"/>
      <c r="G549" s="14"/>
    </row>
    <row r="550" ht="15.75" customHeight="1">
      <c r="D550" s="7">
        <f t="shared" si="1"/>
        <v>46106</v>
      </c>
      <c r="E550" s="14"/>
      <c r="F550" s="14"/>
      <c r="G550" s="14"/>
    </row>
    <row r="551" ht="15.75" customHeight="1">
      <c r="D551" s="7">
        <f t="shared" si="1"/>
        <v>46107</v>
      </c>
      <c r="E551" s="14"/>
      <c r="F551" s="14"/>
      <c r="G551" s="14"/>
    </row>
    <row r="552" ht="15.75" customHeight="1">
      <c r="D552" s="7">
        <f t="shared" si="1"/>
        <v>46108</v>
      </c>
      <c r="E552" s="14"/>
      <c r="F552" s="14"/>
      <c r="G552" s="14"/>
    </row>
    <row r="553" ht="15.75" customHeight="1">
      <c r="D553" s="7">
        <f t="shared" si="1"/>
        <v>46109</v>
      </c>
      <c r="E553" s="14"/>
      <c r="F553" s="14"/>
      <c r="G553" s="14"/>
    </row>
    <row r="554" ht="15.75" customHeight="1">
      <c r="D554" s="7">
        <f t="shared" si="1"/>
        <v>46110</v>
      </c>
      <c r="E554" s="14"/>
      <c r="F554" s="14"/>
      <c r="G554" s="14"/>
    </row>
    <row r="555" ht="15.75" customHeight="1">
      <c r="D555" s="7">
        <f t="shared" si="1"/>
        <v>46111</v>
      </c>
      <c r="E555" s="14"/>
      <c r="F555" s="14"/>
      <c r="G555" s="14"/>
    </row>
    <row r="556" ht="15.75" customHeight="1">
      <c r="D556" s="7">
        <f t="shared" si="1"/>
        <v>46112</v>
      </c>
      <c r="E556" s="14"/>
      <c r="F556" s="14"/>
      <c r="G556" s="14"/>
    </row>
    <row r="557" ht="15.75" customHeight="1">
      <c r="D557" s="7">
        <f t="shared" si="1"/>
        <v>46113</v>
      </c>
      <c r="E557" s="14"/>
      <c r="F557" s="14"/>
      <c r="G557" s="14"/>
    </row>
    <row r="558" ht="15.75" customHeight="1">
      <c r="D558" s="7">
        <f t="shared" si="1"/>
        <v>46114</v>
      </c>
      <c r="E558" s="14"/>
      <c r="F558" s="14"/>
      <c r="G558" s="14"/>
    </row>
    <row r="559" ht="15.75" customHeight="1">
      <c r="D559" s="7">
        <f t="shared" si="1"/>
        <v>46115</v>
      </c>
      <c r="E559" s="14"/>
      <c r="F559" s="14"/>
      <c r="G559" s="14"/>
    </row>
    <row r="560" ht="15.75" customHeight="1">
      <c r="D560" s="7">
        <f t="shared" si="1"/>
        <v>46116</v>
      </c>
      <c r="E560" s="14"/>
      <c r="F560" s="14"/>
      <c r="G560" s="14"/>
    </row>
    <row r="561" ht="15.75" customHeight="1">
      <c r="D561" s="7">
        <f t="shared" si="1"/>
        <v>46117</v>
      </c>
      <c r="E561" s="14"/>
      <c r="F561" s="14"/>
      <c r="G561" s="14"/>
    </row>
    <row r="562" ht="15.75" customHeight="1">
      <c r="D562" s="7">
        <f t="shared" si="1"/>
        <v>46118</v>
      </c>
      <c r="E562" s="14"/>
      <c r="F562" s="14"/>
      <c r="G562" s="14"/>
    </row>
    <row r="563" ht="15.75" customHeight="1">
      <c r="D563" s="7">
        <f t="shared" si="1"/>
        <v>46119</v>
      </c>
      <c r="E563" s="14"/>
      <c r="F563" s="14"/>
      <c r="G563" s="14"/>
    </row>
    <row r="564" ht="15.75" customHeight="1">
      <c r="D564" s="7">
        <f t="shared" si="1"/>
        <v>46120</v>
      </c>
      <c r="E564" s="14"/>
      <c r="F564" s="14"/>
      <c r="G564" s="14"/>
    </row>
    <row r="565" ht="15.75" customHeight="1">
      <c r="D565" s="7">
        <f t="shared" si="1"/>
        <v>46121</v>
      </c>
      <c r="E565" s="14"/>
      <c r="F565" s="14"/>
      <c r="G565" s="14"/>
    </row>
    <row r="566" ht="15.75" customHeight="1">
      <c r="D566" s="7">
        <f t="shared" si="1"/>
        <v>46122</v>
      </c>
      <c r="E566" s="14"/>
      <c r="F566" s="14"/>
      <c r="G566" s="14"/>
    </row>
    <row r="567" ht="15.75" customHeight="1">
      <c r="D567" s="7">
        <f t="shared" si="1"/>
        <v>46123</v>
      </c>
      <c r="E567" s="14"/>
      <c r="F567" s="14"/>
      <c r="G567" s="14"/>
    </row>
    <row r="568" ht="15.75" customHeight="1">
      <c r="D568" s="7">
        <f t="shared" si="1"/>
        <v>46124</v>
      </c>
      <c r="E568" s="14"/>
      <c r="F568" s="14"/>
      <c r="G568" s="14"/>
    </row>
    <row r="569" ht="15.75" customHeight="1">
      <c r="D569" s="7">
        <f t="shared" si="1"/>
        <v>46125</v>
      </c>
      <c r="E569" s="14"/>
      <c r="F569" s="14"/>
      <c r="G569" s="14"/>
    </row>
    <row r="570" ht="15.75" customHeight="1">
      <c r="D570" s="7">
        <f t="shared" si="1"/>
        <v>46126</v>
      </c>
      <c r="E570" s="14"/>
      <c r="F570" s="14"/>
      <c r="G570" s="14"/>
    </row>
    <row r="571" ht="15.75" customHeight="1">
      <c r="D571" s="7">
        <f t="shared" si="1"/>
        <v>46127</v>
      </c>
      <c r="E571" s="14"/>
      <c r="F571" s="14"/>
      <c r="G571" s="14"/>
    </row>
    <row r="572" ht="15.75" customHeight="1">
      <c r="D572" s="7">
        <f t="shared" si="1"/>
        <v>46128</v>
      </c>
      <c r="E572" s="14"/>
      <c r="F572" s="14"/>
      <c r="G572" s="14"/>
    </row>
    <row r="573" ht="15.75" customHeight="1">
      <c r="D573" s="7">
        <f t="shared" si="1"/>
        <v>46129</v>
      </c>
      <c r="E573" s="14"/>
      <c r="F573" s="14"/>
      <c r="G573" s="14"/>
    </row>
    <row r="574" ht="15.75" customHeight="1">
      <c r="D574" s="7">
        <f t="shared" si="1"/>
        <v>46130</v>
      </c>
      <c r="E574" s="14"/>
      <c r="F574" s="14"/>
      <c r="G574" s="14"/>
    </row>
    <row r="575" ht="15.75" customHeight="1">
      <c r="D575" s="7">
        <f t="shared" si="1"/>
        <v>46131</v>
      </c>
      <c r="E575" s="14"/>
      <c r="F575" s="14"/>
      <c r="G575" s="14"/>
    </row>
    <row r="576" ht="15.75" customHeight="1">
      <c r="D576" s="7">
        <f t="shared" si="1"/>
        <v>46132</v>
      </c>
      <c r="E576" s="14"/>
      <c r="F576" s="14"/>
      <c r="G576" s="14"/>
    </row>
    <row r="577" ht="15.75" customHeight="1">
      <c r="D577" s="7">
        <f t="shared" si="1"/>
        <v>46133</v>
      </c>
      <c r="E577" s="14"/>
      <c r="F577" s="14"/>
      <c r="G577" s="14"/>
    </row>
    <row r="578" ht="15.75" customHeight="1">
      <c r="D578" s="7">
        <f t="shared" si="1"/>
        <v>46134</v>
      </c>
      <c r="E578" s="14"/>
      <c r="F578" s="14"/>
      <c r="G578" s="14"/>
    </row>
    <row r="579" ht="15.75" customHeight="1">
      <c r="D579" s="7">
        <f t="shared" si="1"/>
        <v>46135</v>
      </c>
      <c r="E579" s="14"/>
      <c r="F579" s="14"/>
      <c r="G579" s="14"/>
    </row>
    <row r="580" ht="15.75" customHeight="1">
      <c r="D580" s="7">
        <f t="shared" si="1"/>
        <v>46136</v>
      </c>
      <c r="E580" s="14"/>
      <c r="F580" s="14"/>
      <c r="G580" s="14"/>
    </row>
    <row r="581" ht="15.75" customHeight="1">
      <c r="D581" s="7">
        <f t="shared" si="1"/>
        <v>46137</v>
      </c>
      <c r="E581" s="14"/>
      <c r="F581" s="14"/>
      <c r="G581" s="14"/>
    </row>
    <row r="582" ht="15.75" customHeight="1">
      <c r="D582" s="7">
        <f t="shared" si="1"/>
        <v>46138</v>
      </c>
      <c r="E582" s="14"/>
      <c r="F582" s="14"/>
      <c r="G582" s="14"/>
    </row>
    <row r="583" ht="15.75" customHeight="1">
      <c r="D583" s="7">
        <f t="shared" si="1"/>
        <v>46139</v>
      </c>
      <c r="E583" s="14"/>
      <c r="F583" s="14"/>
      <c r="G583" s="14"/>
    </row>
    <row r="584" ht="15.75" customHeight="1">
      <c r="D584" s="7">
        <f t="shared" si="1"/>
        <v>46140</v>
      </c>
      <c r="E584" s="14"/>
      <c r="F584" s="14"/>
      <c r="G584" s="14"/>
    </row>
    <row r="585" ht="15.75" customHeight="1">
      <c r="D585" s="7">
        <f t="shared" si="1"/>
        <v>46141</v>
      </c>
      <c r="E585" s="14"/>
      <c r="F585" s="14"/>
      <c r="G585" s="14"/>
    </row>
    <row r="586" ht="15.75" customHeight="1">
      <c r="D586" s="7">
        <f t="shared" si="1"/>
        <v>46142</v>
      </c>
      <c r="E586" s="14"/>
      <c r="F586" s="14"/>
      <c r="G586" s="14"/>
    </row>
    <row r="587" ht="15.75" customHeight="1">
      <c r="D587" s="7">
        <f t="shared" si="1"/>
        <v>46143</v>
      </c>
      <c r="E587" s="14"/>
      <c r="F587" s="14"/>
      <c r="G587" s="14"/>
    </row>
    <row r="588" ht="15.75" customHeight="1">
      <c r="D588" s="7">
        <f t="shared" si="1"/>
        <v>46144</v>
      </c>
      <c r="E588" s="14"/>
      <c r="F588" s="14"/>
      <c r="G588" s="14"/>
    </row>
    <row r="589" ht="15.75" customHeight="1">
      <c r="D589" s="7">
        <f t="shared" si="1"/>
        <v>46145</v>
      </c>
      <c r="E589" s="14"/>
      <c r="F589" s="14"/>
      <c r="G589" s="14"/>
    </row>
    <row r="590" ht="15.75" customHeight="1">
      <c r="D590" s="7">
        <f t="shared" si="1"/>
        <v>46146</v>
      </c>
      <c r="E590" s="14"/>
      <c r="F590" s="14"/>
      <c r="G590" s="14"/>
    </row>
    <row r="591" ht="15.75" customHeight="1">
      <c r="D591" s="7">
        <f t="shared" si="1"/>
        <v>46147</v>
      </c>
      <c r="E591" s="14"/>
      <c r="F591" s="14"/>
      <c r="G591" s="14"/>
    </row>
    <row r="592" ht="15.75" customHeight="1">
      <c r="D592" s="7">
        <f t="shared" si="1"/>
        <v>46148</v>
      </c>
      <c r="E592" s="14"/>
      <c r="F592" s="14"/>
      <c r="G592" s="14"/>
    </row>
    <row r="593" ht="15.75" customHeight="1">
      <c r="D593" s="7">
        <f t="shared" si="1"/>
        <v>46149</v>
      </c>
      <c r="E593" s="14"/>
      <c r="F593" s="14"/>
      <c r="G593" s="14"/>
    </row>
    <row r="594" ht="15.75" customHeight="1">
      <c r="D594" s="7">
        <f t="shared" si="1"/>
        <v>46150</v>
      </c>
      <c r="E594" s="14"/>
      <c r="F594" s="14"/>
      <c r="G594" s="14"/>
    </row>
    <row r="595" ht="15.75" customHeight="1">
      <c r="D595" s="7">
        <f t="shared" si="1"/>
        <v>46151</v>
      </c>
      <c r="E595" s="14"/>
      <c r="F595" s="14"/>
      <c r="G595" s="14"/>
    </row>
    <row r="596" ht="15.75" customHeight="1">
      <c r="D596" s="7">
        <f t="shared" si="1"/>
        <v>46152</v>
      </c>
      <c r="E596" s="14"/>
      <c r="F596" s="14"/>
      <c r="G596" s="14"/>
    </row>
    <row r="597" ht="15.75" customHeight="1">
      <c r="D597" s="7">
        <f t="shared" si="1"/>
        <v>46153</v>
      </c>
      <c r="E597" s="14"/>
      <c r="F597" s="14"/>
      <c r="G597" s="14"/>
    </row>
    <row r="598" ht="15.75" customHeight="1">
      <c r="D598" s="7">
        <f t="shared" si="1"/>
        <v>46154</v>
      </c>
      <c r="E598" s="14"/>
      <c r="F598" s="14"/>
      <c r="G598" s="14"/>
    </row>
    <row r="599" ht="15.75" customHeight="1">
      <c r="D599" s="7">
        <f t="shared" si="1"/>
        <v>46155</v>
      </c>
      <c r="E599" s="14"/>
      <c r="F599" s="14"/>
      <c r="G599" s="14"/>
    </row>
    <row r="600" ht="15.75" customHeight="1">
      <c r="D600" s="7">
        <f t="shared" si="1"/>
        <v>46156</v>
      </c>
      <c r="E600" s="14"/>
      <c r="F600" s="14"/>
      <c r="G600" s="14"/>
    </row>
    <row r="601" ht="15.75" customHeight="1">
      <c r="D601" s="7">
        <f t="shared" si="1"/>
        <v>46157</v>
      </c>
      <c r="E601" s="14"/>
      <c r="F601" s="14"/>
      <c r="G601" s="14"/>
    </row>
    <row r="602" ht="15.75" customHeight="1">
      <c r="D602" s="7">
        <f t="shared" si="1"/>
        <v>46158</v>
      </c>
      <c r="E602" s="14"/>
      <c r="F602" s="14"/>
      <c r="G602" s="14"/>
    </row>
    <row r="603" ht="15.75" customHeight="1">
      <c r="D603" s="7">
        <f t="shared" si="1"/>
        <v>46159</v>
      </c>
      <c r="E603" s="14"/>
      <c r="F603" s="14"/>
      <c r="G603" s="14"/>
    </row>
    <row r="604" ht="15.75" customHeight="1">
      <c r="D604" s="7">
        <f t="shared" si="1"/>
        <v>46160</v>
      </c>
      <c r="E604" s="14"/>
      <c r="F604" s="14"/>
      <c r="G604" s="14"/>
    </row>
    <row r="605" ht="15.75" customHeight="1">
      <c r="D605" s="7">
        <f t="shared" si="1"/>
        <v>46161</v>
      </c>
      <c r="E605" s="14"/>
      <c r="F605" s="14"/>
      <c r="G605" s="14"/>
    </row>
    <row r="606" ht="15.75" customHeight="1">
      <c r="D606" s="7">
        <f t="shared" si="1"/>
        <v>46162</v>
      </c>
      <c r="E606" s="14"/>
      <c r="F606" s="14"/>
      <c r="G606" s="14"/>
    </row>
    <row r="607" ht="15.75" customHeight="1">
      <c r="D607" s="7">
        <f t="shared" si="1"/>
        <v>46163</v>
      </c>
      <c r="E607" s="14"/>
      <c r="F607" s="14"/>
      <c r="G607" s="14"/>
    </row>
    <row r="608" ht="15.75" customHeight="1">
      <c r="D608" s="7">
        <f t="shared" si="1"/>
        <v>46164</v>
      </c>
      <c r="E608" s="14"/>
      <c r="F608" s="14"/>
      <c r="G608" s="14"/>
    </row>
    <row r="609" ht="15.75" customHeight="1">
      <c r="D609" s="7">
        <f t="shared" si="1"/>
        <v>46165</v>
      </c>
      <c r="E609" s="14"/>
      <c r="F609" s="14"/>
      <c r="G609" s="14"/>
    </row>
    <row r="610" ht="15.75" customHeight="1">
      <c r="D610" s="7">
        <f t="shared" si="1"/>
        <v>46166</v>
      </c>
      <c r="E610" s="14"/>
      <c r="F610" s="14"/>
      <c r="G610" s="14"/>
    </row>
    <row r="611" ht="15.75" customHeight="1">
      <c r="D611" s="7">
        <f t="shared" si="1"/>
        <v>46167</v>
      </c>
      <c r="E611" s="14"/>
      <c r="F611" s="14"/>
      <c r="G611" s="14"/>
    </row>
    <row r="612" ht="15.75" customHeight="1">
      <c r="D612" s="7">
        <f t="shared" si="1"/>
        <v>46168</v>
      </c>
      <c r="E612" s="14"/>
      <c r="F612" s="14"/>
      <c r="G612" s="14"/>
    </row>
    <row r="613" ht="15.75" customHeight="1">
      <c r="D613" s="7">
        <f t="shared" si="1"/>
        <v>46169</v>
      </c>
      <c r="E613" s="14"/>
      <c r="F613" s="14"/>
      <c r="G613" s="14"/>
    </row>
    <row r="614" ht="15.75" customHeight="1">
      <c r="D614" s="7">
        <f t="shared" si="1"/>
        <v>46170</v>
      </c>
      <c r="E614" s="14"/>
      <c r="F614" s="14"/>
      <c r="G614" s="14"/>
    </row>
    <row r="615" ht="15.75" customHeight="1">
      <c r="D615" s="7">
        <f t="shared" si="1"/>
        <v>46171</v>
      </c>
      <c r="E615" s="14"/>
      <c r="F615" s="14"/>
      <c r="G615" s="14"/>
    </row>
    <row r="616" ht="15.75" customHeight="1">
      <c r="D616" s="7">
        <f t="shared" si="1"/>
        <v>46172</v>
      </c>
      <c r="E616" s="14"/>
      <c r="F616" s="14"/>
      <c r="G616" s="14"/>
    </row>
    <row r="617" ht="15.75" customHeight="1">
      <c r="D617" s="7">
        <f t="shared" si="1"/>
        <v>46173</v>
      </c>
      <c r="E617" s="14"/>
      <c r="F617" s="14"/>
      <c r="G617" s="14"/>
    </row>
    <row r="618" ht="15.75" customHeight="1">
      <c r="D618" s="7">
        <f t="shared" si="1"/>
        <v>46174</v>
      </c>
      <c r="E618" s="14"/>
      <c r="F618" s="14"/>
      <c r="G618" s="14"/>
    </row>
    <row r="619" ht="15.75" customHeight="1">
      <c r="D619" s="7">
        <f t="shared" si="1"/>
        <v>46175</v>
      </c>
      <c r="E619" s="14"/>
      <c r="F619" s="14"/>
      <c r="G619" s="14"/>
    </row>
    <row r="620" ht="15.75" customHeight="1">
      <c r="D620" s="7">
        <f t="shared" si="1"/>
        <v>46176</v>
      </c>
      <c r="E620" s="14"/>
      <c r="F620" s="14"/>
      <c r="G620" s="14"/>
    </row>
    <row r="621" ht="15.75" customHeight="1">
      <c r="D621" s="7">
        <f t="shared" si="1"/>
        <v>46177</v>
      </c>
      <c r="E621" s="14"/>
      <c r="F621" s="14"/>
      <c r="G621" s="14"/>
    </row>
    <row r="622" ht="15.75" customHeight="1">
      <c r="D622" s="7">
        <f t="shared" si="1"/>
        <v>46178</v>
      </c>
      <c r="E622" s="14"/>
      <c r="F622" s="14"/>
      <c r="G622" s="14"/>
    </row>
    <row r="623" ht="15.75" customHeight="1">
      <c r="D623" s="7">
        <f t="shared" si="1"/>
        <v>46179</v>
      </c>
      <c r="E623" s="14"/>
      <c r="F623" s="14"/>
      <c r="G623" s="14"/>
    </row>
    <row r="624" ht="15.75" customHeight="1">
      <c r="D624" s="7">
        <f t="shared" si="1"/>
        <v>46180</v>
      </c>
      <c r="E624" s="14"/>
      <c r="F624" s="14"/>
      <c r="G624" s="14"/>
    </row>
    <row r="625" ht="15.75" customHeight="1">
      <c r="D625" s="7">
        <f t="shared" si="1"/>
        <v>46181</v>
      </c>
      <c r="E625" s="14"/>
      <c r="F625" s="14"/>
      <c r="G625" s="14"/>
    </row>
    <row r="626" ht="15.75" customHeight="1">
      <c r="D626" s="7">
        <f t="shared" si="1"/>
        <v>46182</v>
      </c>
      <c r="E626" s="14"/>
      <c r="F626" s="14"/>
      <c r="G626" s="14"/>
    </row>
    <row r="627" ht="15.75" customHeight="1">
      <c r="D627" s="7">
        <f t="shared" si="1"/>
        <v>46183</v>
      </c>
      <c r="E627" s="14"/>
      <c r="F627" s="14"/>
      <c r="G627" s="14"/>
    </row>
    <row r="628" ht="15.75" customHeight="1">
      <c r="D628" s="7">
        <f t="shared" si="1"/>
        <v>46184</v>
      </c>
      <c r="E628" s="14"/>
      <c r="F628" s="14"/>
      <c r="G628" s="14"/>
    </row>
    <row r="629" ht="15.75" customHeight="1">
      <c r="D629" s="7">
        <f t="shared" si="1"/>
        <v>46185</v>
      </c>
      <c r="E629" s="14"/>
      <c r="F629" s="14"/>
      <c r="G629" s="14"/>
    </row>
    <row r="630" ht="15.75" customHeight="1">
      <c r="D630" s="7">
        <f t="shared" si="1"/>
        <v>46186</v>
      </c>
      <c r="E630" s="14"/>
      <c r="F630" s="14"/>
      <c r="G630" s="14"/>
    </row>
    <row r="631" ht="15.75" customHeight="1">
      <c r="D631" s="7">
        <f t="shared" si="1"/>
        <v>46187</v>
      </c>
      <c r="E631" s="14"/>
      <c r="F631" s="14"/>
      <c r="G631" s="14"/>
    </row>
    <row r="632" ht="15.75" customHeight="1">
      <c r="D632" s="7">
        <f t="shared" si="1"/>
        <v>46188</v>
      </c>
      <c r="E632" s="14"/>
      <c r="F632" s="14"/>
      <c r="G632" s="14"/>
    </row>
    <row r="633" ht="15.75" customHeight="1">
      <c r="D633" s="7">
        <f t="shared" si="1"/>
        <v>46189</v>
      </c>
      <c r="E633" s="14"/>
      <c r="F633" s="14"/>
      <c r="G633" s="14"/>
    </row>
    <row r="634" ht="15.75" customHeight="1">
      <c r="D634" s="7">
        <f t="shared" si="1"/>
        <v>46190</v>
      </c>
      <c r="E634" s="14"/>
      <c r="F634" s="14"/>
      <c r="G634" s="14"/>
    </row>
    <row r="635" ht="15.75" customHeight="1">
      <c r="D635" s="7">
        <f t="shared" si="1"/>
        <v>46191</v>
      </c>
      <c r="E635" s="14"/>
      <c r="F635" s="14"/>
      <c r="G635" s="14"/>
    </row>
    <row r="636" ht="15.75" customHeight="1">
      <c r="D636" s="7">
        <f t="shared" si="1"/>
        <v>46192</v>
      </c>
      <c r="E636" s="14"/>
      <c r="F636" s="14"/>
      <c r="G636" s="14"/>
    </row>
    <row r="637" ht="15.75" customHeight="1">
      <c r="D637" s="7">
        <f t="shared" si="1"/>
        <v>46193</v>
      </c>
      <c r="E637" s="14"/>
      <c r="F637" s="14"/>
      <c r="G637" s="14"/>
    </row>
    <row r="638" ht="15.75" customHeight="1">
      <c r="D638" s="7">
        <f t="shared" si="1"/>
        <v>46194</v>
      </c>
      <c r="E638" s="14"/>
      <c r="F638" s="14"/>
      <c r="G638" s="14"/>
    </row>
    <row r="639" ht="15.75" customHeight="1">
      <c r="D639" s="7">
        <f t="shared" si="1"/>
        <v>46195</v>
      </c>
      <c r="E639" s="14"/>
      <c r="F639" s="14"/>
      <c r="G639" s="14"/>
    </row>
    <row r="640" ht="15.75" customHeight="1">
      <c r="D640" s="7">
        <f t="shared" si="1"/>
        <v>46196</v>
      </c>
      <c r="E640" s="14"/>
      <c r="F640" s="14"/>
      <c r="G640" s="14"/>
    </row>
    <row r="641" ht="15.75" customHeight="1">
      <c r="D641" s="7">
        <f t="shared" si="1"/>
        <v>46197</v>
      </c>
      <c r="E641" s="14"/>
      <c r="F641" s="14"/>
      <c r="G641" s="14"/>
    </row>
    <row r="642" ht="15.75" customHeight="1">
      <c r="D642" s="7">
        <f t="shared" si="1"/>
        <v>46198</v>
      </c>
      <c r="E642" s="14"/>
      <c r="F642" s="14"/>
      <c r="G642" s="14"/>
    </row>
    <row r="643" ht="15.75" customHeight="1">
      <c r="D643" s="7">
        <f t="shared" si="1"/>
        <v>46199</v>
      </c>
      <c r="E643" s="14"/>
      <c r="F643" s="14"/>
      <c r="G643" s="14"/>
    </row>
    <row r="644" ht="15.75" customHeight="1">
      <c r="D644" s="7">
        <f t="shared" si="1"/>
        <v>46200</v>
      </c>
      <c r="E644" s="14"/>
      <c r="F644" s="14"/>
      <c r="G644" s="14"/>
    </row>
    <row r="645" ht="15.75" customHeight="1">
      <c r="D645" s="7">
        <f t="shared" si="1"/>
        <v>46201</v>
      </c>
      <c r="E645" s="14"/>
      <c r="F645" s="14"/>
      <c r="G645" s="14"/>
    </row>
    <row r="646" ht="15.75" customHeight="1">
      <c r="D646" s="7">
        <f t="shared" si="1"/>
        <v>46202</v>
      </c>
      <c r="E646" s="14"/>
      <c r="F646" s="14"/>
      <c r="G646" s="14"/>
    </row>
    <row r="647" ht="15.75" customHeight="1">
      <c r="D647" s="7">
        <f t="shared" si="1"/>
        <v>46203</v>
      </c>
      <c r="E647" s="14"/>
      <c r="F647" s="14"/>
      <c r="G647" s="14"/>
    </row>
    <row r="648" ht="15.75" customHeight="1">
      <c r="D648" s="7">
        <f t="shared" si="1"/>
        <v>46204</v>
      </c>
      <c r="E648" s="14"/>
      <c r="F648" s="14"/>
      <c r="G648" s="14"/>
    </row>
    <row r="649" ht="15.75" customHeight="1">
      <c r="D649" s="7">
        <f t="shared" si="1"/>
        <v>46205</v>
      </c>
      <c r="E649" s="14"/>
      <c r="F649" s="14"/>
      <c r="G649" s="14"/>
    </row>
    <row r="650" ht="15.75" customHeight="1">
      <c r="D650" s="7">
        <f t="shared" si="1"/>
        <v>46206</v>
      </c>
      <c r="E650" s="14"/>
      <c r="F650" s="14"/>
      <c r="G650" s="14"/>
    </row>
    <row r="651" ht="15.75" customHeight="1">
      <c r="D651" s="7">
        <f t="shared" si="1"/>
        <v>46207</v>
      </c>
      <c r="E651" s="14"/>
      <c r="F651" s="14"/>
      <c r="G651" s="14"/>
    </row>
    <row r="652" ht="15.75" customHeight="1">
      <c r="D652" s="7">
        <f t="shared" si="1"/>
        <v>46208</v>
      </c>
      <c r="E652" s="14"/>
      <c r="F652" s="14"/>
      <c r="G652" s="14"/>
    </row>
    <row r="653" ht="15.75" customHeight="1">
      <c r="D653" s="7">
        <f t="shared" si="1"/>
        <v>46209</v>
      </c>
      <c r="E653" s="14"/>
      <c r="F653" s="14"/>
      <c r="G653" s="14"/>
    </row>
    <row r="654" ht="15.75" customHeight="1">
      <c r="D654" s="7">
        <f t="shared" si="1"/>
        <v>46210</v>
      </c>
      <c r="E654" s="14"/>
      <c r="F654" s="14"/>
      <c r="G654" s="14"/>
    </row>
    <row r="655" ht="15.75" customHeight="1">
      <c r="D655" s="7">
        <f t="shared" si="1"/>
        <v>46211</v>
      </c>
      <c r="E655" s="14"/>
      <c r="F655" s="14"/>
      <c r="G655" s="14"/>
    </row>
    <row r="656" ht="15.75" customHeight="1">
      <c r="D656" s="7">
        <f t="shared" si="1"/>
        <v>46212</v>
      </c>
      <c r="E656" s="14"/>
      <c r="F656" s="14"/>
      <c r="G656" s="14"/>
    </row>
    <row r="657" ht="15.75" customHeight="1">
      <c r="D657" s="7">
        <f t="shared" si="1"/>
        <v>46213</v>
      </c>
      <c r="E657" s="14"/>
      <c r="F657" s="14"/>
      <c r="G657" s="14"/>
    </row>
    <row r="658" ht="15.75" customHeight="1">
      <c r="D658" s="7">
        <f t="shared" si="1"/>
        <v>46214</v>
      </c>
      <c r="E658" s="14"/>
      <c r="F658" s="14"/>
      <c r="G658" s="14"/>
    </row>
    <row r="659" ht="15.75" customHeight="1">
      <c r="D659" s="7">
        <f t="shared" si="1"/>
        <v>46215</v>
      </c>
      <c r="E659" s="14"/>
      <c r="F659" s="14"/>
      <c r="G659" s="14"/>
    </row>
    <row r="660" ht="15.75" customHeight="1">
      <c r="D660" s="7">
        <f t="shared" si="1"/>
        <v>46216</v>
      </c>
      <c r="E660" s="14"/>
      <c r="F660" s="14"/>
      <c r="G660" s="14"/>
    </row>
    <row r="661" ht="15.75" customHeight="1">
      <c r="D661" s="7">
        <f t="shared" si="1"/>
        <v>46217</v>
      </c>
      <c r="E661" s="14"/>
      <c r="F661" s="14"/>
      <c r="G661" s="14"/>
    </row>
    <row r="662" ht="15.75" customHeight="1">
      <c r="D662" s="7">
        <f t="shared" si="1"/>
        <v>46218</v>
      </c>
      <c r="E662" s="14"/>
      <c r="F662" s="14"/>
      <c r="G662" s="14"/>
    </row>
    <row r="663" ht="15.75" customHeight="1">
      <c r="D663" s="7">
        <f t="shared" si="1"/>
        <v>46219</v>
      </c>
      <c r="E663" s="14"/>
      <c r="F663" s="14"/>
      <c r="G663" s="14"/>
    </row>
    <row r="664" ht="15.75" customHeight="1">
      <c r="D664" s="7">
        <f t="shared" si="1"/>
        <v>46220</v>
      </c>
      <c r="E664" s="14"/>
      <c r="F664" s="14"/>
      <c r="G664" s="14"/>
    </row>
    <row r="665" ht="15.75" customHeight="1">
      <c r="D665" s="7">
        <f t="shared" si="1"/>
        <v>46221</v>
      </c>
      <c r="E665" s="14"/>
      <c r="F665" s="14"/>
      <c r="G665" s="14"/>
    </row>
    <row r="666" ht="15.75" customHeight="1">
      <c r="D666" s="7">
        <f t="shared" si="1"/>
        <v>46222</v>
      </c>
      <c r="E666" s="14"/>
      <c r="F666" s="14"/>
      <c r="G666" s="14"/>
    </row>
    <row r="667" ht="15.75" customHeight="1">
      <c r="D667" s="7">
        <f t="shared" si="1"/>
        <v>46223</v>
      </c>
      <c r="E667" s="14"/>
      <c r="F667" s="14"/>
      <c r="G667" s="14"/>
    </row>
    <row r="668" ht="15.75" customHeight="1">
      <c r="D668" s="7">
        <f t="shared" si="1"/>
        <v>46224</v>
      </c>
      <c r="E668" s="14"/>
      <c r="F668" s="14"/>
      <c r="G668" s="14"/>
    </row>
    <row r="669" ht="15.75" customHeight="1">
      <c r="D669" s="7">
        <f t="shared" si="1"/>
        <v>46225</v>
      </c>
      <c r="E669" s="14"/>
      <c r="F669" s="14"/>
      <c r="G669" s="14"/>
    </row>
    <row r="670" ht="15.75" customHeight="1">
      <c r="D670" s="7">
        <f t="shared" si="1"/>
        <v>46226</v>
      </c>
      <c r="E670" s="14"/>
      <c r="F670" s="14"/>
      <c r="G670" s="14"/>
    </row>
    <row r="671" ht="15.75" customHeight="1">
      <c r="D671" s="7">
        <f t="shared" si="1"/>
        <v>46227</v>
      </c>
      <c r="E671" s="14"/>
      <c r="F671" s="14"/>
      <c r="G671" s="14"/>
    </row>
    <row r="672" ht="15.75" customHeight="1">
      <c r="D672" s="7">
        <f t="shared" si="1"/>
        <v>46228</v>
      </c>
      <c r="E672" s="14"/>
      <c r="F672" s="14"/>
      <c r="G672" s="14"/>
    </row>
    <row r="673" ht="15.75" customHeight="1">
      <c r="D673" s="7">
        <f t="shared" si="1"/>
        <v>46229</v>
      </c>
      <c r="E673" s="14"/>
      <c r="F673" s="14"/>
      <c r="G673" s="14"/>
    </row>
    <row r="674" ht="15.75" customHeight="1">
      <c r="D674" s="7">
        <f t="shared" si="1"/>
        <v>46230</v>
      </c>
      <c r="E674" s="14"/>
      <c r="F674" s="14"/>
      <c r="G674" s="14"/>
    </row>
    <row r="675" ht="15.75" customHeight="1">
      <c r="D675" s="7">
        <f t="shared" si="1"/>
        <v>46231</v>
      </c>
      <c r="E675" s="14"/>
      <c r="F675" s="14"/>
      <c r="G675" s="14"/>
    </row>
    <row r="676" ht="15.75" customHeight="1">
      <c r="D676" s="7">
        <f t="shared" si="1"/>
        <v>46232</v>
      </c>
      <c r="E676" s="14"/>
      <c r="F676" s="14"/>
      <c r="G676" s="14"/>
    </row>
    <row r="677" ht="15.75" customHeight="1">
      <c r="D677" s="7">
        <f t="shared" si="1"/>
        <v>46233</v>
      </c>
      <c r="E677" s="14"/>
      <c r="F677" s="14"/>
      <c r="G677" s="14"/>
    </row>
    <row r="678" ht="15.75" customHeight="1">
      <c r="D678" s="7">
        <f t="shared" si="1"/>
        <v>46234</v>
      </c>
      <c r="E678" s="14"/>
      <c r="F678" s="14"/>
      <c r="G678" s="14"/>
    </row>
    <row r="679" ht="15.75" customHeight="1">
      <c r="D679" s="7">
        <f t="shared" si="1"/>
        <v>46235</v>
      </c>
      <c r="E679" s="14"/>
      <c r="F679" s="14"/>
      <c r="G679" s="14"/>
    </row>
    <row r="680" ht="15.75" customHeight="1">
      <c r="D680" s="7">
        <f t="shared" si="1"/>
        <v>46236</v>
      </c>
      <c r="E680" s="14"/>
      <c r="F680" s="14"/>
      <c r="G680" s="14"/>
    </row>
    <row r="681" ht="15.75" customHeight="1">
      <c r="D681" s="7">
        <f t="shared" si="1"/>
        <v>46237</v>
      </c>
      <c r="E681" s="14"/>
      <c r="F681" s="14"/>
      <c r="G681" s="14"/>
    </row>
    <row r="682" ht="15.75" customHeight="1">
      <c r="D682" s="7">
        <f t="shared" si="1"/>
        <v>46238</v>
      </c>
      <c r="E682" s="14"/>
      <c r="F682" s="14"/>
      <c r="G682" s="14"/>
    </row>
    <row r="683" ht="15.75" customHeight="1">
      <c r="D683" s="7">
        <f t="shared" si="1"/>
        <v>46239</v>
      </c>
      <c r="E683" s="14"/>
      <c r="F683" s="14"/>
      <c r="G683" s="14"/>
    </row>
    <row r="684" ht="15.75" customHeight="1">
      <c r="D684" s="7">
        <f t="shared" si="1"/>
        <v>46240</v>
      </c>
      <c r="E684" s="14"/>
      <c r="F684" s="14"/>
      <c r="G684" s="14"/>
    </row>
    <row r="685" ht="15.75" customHeight="1">
      <c r="D685" s="7">
        <f t="shared" si="1"/>
        <v>46241</v>
      </c>
      <c r="E685" s="14"/>
      <c r="F685" s="14"/>
      <c r="G685" s="14"/>
    </row>
    <row r="686" ht="15.75" customHeight="1">
      <c r="D686" s="7">
        <f t="shared" si="1"/>
        <v>46242</v>
      </c>
      <c r="E686" s="14"/>
      <c r="F686" s="14"/>
      <c r="G686" s="14"/>
    </row>
    <row r="687" ht="15.75" customHeight="1">
      <c r="D687" s="7">
        <f t="shared" si="1"/>
        <v>46243</v>
      </c>
      <c r="E687" s="14"/>
      <c r="F687" s="14"/>
      <c r="G687" s="14"/>
    </row>
    <row r="688" ht="15.75" customHeight="1">
      <c r="D688" s="7">
        <f t="shared" si="1"/>
        <v>46244</v>
      </c>
      <c r="E688" s="14"/>
      <c r="F688" s="14"/>
      <c r="G688" s="14"/>
    </row>
    <row r="689" ht="15.75" customHeight="1">
      <c r="D689" s="7">
        <f t="shared" si="1"/>
        <v>46245</v>
      </c>
      <c r="E689" s="14"/>
      <c r="F689" s="14"/>
      <c r="G689" s="14"/>
    </row>
    <row r="690" ht="15.75" customHeight="1">
      <c r="D690" s="7">
        <f t="shared" si="1"/>
        <v>46246</v>
      </c>
      <c r="E690" s="14"/>
      <c r="F690" s="14"/>
      <c r="G690" s="14"/>
    </row>
    <row r="691" ht="15.75" customHeight="1">
      <c r="D691" s="7">
        <f t="shared" si="1"/>
        <v>46247</v>
      </c>
      <c r="E691" s="14"/>
      <c r="F691" s="14"/>
      <c r="G691" s="14"/>
    </row>
    <row r="692" ht="15.75" customHeight="1">
      <c r="D692" s="7">
        <f t="shared" si="1"/>
        <v>46248</v>
      </c>
      <c r="E692" s="14"/>
      <c r="F692" s="14"/>
      <c r="G692" s="14"/>
    </row>
    <row r="693" ht="15.75" customHeight="1">
      <c r="D693" s="7">
        <f t="shared" si="1"/>
        <v>46249</v>
      </c>
      <c r="E693" s="14"/>
      <c r="F693" s="14"/>
      <c r="G693" s="14"/>
    </row>
    <row r="694" ht="15.75" customHeight="1">
      <c r="D694" s="7">
        <f t="shared" si="1"/>
        <v>46250</v>
      </c>
      <c r="E694" s="14"/>
      <c r="F694" s="14"/>
      <c r="G694" s="14"/>
    </row>
    <row r="695" ht="15.75" customHeight="1">
      <c r="D695" s="7">
        <f t="shared" si="1"/>
        <v>46251</v>
      </c>
      <c r="E695" s="14"/>
      <c r="F695" s="14"/>
      <c r="G695" s="14"/>
    </row>
    <row r="696" ht="15.75" customHeight="1">
      <c r="D696" s="7">
        <f t="shared" si="1"/>
        <v>46252</v>
      </c>
      <c r="E696" s="14"/>
      <c r="F696" s="14"/>
      <c r="G696" s="14"/>
    </row>
    <row r="697" ht="15.75" customHeight="1">
      <c r="D697" s="7">
        <f t="shared" si="1"/>
        <v>46253</v>
      </c>
      <c r="E697" s="14"/>
      <c r="F697" s="14"/>
      <c r="G697" s="14"/>
    </row>
    <row r="698" ht="15.75" customHeight="1">
      <c r="D698" s="7">
        <f t="shared" si="1"/>
        <v>46254</v>
      </c>
      <c r="E698" s="14"/>
      <c r="F698" s="14"/>
      <c r="G698" s="14"/>
    </row>
    <row r="699" ht="15.75" customHeight="1">
      <c r="D699" s="7">
        <f t="shared" si="1"/>
        <v>46255</v>
      </c>
      <c r="E699" s="14"/>
      <c r="F699" s="14"/>
      <c r="G699" s="14"/>
    </row>
    <row r="700" ht="15.75" customHeight="1">
      <c r="D700" s="7">
        <f t="shared" si="1"/>
        <v>46256</v>
      </c>
      <c r="E700" s="14"/>
      <c r="F700" s="14"/>
      <c r="G700" s="14"/>
    </row>
    <row r="701" ht="15.75" customHeight="1">
      <c r="D701" s="7">
        <f t="shared" si="1"/>
        <v>46257</v>
      </c>
      <c r="E701" s="14"/>
      <c r="F701" s="14"/>
      <c r="G701" s="14"/>
    </row>
    <row r="702" ht="15.75" customHeight="1">
      <c r="D702" s="7">
        <f t="shared" si="1"/>
        <v>46258</v>
      </c>
      <c r="E702" s="14"/>
      <c r="F702" s="14"/>
      <c r="G702" s="14"/>
    </row>
    <row r="703" ht="15.75" customHeight="1">
      <c r="D703" s="7">
        <f t="shared" si="1"/>
        <v>46259</v>
      </c>
      <c r="E703" s="14"/>
      <c r="F703" s="14"/>
      <c r="G703" s="14"/>
    </row>
    <row r="704" ht="15.75" customHeight="1">
      <c r="D704" s="7">
        <f t="shared" si="1"/>
        <v>46260</v>
      </c>
      <c r="E704" s="14"/>
      <c r="F704" s="14"/>
      <c r="G704" s="14"/>
    </row>
    <row r="705" ht="15.75" customHeight="1">
      <c r="D705" s="7">
        <f t="shared" si="1"/>
        <v>46261</v>
      </c>
      <c r="E705" s="14"/>
      <c r="F705" s="14"/>
      <c r="G705" s="14"/>
    </row>
    <row r="706" ht="15.75" customHeight="1">
      <c r="D706" s="7">
        <f t="shared" si="1"/>
        <v>46262</v>
      </c>
      <c r="E706" s="14"/>
      <c r="F706" s="14"/>
      <c r="G706" s="14"/>
    </row>
    <row r="707" ht="15.75" customHeight="1">
      <c r="D707" s="7">
        <f t="shared" si="1"/>
        <v>46263</v>
      </c>
      <c r="E707" s="14"/>
      <c r="F707" s="14"/>
      <c r="G707" s="14"/>
    </row>
    <row r="708" ht="15.75" customHeight="1">
      <c r="D708" s="7">
        <f t="shared" si="1"/>
        <v>46264</v>
      </c>
      <c r="E708" s="14"/>
      <c r="F708" s="14"/>
      <c r="G708" s="14"/>
    </row>
    <row r="709" ht="15.75" customHeight="1">
      <c r="D709" s="7">
        <f t="shared" si="1"/>
        <v>46265</v>
      </c>
      <c r="E709" s="14"/>
      <c r="F709" s="14"/>
      <c r="G709" s="14"/>
    </row>
    <row r="710" ht="15.75" customHeight="1">
      <c r="D710" s="7">
        <f t="shared" si="1"/>
        <v>46266</v>
      </c>
      <c r="E710" s="14"/>
      <c r="F710" s="14"/>
      <c r="G710" s="14"/>
    </row>
    <row r="711" ht="15.75" customHeight="1">
      <c r="D711" s="7">
        <f t="shared" si="1"/>
        <v>46267</v>
      </c>
      <c r="E711" s="14"/>
      <c r="F711" s="14"/>
      <c r="G711" s="14"/>
    </row>
    <row r="712" ht="15.75" customHeight="1">
      <c r="D712" s="7">
        <f t="shared" si="1"/>
        <v>46268</v>
      </c>
      <c r="E712" s="14"/>
      <c r="F712" s="14"/>
      <c r="G712" s="14"/>
    </row>
    <row r="713" ht="15.75" customHeight="1">
      <c r="D713" s="7">
        <f t="shared" si="1"/>
        <v>46269</v>
      </c>
      <c r="E713" s="14"/>
      <c r="F713" s="14"/>
      <c r="G713" s="14"/>
    </row>
    <row r="714" ht="15.75" customHeight="1">
      <c r="D714" s="7">
        <f t="shared" si="1"/>
        <v>46270</v>
      </c>
      <c r="E714" s="14"/>
      <c r="F714" s="14"/>
      <c r="G714" s="14"/>
    </row>
    <row r="715" ht="15.75" customHeight="1">
      <c r="D715" s="7">
        <f t="shared" si="1"/>
        <v>46271</v>
      </c>
      <c r="E715" s="14"/>
      <c r="F715" s="14"/>
      <c r="G715" s="14"/>
    </row>
    <row r="716" ht="15.75" customHeight="1">
      <c r="D716" s="7">
        <f t="shared" si="1"/>
        <v>46272</v>
      </c>
      <c r="E716" s="14"/>
      <c r="F716" s="14"/>
      <c r="G716" s="14"/>
    </row>
    <row r="717" ht="15.75" customHeight="1">
      <c r="D717" s="7">
        <f t="shared" si="1"/>
        <v>46273</v>
      </c>
      <c r="E717" s="14"/>
      <c r="F717" s="14"/>
      <c r="G717" s="14"/>
    </row>
    <row r="718" ht="15.75" customHeight="1">
      <c r="D718" s="7">
        <f t="shared" si="1"/>
        <v>46274</v>
      </c>
      <c r="E718" s="14"/>
      <c r="F718" s="14"/>
      <c r="G718" s="14"/>
    </row>
    <row r="719" ht="15.75" customHeight="1">
      <c r="D719" s="7">
        <f t="shared" si="1"/>
        <v>46275</v>
      </c>
      <c r="E719" s="14"/>
      <c r="F719" s="14"/>
      <c r="G719" s="14"/>
    </row>
    <row r="720" ht="15.75" customHeight="1">
      <c r="D720" s="7">
        <f t="shared" si="1"/>
        <v>46276</v>
      </c>
      <c r="E720" s="14"/>
      <c r="F720" s="14"/>
      <c r="G720" s="14"/>
    </row>
    <row r="721" ht="15.75" customHeight="1">
      <c r="D721" s="7">
        <f t="shared" si="1"/>
        <v>46277</v>
      </c>
      <c r="E721" s="14"/>
      <c r="F721" s="14"/>
      <c r="G721" s="14"/>
    </row>
    <row r="722" ht="15.75" customHeight="1">
      <c r="D722" s="7">
        <f t="shared" si="1"/>
        <v>46278</v>
      </c>
      <c r="E722" s="14"/>
      <c r="F722" s="14"/>
      <c r="G722" s="14"/>
    </row>
    <row r="723" ht="15.75" customHeight="1">
      <c r="D723" s="7">
        <f t="shared" si="1"/>
        <v>46279</v>
      </c>
      <c r="E723" s="14"/>
      <c r="F723" s="14"/>
      <c r="G723" s="14"/>
    </row>
    <row r="724" ht="15.75" customHeight="1">
      <c r="D724" s="7">
        <f t="shared" si="1"/>
        <v>46280</v>
      </c>
      <c r="E724" s="14"/>
      <c r="F724" s="14"/>
      <c r="G724" s="14"/>
    </row>
    <row r="725" ht="15.75" customHeight="1">
      <c r="D725" s="7">
        <f t="shared" si="1"/>
        <v>46281</v>
      </c>
      <c r="E725" s="14"/>
      <c r="F725" s="14"/>
      <c r="G725" s="14"/>
    </row>
    <row r="726" ht="15.75" customHeight="1">
      <c r="D726" s="7">
        <f t="shared" si="1"/>
        <v>46282</v>
      </c>
      <c r="E726" s="14"/>
      <c r="F726" s="14"/>
      <c r="G726" s="14"/>
    </row>
    <row r="727" ht="15.75" customHeight="1">
      <c r="D727" s="7">
        <f t="shared" si="1"/>
        <v>46283</v>
      </c>
      <c r="E727" s="14"/>
      <c r="F727" s="14"/>
      <c r="G727" s="14"/>
    </row>
    <row r="728" ht="15.75" customHeight="1">
      <c r="D728" s="7">
        <f t="shared" si="1"/>
        <v>46284</v>
      </c>
      <c r="E728" s="14"/>
      <c r="F728" s="14"/>
      <c r="G728" s="14"/>
    </row>
    <row r="729" ht="15.75" customHeight="1">
      <c r="D729" s="7">
        <f t="shared" si="1"/>
        <v>46285</v>
      </c>
      <c r="E729" s="14"/>
      <c r="F729" s="14"/>
      <c r="G729" s="14"/>
    </row>
    <row r="730" ht="15.75" customHeight="1">
      <c r="D730" s="7">
        <f t="shared" si="1"/>
        <v>46286</v>
      </c>
      <c r="E730" s="14"/>
      <c r="F730" s="14"/>
      <c r="G730" s="14"/>
    </row>
    <row r="731" ht="15.75" customHeight="1">
      <c r="D731" s="7">
        <f t="shared" si="1"/>
        <v>46287</v>
      </c>
      <c r="E731" s="14"/>
      <c r="F731" s="14"/>
      <c r="G731" s="14"/>
    </row>
    <row r="732" ht="15.75" customHeight="1">
      <c r="D732" s="7">
        <f t="shared" si="1"/>
        <v>46288</v>
      </c>
      <c r="E732" s="14"/>
      <c r="F732" s="14"/>
      <c r="G732" s="14"/>
    </row>
    <row r="733" ht="15.75" customHeight="1">
      <c r="D733" s="7">
        <f t="shared" si="1"/>
        <v>46289</v>
      </c>
      <c r="E733" s="14"/>
      <c r="F733" s="14"/>
      <c r="G733" s="14"/>
    </row>
    <row r="734" ht="15.75" customHeight="1">
      <c r="D734" s="7">
        <f t="shared" si="1"/>
        <v>46290</v>
      </c>
      <c r="E734" s="14"/>
      <c r="F734" s="14"/>
      <c r="G734" s="14"/>
    </row>
    <row r="735" ht="15.75" customHeight="1">
      <c r="D735" s="7">
        <f t="shared" si="1"/>
        <v>46291</v>
      </c>
      <c r="E735" s="14"/>
      <c r="F735" s="14"/>
      <c r="G735" s="14"/>
    </row>
    <row r="736" ht="15.75" customHeight="1">
      <c r="D736" s="7">
        <f t="shared" si="1"/>
        <v>46292</v>
      </c>
      <c r="E736" s="14"/>
      <c r="F736" s="14"/>
      <c r="G736" s="14"/>
    </row>
    <row r="737" ht="15.75" customHeight="1">
      <c r="D737" s="7">
        <f t="shared" si="1"/>
        <v>46293</v>
      </c>
      <c r="E737" s="14"/>
      <c r="F737" s="14"/>
      <c r="G737" s="14"/>
    </row>
    <row r="738" ht="15.75" customHeight="1">
      <c r="D738" s="7">
        <f t="shared" si="1"/>
        <v>46294</v>
      </c>
      <c r="E738" s="14"/>
      <c r="F738" s="14"/>
      <c r="G738" s="14"/>
    </row>
    <row r="739" ht="15.75" customHeight="1">
      <c r="D739" s="7">
        <f t="shared" si="1"/>
        <v>46295</v>
      </c>
      <c r="E739" s="14"/>
      <c r="F739" s="14"/>
      <c r="G739" s="14"/>
    </row>
    <row r="740" ht="15.75" customHeight="1">
      <c r="D740" s="7">
        <f t="shared" si="1"/>
        <v>46296</v>
      </c>
      <c r="E740" s="14"/>
      <c r="F740" s="14"/>
      <c r="G740" s="14"/>
    </row>
    <row r="741" ht="15.75" customHeight="1">
      <c r="D741" s="7">
        <f t="shared" si="1"/>
        <v>46297</v>
      </c>
      <c r="E741" s="14"/>
      <c r="F741" s="14"/>
      <c r="G741" s="14"/>
    </row>
    <row r="742" ht="15.75" customHeight="1">
      <c r="D742" s="7">
        <f t="shared" si="1"/>
        <v>46298</v>
      </c>
      <c r="E742" s="14"/>
      <c r="F742" s="14"/>
      <c r="G742" s="14"/>
    </row>
    <row r="743" ht="15.75" customHeight="1">
      <c r="D743" s="7">
        <f t="shared" si="1"/>
        <v>46299</v>
      </c>
      <c r="E743" s="14"/>
      <c r="F743" s="14"/>
      <c r="G743" s="14"/>
    </row>
    <row r="744" ht="15.75" customHeight="1">
      <c r="D744" s="7">
        <f t="shared" si="1"/>
        <v>46300</v>
      </c>
      <c r="E744" s="14"/>
      <c r="F744" s="14"/>
      <c r="G744" s="14"/>
    </row>
    <row r="745" ht="15.75" customHeight="1">
      <c r="D745" s="7">
        <f t="shared" si="1"/>
        <v>46301</v>
      </c>
      <c r="E745" s="14"/>
      <c r="F745" s="14"/>
      <c r="G745" s="14"/>
    </row>
    <row r="746" ht="15.75" customHeight="1">
      <c r="D746" s="7">
        <f t="shared" si="1"/>
        <v>46302</v>
      </c>
      <c r="E746" s="14"/>
      <c r="F746" s="14"/>
      <c r="G746" s="14"/>
    </row>
    <row r="747" ht="15.75" customHeight="1">
      <c r="D747" s="7">
        <f t="shared" si="1"/>
        <v>46303</v>
      </c>
      <c r="E747" s="14"/>
      <c r="F747" s="14"/>
      <c r="G747" s="14"/>
    </row>
    <row r="748" ht="15.75" customHeight="1">
      <c r="D748" s="7">
        <f t="shared" si="1"/>
        <v>46304</v>
      </c>
      <c r="E748" s="14"/>
      <c r="F748" s="14"/>
      <c r="G748" s="14"/>
    </row>
    <row r="749" ht="15.75" customHeight="1">
      <c r="D749" s="7">
        <f t="shared" si="1"/>
        <v>46305</v>
      </c>
      <c r="E749" s="14"/>
      <c r="F749" s="14"/>
      <c r="G749" s="14"/>
    </row>
    <row r="750" ht="15.75" customHeight="1">
      <c r="D750" s="7">
        <f t="shared" si="1"/>
        <v>46306</v>
      </c>
      <c r="E750" s="14"/>
      <c r="F750" s="14"/>
      <c r="G750" s="14"/>
    </row>
    <row r="751" ht="15.75" customHeight="1">
      <c r="D751" s="7">
        <f t="shared" si="1"/>
        <v>46307</v>
      </c>
      <c r="E751" s="14"/>
      <c r="F751" s="14"/>
      <c r="G751" s="14"/>
    </row>
    <row r="752" ht="15.75" customHeight="1">
      <c r="D752" s="7">
        <f t="shared" si="1"/>
        <v>46308</v>
      </c>
      <c r="E752" s="14"/>
      <c r="F752" s="14"/>
      <c r="G752" s="14"/>
    </row>
    <row r="753" ht="15.75" customHeight="1">
      <c r="D753" s="7">
        <f t="shared" si="1"/>
        <v>46309</v>
      </c>
      <c r="E753" s="14"/>
      <c r="F753" s="14"/>
      <c r="G753" s="14"/>
    </row>
    <row r="754" ht="15.75" customHeight="1">
      <c r="D754" s="7">
        <f t="shared" si="1"/>
        <v>46310</v>
      </c>
      <c r="E754" s="14"/>
      <c r="F754" s="14"/>
      <c r="G754" s="14"/>
    </row>
    <row r="755" ht="15.75" customHeight="1">
      <c r="D755" s="7">
        <f t="shared" si="1"/>
        <v>46311</v>
      </c>
      <c r="E755" s="14"/>
      <c r="F755" s="14"/>
      <c r="G755" s="14"/>
    </row>
    <row r="756" ht="15.75" customHeight="1">
      <c r="D756" s="7">
        <f t="shared" si="1"/>
        <v>46312</v>
      </c>
      <c r="E756" s="14"/>
      <c r="F756" s="14"/>
      <c r="G756" s="14"/>
    </row>
    <row r="757" ht="15.75" customHeight="1">
      <c r="D757" s="7">
        <f t="shared" si="1"/>
        <v>46313</v>
      </c>
      <c r="E757" s="14"/>
      <c r="F757" s="14"/>
      <c r="G757" s="14"/>
    </row>
    <row r="758" ht="15.75" customHeight="1">
      <c r="D758" s="7">
        <f t="shared" si="1"/>
        <v>46314</v>
      </c>
      <c r="E758" s="14"/>
      <c r="F758" s="14"/>
      <c r="G758" s="14"/>
    </row>
    <row r="759" ht="15.75" customHeight="1">
      <c r="D759" s="7">
        <f t="shared" si="1"/>
        <v>46315</v>
      </c>
      <c r="E759" s="14"/>
      <c r="F759" s="14"/>
      <c r="G759" s="14"/>
    </row>
    <row r="760" ht="15.75" customHeight="1">
      <c r="D760" s="7">
        <f t="shared" si="1"/>
        <v>46316</v>
      </c>
      <c r="E760" s="14"/>
      <c r="F760" s="14"/>
      <c r="G760" s="14"/>
    </row>
    <row r="761" ht="15.75" customHeight="1">
      <c r="D761" s="7">
        <f t="shared" si="1"/>
        <v>46317</v>
      </c>
      <c r="E761" s="14"/>
      <c r="F761" s="14"/>
      <c r="G761" s="14"/>
    </row>
    <row r="762" ht="15.75" customHeight="1">
      <c r="D762" s="7">
        <f t="shared" si="1"/>
        <v>46318</v>
      </c>
      <c r="E762" s="14"/>
      <c r="F762" s="14"/>
      <c r="G762" s="14"/>
    </row>
    <row r="763" ht="15.75" customHeight="1">
      <c r="D763" s="7">
        <f t="shared" si="1"/>
        <v>46319</v>
      </c>
      <c r="E763" s="14"/>
      <c r="F763" s="14"/>
      <c r="G763" s="14"/>
    </row>
    <row r="764" ht="15.75" customHeight="1">
      <c r="D764" s="7">
        <f t="shared" si="1"/>
        <v>46320</v>
      </c>
      <c r="E764" s="14"/>
      <c r="F764" s="14"/>
      <c r="G764" s="14"/>
    </row>
    <row r="765" ht="15.75" customHeight="1">
      <c r="D765" s="7">
        <f t="shared" si="1"/>
        <v>46321</v>
      </c>
      <c r="E765" s="14"/>
      <c r="F765" s="14"/>
      <c r="G765" s="14"/>
    </row>
    <row r="766" ht="15.75" customHeight="1">
      <c r="D766" s="7">
        <f t="shared" si="1"/>
        <v>46322</v>
      </c>
      <c r="E766" s="14"/>
      <c r="F766" s="14"/>
      <c r="G766" s="14"/>
    </row>
    <row r="767" ht="15.75" customHeight="1">
      <c r="D767" s="7">
        <f t="shared" si="1"/>
        <v>46323</v>
      </c>
      <c r="E767" s="14"/>
      <c r="F767" s="14"/>
      <c r="G767" s="14"/>
    </row>
    <row r="768" ht="15.75" customHeight="1">
      <c r="D768" s="7">
        <f t="shared" si="1"/>
        <v>46324</v>
      </c>
      <c r="E768" s="14"/>
      <c r="F768" s="14"/>
      <c r="G768" s="14"/>
    </row>
    <row r="769" ht="15.75" customHeight="1">
      <c r="D769" s="7">
        <f t="shared" si="1"/>
        <v>46325</v>
      </c>
      <c r="E769" s="14"/>
      <c r="F769" s="14"/>
      <c r="G769" s="14"/>
    </row>
    <row r="770" ht="15.75" customHeight="1">
      <c r="D770" s="7">
        <f t="shared" si="1"/>
        <v>46326</v>
      </c>
      <c r="E770" s="14"/>
      <c r="F770" s="14"/>
      <c r="G770" s="14"/>
    </row>
    <row r="771" ht="15.75" customHeight="1">
      <c r="D771" s="7">
        <f t="shared" si="1"/>
        <v>46327</v>
      </c>
      <c r="E771" s="14"/>
      <c r="F771" s="14"/>
      <c r="G771" s="14"/>
    </row>
    <row r="772" ht="15.75" customHeight="1">
      <c r="D772" s="7">
        <f t="shared" si="1"/>
        <v>46328</v>
      </c>
      <c r="E772" s="14"/>
      <c r="F772" s="14"/>
      <c r="G772" s="14"/>
    </row>
    <row r="773" ht="15.75" customHeight="1">
      <c r="D773" s="7">
        <f t="shared" si="1"/>
        <v>46329</v>
      </c>
      <c r="E773" s="14"/>
      <c r="F773" s="14"/>
      <c r="G773" s="14"/>
    </row>
    <row r="774" ht="15.75" customHeight="1">
      <c r="D774" s="7">
        <f t="shared" si="1"/>
        <v>46330</v>
      </c>
      <c r="E774" s="14"/>
      <c r="F774" s="14"/>
      <c r="G774" s="14"/>
    </row>
    <row r="775" ht="15.75" customHeight="1">
      <c r="D775" s="7">
        <f t="shared" si="1"/>
        <v>46331</v>
      </c>
      <c r="E775" s="14"/>
      <c r="F775" s="14"/>
      <c r="G775" s="14"/>
    </row>
    <row r="776" ht="15.75" customHeight="1">
      <c r="D776" s="7">
        <f t="shared" si="1"/>
        <v>46332</v>
      </c>
      <c r="E776" s="14"/>
      <c r="F776" s="14"/>
      <c r="G776" s="14"/>
    </row>
    <row r="777" ht="15.75" customHeight="1">
      <c r="D777" s="7">
        <f t="shared" si="1"/>
        <v>46333</v>
      </c>
      <c r="E777" s="14"/>
      <c r="F777" s="14"/>
      <c r="G777" s="14"/>
    </row>
    <row r="778" ht="15.75" customHeight="1">
      <c r="D778" s="7">
        <f t="shared" si="1"/>
        <v>46334</v>
      </c>
      <c r="E778" s="14"/>
      <c r="F778" s="14"/>
      <c r="G778" s="14"/>
    </row>
    <row r="779" ht="15.75" customHeight="1">
      <c r="D779" s="7">
        <f t="shared" si="1"/>
        <v>46335</v>
      </c>
      <c r="E779" s="14"/>
      <c r="F779" s="14"/>
      <c r="G779" s="14"/>
    </row>
    <row r="780" ht="15.75" customHeight="1">
      <c r="D780" s="7">
        <f t="shared" si="1"/>
        <v>46336</v>
      </c>
      <c r="E780" s="14"/>
      <c r="F780" s="14"/>
      <c r="G780" s="14"/>
    </row>
    <row r="781" ht="15.75" customHeight="1">
      <c r="D781" s="7">
        <f t="shared" si="1"/>
        <v>46337</v>
      </c>
      <c r="E781" s="14"/>
      <c r="F781" s="14"/>
      <c r="G781" s="14"/>
    </row>
    <row r="782" ht="15.75" customHeight="1">
      <c r="D782" s="7">
        <f t="shared" si="1"/>
        <v>46338</v>
      </c>
      <c r="E782" s="14"/>
      <c r="F782" s="14"/>
      <c r="G782" s="14"/>
    </row>
    <row r="783" ht="15.75" customHeight="1">
      <c r="D783" s="7">
        <f t="shared" si="1"/>
        <v>46339</v>
      </c>
      <c r="E783" s="14"/>
      <c r="F783" s="14"/>
      <c r="G783" s="14"/>
    </row>
    <row r="784" ht="15.75" customHeight="1">
      <c r="D784" s="7">
        <f t="shared" si="1"/>
        <v>46340</v>
      </c>
      <c r="E784" s="14"/>
      <c r="F784" s="14"/>
      <c r="G784" s="14"/>
    </row>
    <row r="785" ht="15.75" customHeight="1">
      <c r="D785" s="7">
        <f t="shared" si="1"/>
        <v>46341</v>
      </c>
      <c r="E785" s="14"/>
      <c r="F785" s="14"/>
      <c r="G785" s="14"/>
    </row>
    <row r="786" ht="15.75" customHeight="1">
      <c r="D786" s="7">
        <f t="shared" si="1"/>
        <v>46342</v>
      </c>
      <c r="E786" s="14"/>
      <c r="F786" s="14"/>
      <c r="G786" s="14"/>
    </row>
    <row r="787" ht="15.75" customHeight="1">
      <c r="D787" s="7">
        <f t="shared" si="1"/>
        <v>46343</v>
      </c>
      <c r="E787" s="14"/>
      <c r="F787" s="14"/>
      <c r="G787" s="14"/>
    </row>
    <row r="788" ht="15.75" customHeight="1">
      <c r="D788" s="7">
        <f t="shared" si="1"/>
        <v>46344</v>
      </c>
      <c r="E788" s="14"/>
      <c r="F788" s="14"/>
      <c r="G788" s="14"/>
    </row>
    <row r="789" ht="15.75" customHeight="1">
      <c r="D789" s="7">
        <f t="shared" si="1"/>
        <v>46345</v>
      </c>
      <c r="E789" s="14"/>
      <c r="F789" s="14"/>
      <c r="G789" s="14"/>
    </row>
    <row r="790" ht="15.75" customHeight="1">
      <c r="D790" s="7">
        <f t="shared" si="1"/>
        <v>46346</v>
      </c>
      <c r="E790" s="14"/>
      <c r="F790" s="14"/>
      <c r="G790" s="14"/>
    </row>
    <row r="791" ht="15.75" customHeight="1">
      <c r="D791" s="7">
        <f t="shared" si="1"/>
        <v>46347</v>
      </c>
      <c r="E791" s="14"/>
      <c r="F791" s="14"/>
      <c r="G791" s="14"/>
    </row>
    <row r="792" ht="15.75" customHeight="1">
      <c r="D792" s="7">
        <f t="shared" si="1"/>
        <v>46348</v>
      </c>
      <c r="E792" s="14"/>
      <c r="F792" s="14"/>
      <c r="G792" s="14"/>
    </row>
    <row r="793" ht="15.75" customHeight="1">
      <c r="D793" s="7">
        <f t="shared" si="1"/>
        <v>46349</v>
      </c>
      <c r="E793" s="14"/>
      <c r="F793" s="14"/>
      <c r="G793" s="14"/>
    </row>
    <row r="794" ht="15.75" customHeight="1">
      <c r="D794" s="7">
        <f t="shared" si="1"/>
        <v>46350</v>
      </c>
      <c r="E794" s="14"/>
      <c r="F794" s="14"/>
      <c r="G794" s="14"/>
    </row>
    <row r="795" ht="15.75" customHeight="1">
      <c r="D795" s="7">
        <f t="shared" si="1"/>
        <v>46351</v>
      </c>
      <c r="E795" s="14"/>
      <c r="F795" s="14"/>
      <c r="G795" s="14"/>
    </row>
    <row r="796" ht="15.75" customHeight="1">
      <c r="D796" s="7">
        <f t="shared" si="1"/>
        <v>46352</v>
      </c>
      <c r="E796" s="14"/>
      <c r="F796" s="14"/>
      <c r="G796" s="14"/>
    </row>
    <row r="797" ht="15.75" customHeight="1">
      <c r="D797" s="7">
        <f t="shared" si="1"/>
        <v>46353</v>
      </c>
      <c r="E797" s="14"/>
      <c r="F797" s="14"/>
      <c r="G797" s="14"/>
    </row>
    <row r="798" ht="15.75" customHeight="1">
      <c r="D798" s="7">
        <f t="shared" si="1"/>
        <v>46354</v>
      </c>
      <c r="E798" s="14"/>
      <c r="F798" s="14"/>
      <c r="G798" s="14"/>
    </row>
    <row r="799" ht="15.75" customHeight="1">
      <c r="D799" s="7">
        <f t="shared" si="1"/>
        <v>46355</v>
      </c>
      <c r="E799" s="14"/>
      <c r="F799" s="14"/>
      <c r="G799" s="14"/>
    </row>
    <row r="800" ht="15.75" customHeight="1">
      <c r="D800" s="7">
        <f t="shared" si="1"/>
        <v>46356</v>
      </c>
      <c r="E800" s="14"/>
      <c r="F800" s="14"/>
      <c r="G800" s="14"/>
    </row>
    <row r="801" ht="15.75" customHeight="1">
      <c r="D801" s="7">
        <f t="shared" si="1"/>
        <v>46357</v>
      </c>
      <c r="E801" s="14"/>
      <c r="F801" s="14"/>
      <c r="G801" s="14"/>
    </row>
    <row r="802" ht="15.75" customHeight="1">
      <c r="D802" s="7">
        <f t="shared" si="1"/>
        <v>46358</v>
      </c>
      <c r="E802" s="14"/>
      <c r="F802" s="14"/>
      <c r="G802" s="14"/>
    </row>
    <row r="803" ht="15.75" customHeight="1">
      <c r="D803" s="7">
        <f t="shared" si="1"/>
        <v>46359</v>
      </c>
      <c r="E803" s="14"/>
      <c r="F803" s="14"/>
      <c r="G803" s="14"/>
    </row>
    <row r="804" ht="15.75" customHeight="1">
      <c r="D804" s="7">
        <f t="shared" si="1"/>
        <v>46360</v>
      </c>
      <c r="E804" s="14"/>
      <c r="F804" s="14"/>
      <c r="G804" s="14"/>
    </row>
    <row r="805" ht="15.75" customHeight="1">
      <c r="D805" s="7">
        <f t="shared" si="1"/>
        <v>46361</v>
      </c>
      <c r="E805" s="14"/>
      <c r="F805" s="14"/>
      <c r="G805" s="14"/>
    </row>
    <row r="806" ht="15.75" customHeight="1">
      <c r="D806" s="7">
        <f t="shared" si="1"/>
        <v>46362</v>
      </c>
      <c r="E806" s="14"/>
      <c r="F806" s="14"/>
      <c r="G806" s="14"/>
    </row>
    <row r="807" ht="15.75" customHeight="1">
      <c r="D807" s="7">
        <f t="shared" si="1"/>
        <v>46363</v>
      </c>
      <c r="E807" s="14"/>
      <c r="F807" s="14"/>
      <c r="G807" s="14"/>
    </row>
    <row r="808" ht="15.75" customHeight="1">
      <c r="D808" s="7">
        <f t="shared" si="1"/>
        <v>46364</v>
      </c>
      <c r="E808" s="14"/>
      <c r="F808" s="14"/>
      <c r="G808" s="14"/>
    </row>
    <row r="809" ht="15.75" customHeight="1">
      <c r="D809" s="7">
        <f t="shared" si="1"/>
        <v>46365</v>
      </c>
      <c r="E809" s="14"/>
      <c r="F809" s="14"/>
      <c r="G809" s="14"/>
    </row>
    <row r="810" ht="15.75" customHeight="1">
      <c r="D810" s="7">
        <f t="shared" si="1"/>
        <v>46366</v>
      </c>
      <c r="E810" s="14"/>
      <c r="F810" s="14"/>
      <c r="G810" s="14"/>
    </row>
    <row r="811" ht="15.75" customHeight="1">
      <c r="D811" s="7">
        <f t="shared" si="1"/>
        <v>46367</v>
      </c>
      <c r="E811" s="14"/>
      <c r="F811" s="14"/>
      <c r="G811" s="14"/>
    </row>
    <row r="812" ht="15.75" customHeight="1">
      <c r="D812" s="7">
        <f t="shared" si="1"/>
        <v>46368</v>
      </c>
      <c r="E812" s="14"/>
      <c r="F812" s="14"/>
      <c r="G812" s="14"/>
    </row>
    <row r="813" ht="15.75" customHeight="1">
      <c r="D813" s="7">
        <f t="shared" si="1"/>
        <v>46369</v>
      </c>
      <c r="E813" s="14"/>
      <c r="F813" s="14"/>
      <c r="G813" s="14"/>
    </row>
    <row r="814" ht="15.75" customHeight="1">
      <c r="D814" s="7">
        <f t="shared" si="1"/>
        <v>46370</v>
      </c>
      <c r="E814" s="14"/>
      <c r="F814" s="14"/>
      <c r="G814" s="14"/>
    </row>
    <row r="815" ht="15.75" customHeight="1">
      <c r="D815" s="7">
        <f t="shared" si="1"/>
        <v>46371</v>
      </c>
      <c r="E815" s="14"/>
      <c r="F815" s="14"/>
      <c r="G815" s="14"/>
    </row>
    <row r="816" ht="15.75" customHeight="1">
      <c r="D816" s="7">
        <f t="shared" si="1"/>
        <v>46372</v>
      </c>
      <c r="E816" s="14"/>
      <c r="F816" s="14"/>
      <c r="G816" s="14"/>
    </row>
    <row r="817" ht="15.75" customHeight="1">
      <c r="D817" s="7">
        <f t="shared" si="1"/>
        <v>46373</v>
      </c>
      <c r="E817" s="14"/>
      <c r="F817" s="14"/>
      <c r="G817" s="14"/>
    </row>
    <row r="818" ht="15.75" customHeight="1">
      <c r="D818" s="7">
        <f t="shared" si="1"/>
        <v>46374</v>
      </c>
      <c r="E818" s="14"/>
      <c r="F818" s="14"/>
      <c r="G818" s="14"/>
    </row>
    <row r="819" ht="15.75" customHeight="1">
      <c r="D819" s="7">
        <f t="shared" si="1"/>
        <v>46375</v>
      </c>
      <c r="E819" s="14"/>
      <c r="F819" s="14"/>
      <c r="G819" s="14"/>
    </row>
    <row r="820" ht="15.75" customHeight="1">
      <c r="D820" s="7">
        <f t="shared" si="1"/>
        <v>46376</v>
      </c>
      <c r="E820" s="14"/>
      <c r="F820" s="14"/>
      <c r="G820" s="14"/>
    </row>
    <row r="821" ht="15.75" customHeight="1">
      <c r="D821" s="7">
        <f t="shared" si="1"/>
        <v>46377</v>
      </c>
      <c r="E821" s="14"/>
      <c r="F821" s="14"/>
      <c r="G821" s="14"/>
    </row>
    <row r="822" ht="15.75" customHeight="1">
      <c r="D822" s="7">
        <f t="shared" si="1"/>
        <v>46378</v>
      </c>
      <c r="E822" s="14"/>
      <c r="F822" s="14"/>
      <c r="G822" s="14"/>
    </row>
    <row r="823" ht="15.75" customHeight="1">
      <c r="D823" s="7">
        <f t="shared" si="1"/>
        <v>46379</v>
      </c>
      <c r="E823" s="14"/>
      <c r="F823" s="14"/>
      <c r="G823" s="14"/>
    </row>
    <row r="824" ht="15.75" customHeight="1">
      <c r="D824" s="7">
        <f t="shared" si="1"/>
        <v>46380</v>
      </c>
      <c r="E824" s="14"/>
      <c r="F824" s="14"/>
      <c r="G824" s="14"/>
    </row>
    <row r="825" ht="15.75" customHeight="1">
      <c r="D825" s="7">
        <f t="shared" si="1"/>
        <v>46381</v>
      </c>
      <c r="E825" s="14"/>
      <c r="F825" s="14"/>
      <c r="G825" s="14"/>
    </row>
    <row r="826" ht="15.75" customHeight="1">
      <c r="D826" s="7">
        <f t="shared" si="1"/>
        <v>46382</v>
      </c>
      <c r="E826" s="14"/>
      <c r="F826" s="14"/>
      <c r="G826" s="14"/>
    </row>
    <row r="827" ht="15.75" customHeight="1">
      <c r="D827" s="7">
        <f t="shared" si="1"/>
        <v>46383</v>
      </c>
      <c r="E827" s="14"/>
      <c r="F827" s="14"/>
      <c r="G827" s="14"/>
    </row>
    <row r="828" ht="15.75" customHeight="1">
      <c r="D828" s="7">
        <f t="shared" si="1"/>
        <v>46384</v>
      </c>
      <c r="E828" s="14"/>
      <c r="F828" s="14"/>
      <c r="G828" s="14"/>
    </row>
    <row r="829" ht="15.75" customHeight="1">
      <c r="D829" s="7">
        <f t="shared" si="1"/>
        <v>46385</v>
      </c>
      <c r="E829" s="14"/>
      <c r="F829" s="14"/>
      <c r="G829" s="14"/>
    </row>
    <row r="830" ht="15.75" customHeight="1">
      <c r="D830" s="7">
        <f t="shared" si="1"/>
        <v>46386</v>
      </c>
      <c r="E830" s="14"/>
      <c r="F830" s="14"/>
      <c r="G830" s="14"/>
    </row>
    <row r="831" ht="15.75" customHeight="1">
      <c r="D831" s="7">
        <f t="shared" si="1"/>
        <v>46387</v>
      </c>
      <c r="E831" s="14"/>
      <c r="F831" s="14"/>
      <c r="G831" s="14"/>
    </row>
    <row r="832" ht="15.75" customHeight="1">
      <c r="D832" s="7">
        <f t="shared" si="1"/>
        <v>46388</v>
      </c>
      <c r="E832" s="14"/>
      <c r="F832" s="14"/>
      <c r="G832" s="14"/>
    </row>
    <row r="833" ht="15.75" customHeight="1">
      <c r="D833" s="7">
        <f t="shared" si="1"/>
        <v>46389</v>
      </c>
      <c r="E833" s="14"/>
      <c r="F833" s="14"/>
      <c r="G833" s="14"/>
    </row>
    <row r="834" ht="15.75" customHeight="1">
      <c r="D834" s="7">
        <f t="shared" si="1"/>
        <v>46390</v>
      </c>
      <c r="E834" s="14"/>
      <c r="F834" s="14"/>
      <c r="G834" s="14"/>
    </row>
    <row r="835" ht="15.75" customHeight="1">
      <c r="D835" s="7">
        <f t="shared" si="1"/>
        <v>46391</v>
      </c>
      <c r="E835" s="14"/>
      <c r="F835" s="14"/>
      <c r="G835" s="14"/>
    </row>
    <row r="836" ht="15.75" customHeight="1">
      <c r="D836" s="7">
        <f t="shared" si="1"/>
        <v>46392</v>
      </c>
      <c r="E836" s="14"/>
      <c r="F836" s="14"/>
      <c r="G836" s="14"/>
    </row>
    <row r="837" ht="15.75" customHeight="1">
      <c r="D837" s="7">
        <f t="shared" si="1"/>
        <v>46393</v>
      </c>
      <c r="E837" s="14"/>
      <c r="F837" s="14"/>
      <c r="G837" s="14"/>
    </row>
    <row r="838" ht="15.75" customHeight="1">
      <c r="D838" s="7">
        <f t="shared" si="1"/>
        <v>46394</v>
      </c>
      <c r="E838" s="14"/>
      <c r="F838" s="14"/>
      <c r="G838" s="14"/>
    </row>
    <row r="839" ht="15.75" customHeight="1">
      <c r="D839" s="7">
        <f t="shared" si="1"/>
        <v>46395</v>
      </c>
      <c r="E839" s="14"/>
      <c r="F839" s="14"/>
      <c r="G839" s="14"/>
    </row>
    <row r="840" ht="15.75" customHeight="1">
      <c r="D840" s="7">
        <f t="shared" si="1"/>
        <v>46396</v>
      </c>
      <c r="E840" s="14"/>
      <c r="F840" s="14"/>
      <c r="G840" s="14"/>
    </row>
    <row r="841" ht="15.75" customHeight="1">
      <c r="D841" s="7">
        <f t="shared" si="1"/>
        <v>46397</v>
      </c>
      <c r="E841" s="14"/>
      <c r="F841" s="14"/>
      <c r="G841" s="14"/>
    </row>
    <row r="842" ht="15.75" customHeight="1">
      <c r="D842" s="7">
        <f t="shared" si="1"/>
        <v>46398</v>
      </c>
      <c r="E842" s="14"/>
      <c r="F842" s="14"/>
      <c r="G842" s="14"/>
    </row>
    <row r="843" ht="15.75" customHeight="1">
      <c r="D843" s="7">
        <f t="shared" si="1"/>
        <v>46399</v>
      </c>
      <c r="E843" s="14"/>
      <c r="F843" s="14"/>
      <c r="G843" s="14"/>
    </row>
    <row r="844" ht="15.75" customHeight="1">
      <c r="D844" s="7">
        <f t="shared" si="1"/>
        <v>46400</v>
      </c>
      <c r="E844" s="14"/>
      <c r="F844" s="14"/>
      <c r="G844" s="14"/>
    </row>
    <row r="845" ht="15.75" customHeight="1">
      <c r="D845" s="7">
        <f t="shared" si="1"/>
        <v>46401</v>
      </c>
      <c r="E845" s="14"/>
      <c r="F845" s="14"/>
      <c r="G845" s="14"/>
    </row>
    <row r="846" ht="15.75" customHeight="1">
      <c r="D846" s="7">
        <f t="shared" si="1"/>
        <v>46402</v>
      </c>
      <c r="E846" s="14"/>
      <c r="F846" s="14"/>
      <c r="G846" s="14"/>
    </row>
    <row r="847" ht="15.75" customHeight="1">
      <c r="D847" s="7">
        <f t="shared" si="1"/>
        <v>46403</v>
      </c>
      <c r="E847" s="14"/>
      <c r="F847" s="14"/>
      <c r="G847" s="14"/>
    </row>
    <row r="848" ht="15.75" customHeight="1">
      <c r="D848" s="7">
        <f t="shared" si="1"/>
        <v>46404</v>
      </c>
      <c r="E848" s="14"/>
      <c r="F848" s="14"/>
      <c r="G848" s="14"/>
    </row>
    <row r="849" ht="15.75" customHeight="1">
      <c r="D849" s="7">
        <f t="shared" si="1"/>
        <v>46405</v>
      </c>
      <c r="E849" s="14"/>
      <c r="F849" s="14"/>
      <c r="G849" s="14"/>
    </row>
    <row r="850" ht="15.75" customHeight="1">
      <c r="D850" s="7">
        <f t="shared" si="1"/>
        <v>46406</v>
      </c>
      <c r="E850" s="14"/>
      <c r="F850" s="14"/>
      <c r="G850" s="14"/>
    </row>
    <row r="851" ht="15.75" customHeight="1">
      <c r="D851" s="7">
        <f t="shared" si="1"/>
        <v>46407</v>
      </c>
      <c r="E851" s="14"/>
      <c r="F851" s="14"/>
      <c r="G851" s="14"/>
    </row>
    <row r="852" ht="15.75" customHeight="1">
      <c r="D852" s="7">
        <f t="shared" si="1"/>
        <v>46408</v>
      </c>
      <c r="E852" s="14"/>
      <c r="F852" s="14"/>
      <c r="G852" s="14"/>
    </row>
    <row r="853" ht="15.75" customHeight="1">
      <c r="D853" s="7">
        <f t="shared" si="1"/>
        <v>46409</v>
      </c>
      <c r="E853" s="14"/>
      <c r="F853" s="14"/>
      <c r="G853" s="14"/>
    </row>
    <row r="854" ht="15.75" customHeight="1">
      <c r="D854" s="7">
        <f t="shared" si="1"/>
        <v>46410</v>
      </c>
      <c r="E854" s="14"/>
      <c r="F854" s="14"/>
      <c r="G854" s="14"/>
    </row>
    <row r="855" ht="15.75" customHeight="1">
      <c r="D855" s="7">
        <f t="shared" si="1"/>
        <v>46411</v>
      </c>
      <c r="E855" s="14"/>
      <c r="F855" s="14"/>
      <c r="G855" s="14"/>
    </row>
    <row r="856" ht="15.75" customHeight="1">
      <c r="D856" s="7">
        <f t="shared" si="1"/>
        <v>46412</v>
      </c>
      <c r="E856" s="14"/>
      <c r="F856" s="14"/>
      <c r="G856" s="14"/>
    </row>
    <row r="857" ht="15.75" customHeight="1">
      <c r="D857" s="7">
        <f t="shared" si="1"/>
        <v>46413</v>
      </c>
      <c r="E857" s="14"/>
      <c r="F857" s="14"/>
      <c r="G857" s="14"/>
    </row>
    <row r="858" ht="15.75" customHeight="1">
      <c r="D858" s="7">
        <f t="shared" si="1"/>
        <v>46414</v>
      </c>
      <c r="E858" s="14"/>
      <c r="F858" s="14"/>
      <c r="G858" s="14"/>
    </row>
    <row r="859" ht="15.75" customHeight="1">
      <c r="D859" s="7">
        <f t="shared" si="1"/>
        <v>46415</v>
      </c>
      <c r="E859" s="14"/>
      <c r="F859" s="14"/>
      <c r="G859" s="14"/>
    </row>
    <row r="860" ht="15.75" customHeight="1">
      <c r="D860" s="7">
        <f t="shared" si="1"/>
        <v>46416</v>
      </c>
      <c r="E860" s="14"/>
      <c r="F860" s="14"/>
      <c r="G860" s="14"/>
    </row>
    <row r="861" ht="15.75" customHeight="1">
      <c r="D861" s="7">
        <f t="shared" si="1"/>
        <v>46417</v>
      </c>
      <c r="E861" s="14"/>
      <c r="F861" s="14"/>
      <c r="G861" s="14"/>
    </row>
    <row r="862" ht="15.75" customHeight="1">
      <c r="D862" s="7">
        <f t="shared" si="1"/>
        <v>46418</v>
      </c>
      <c r="E862" s="14"/>
      <c r="F862" s="14"/>
      <c r="G862" s="14"/>
    </row>
    <row r="863" ht="15.75" customHeight="1">
      <c r="D863" s="7">
        <f t="shared" si="1"/>
        <v>46419</v>
      </c>
      <c r="E863" s="14"/>
      <c r="F863" s="14"/>
      <c r="G863" s="14"/>
    </row>
    <row r="864" ht="15.75" customHeight="1">
      <c r="D864" s="7">
        <f t="shared" si="1"/>
        <v>46420</v>
      </c>
      <c r="E864" s="14"/>
      <c r="F864" s="14"/>
      <c r="G864" s="14"/>
    </row>
    <row r="865" ht="15.75" customHeight="1">
      <c r="D865" s="7">
        <f t="shared" si="1"/>
        <v>46421</v>
      </c>
      <c r="E865" s="14"/>
      <c r="F865" s="14"/>
      <c r="G865" s="14"/>
    </row>
    <row r="866" ht="15.75" customHeight="1">
      <c r="D866" s="7">
        <f t="shared" si="1"/>
        <v>46422</v>
      </c>
      <c r="E866" s="14"/>
      <c r="F866" s="14"/>
      <c r="G866" s="14"/>
    </row>
    <row r="867" ht="15.75" customHeight="1">
      <c r="D867" s="7">
        <f t="shared" si="1"/>
        <v>46423</v>
      </c>
      <c r="E867" s="14"/>
      <c r="F867" s="14"/>
      <c r="G867" s="14"/>
    </row>
    <row r="868" ht="15.75" customHeight="1">
      <c r="D868" s="7">
        <f t="shared" si="1"/>
        <v>46424</v>
      </c>
      <c r="E868" s="14"/>
      <c r="F868" s="14"/>
      <c r="G868" s="14"/>
    </row>
    <row r="869" ht="15.75" customHeight="1">
      <c r="D869" s="7">
        <f t="shared" si="1"/>
        <v>46425</v>
      </c>
      <c r="E869" s="14"/>
      <c r="F869" s="14"/>
      <c r="G869" s="14"/>
    </row>
    <row r="870" ht="15.75" customHeight="1">
      <c r="D870" s="7">
        <f t="shared" si="1"/>
        <v>46426</v>
      </c>
      <c r="E870" s="14"/>
      <c r="F870" s="14"/>
      <c r="G870" s="14"/>
    </row>
    <row r="871" ht="15.75" customHeight="1">
      <c r="D871" s="7">
        <f t="shared" si="1"/>
        <v>46427</v>
      </c>
      <c r="E871" s="14"/>
      <c r="F871" s="14"/>
      <c r="G871" s="14"/>
    </row>
    <row r="872" ht="15.75" customHeight="1">
      <c r="D872" s="7">
        <f t="shared" si="1"/>
        <v>46428</v>
      </c>
      <c r="E872" s="14"/>
      <c r="F872" s="14"/>
      <c r="G872" s="14"/>
    </row>
    <row r="873" ht="15.75" customHeight="1">
      <c r="D873" s="7">
        <f t="shared" si="1"/>
        <v>46429</v>
      </c>
      <c r="E873" s="14"/>
      <c r="F873" s="14"/>
      <c r="G873" s="14"/>
    </row>
    <row r="874" ht="15.75" customHeight="1">
      <c r="D874" s="7">
        <f t="shared" si="1"/>
        <v>46430</v>
      </c>
      <c r="E874" s="14"/>
      <c r="F874" s="14"/>
      <c r="G874" s="14"/>
    </row>
    <row r="875" ht="15.75" customHeight="1">
      <c r="D875" s="7">
        <f t="shared" si="1"/>
        <v>46431</v>
      </c>
      <c r="E875" s="14"/>
      <c r="F875" s="14"/>
      <c r="G875" s="14"/>
    </row>
    <row r="876" ht="15.75" customHeight="1">
      <c r="D876" s="7">
        <f t="shared" si="1"/>
        <v>46432</v>
      </c>
      <c r="E876" s="14"/>
      <c r="F876" s="14"/>
      <c r="G876" s="14"/>
    </row>
    <row r="877" ht="15.75" customHeight="1">
      <c r="D877" s="7">
        <f t="shared" si="1"/>
        <v>46433</v>
      </c>
      <c r="E877" s="14"/>
      <c r="F877" s="14"/>
      <c r="G877" s="14"/>
    </row>
    <row r="878" ht="15.75" customHeight="1">
      <c r="D878" s="7">
        <f t="shared" si="1"/>
        <v>46434</v>
      </c>
      <c r="E878" s="14"/>
      <c r="F878" s="14"/>
      <c r="G878" s="14"/>
    </row>
    <row r="879" ht="15.75" customHeight="1">
      <c r="D879" s="7">
        <f t="shared" si="1"/>
        <v>46435</v>
      </c>
      <c r="E879" s="14"/>
      <c r="F879" s="14"/>
      <c r="G879" s="14"/>
    </row>
    <row r="880" ht="15.75" customHeight="1">
      <c r="D880" s="7">
        <f t="shared" si="1"/>
        <v>46436</v>
      </c>
      <c r="E880" s="14"/>
      <c r="F880" s="14"/>
      <c r="G880" s="14"/>
    </row>
    <row r="881" ht="15.75" customHeight="1">
      <c r="D881" s="7">
        <f t="shared" si="1"/>
        <v>46437</v>
      </c>
      <c r="E881" s="14"/>
      <c r="F881" s="14"/>
      <c r="G881" s="14"/>
    </row>
    <row r="882" ht="15.75" customHeight="1">
      <c r="D882" s="7">
        <f t="shared" si="1"/>
        <v>46438</v>
      </c>
      <c r="E882" s="14"/>
      <c r="F882" s="14"/>
      <c r="G882" s="14"/>
    </row>
    <row r="883" ht="15.75" customHeight="1">
      <c r="D883" s="7">
        <f t="shared" si="1"/>
        <v>46439</v>
      </c>
      <c r="E883" s="14"/>
      <c r="F883" s="14"/>
      <c r="G883" s="14"/>
    </row>
    <row r="884" ht="15.75" customHeight="1">
      <c r="D884" s="7">
        <f t="shared" si="1"/>
        <v>46440</v>
      </c>
      <c r="E884" s="14"/>
      <c r="F884" s="14"/>
      <c r="G884" s="14"/>
    </row>
    <row r="885" ht="15.75" customHeight="1">
      <c r="D885" s="7">
        <f t="shared" si="1"/>
        <v>46441</v>
      </c>
      <c r="E885" s="14"/>
      <c r="F885" s="14"/>
      <c r="G885" s="14"/>
    </row>
    <row r="886" ht="15.75" customHeight="1">
      <c r="D886" s="7">
        <f t="shared" si="1"/>
        <v>46442</v>
      </c>
      <c r="E886" s="14"/>
      <c r="F886" s="14"/>
      <c r="G886" s="14"/>
    </row>
    <row r="887" ht="15.75" customHeight="1">
      <c r="D887" s="7">
        <f t="shared" si="1"/>
        <v>46443</v>
      </c>
      <c r="E887" s="14"/>
      <c r="F887" s="14"/>
      <c r="G887" s="14"/>
    </row>
    <row r="888" ht="15.75" customHeight="1">
      <c r="D888" s="7">
        <f t="shared" si="1"/>
        <v>46444</v>
      </c>
      <c r="E888" s="14"/>
      <c r="F888" s="14"/>
      <c r="G888" s="14"/>
    </row>
    <row r="889" ht="15.75" customHeight="1">
      <c r="D889" s="7">
        <f t="shared" si="1"/>
        <v>46445</v>
      </c>
      <c r="E889" s="14"/>
      <c r="F889" s="14"/>
      <c r="G889" s="14"/>
    </row>
    <row r="890" ht="15.75" customHeight="1">
      <c r="D890" s="7">
        <f t="shared" si="1"/>
        <v>46446</v>
      </c>
      <c r="E890" s="14"/>
      <c r="F890" s="14"/>
      <c r="G890" s="14"/>
    </row>
    <row r="891" ht="15.75" customHeight="1">
      <c r="D891" s="7">
        <f t="shared" si="1"/>
        <v>46447</v>
      </c>
      <c r="E891" s="14"/>
      <c r="F891" s="14"/>
      <c r="G891" s="14"/>
    </row>
    <row r="892" ht="15.75" customHeight="1">
      <c r="D892" s="7">
        <f t="shared" si="1"/>
        <v>46448</v>
      </c>
      <c r="E892" s="14"/>
      <c r="F892" s="14"/>
      <c r="G892" s="14"/>
    </row>
    <row r="893" ht="15.75" customHeight="1">
      <c r="D893" s="7">
        <f t="shared" si="1"/>
        <v>46449</v>
      </c>
      <c r="E893" s="14"/>
      <c r="F893" s="14"/>
      <c r="G893" s="14"/>
    </row>
    <row r="894" ht="15.75" customHeight="1">
      <c r="D894" s="7">
        <f t="shared" si="1"/>
        <v>46450</v>
      </c>
      <c r="E894" s="14"/>
      <c r="F894" s="14"/>
      <c r="G894" s="14"/>
    </row>
    <row r="895" ht="15.75" customHeight="1">
      <c r="D895" s="7">
        <f t="shared" si="1"/>
        <v>46451</v>
      </c>
      <c r="E895" s="14"/>
      <c r="F895" s="14"/>
      <c r="G895" s="14"/>
    </row>
    <row r="896" ht="15.75" customHeight="1">
      <c r="D896" s="7">
        <f t="shared" si="1"/>
        <v>46452</v>
      </c>
      <c r="E896" s="14"/>
      <c r="F896" s="14"/>
      <c r="G896" s="14"/>
    </row>
    <row r="897" ht="15.75" customHeight="1">
      <c r="D897" s="7">
        <f t="shared" si="1"/>
        <v>46453</v>
      </c>
      <c r="E897" s="14"/>
      <c r="F897" s="14"/>
      <c r="G897" s="14"/>
    </row>
    <row r="898" ht="15.75" customHeight="1">
      <c r="D898" s="7">
        <f t="shared" si="1"/>
        <v>46454</v>
      </c>
      <c r="E898" s="14"/>
      <c r="F898" s="14"/>
      <c r="G898" s="14"/>
    </row>
    <row r="899" ht="15.75" customHeight="1">
      <c r="D899" s="7">
        <f t="shared" si="1"/>
        <v>46455</v>
      </c>
      <c r="E899" s="14"/>
      <c r="F899" s="14"/>
      <c r="G899" s="14"/>
    </row>
    <row r="900" ht="15.75" customHeight="1">
      <c r="D900" s="7">
        <f t="shared" si="1"/>
        <v>46456</v>
      </c>
      <c r="E900" s="14"/>
      <c r="F900" s="14"/>
      <c r="G900" s="14"/>
    </row>
    <row r="901" ht="15.75" customHeight="1">
      <c r="D901" s="7">
        <f t="shared" si="1"/>
        <v>46457</v>
      </c>
      <c r="E901" s="14"/>
      <c r="F901" s="14"/>
      <c r="G901" s="14"/>
    </row>
    <row r="902" ht="15.75" customHeight="1">
      <c r="D902" s="7">
        <f t="shared" si="1"/>
        <v>46458</v>
      </c>
      <c r="E902" s="14"/>
      <c r="F902" s="14"/>
      <c r="G902" s="14"/>
    </row>
    <row r="903" ht="15.75" customHeight="1">
      <c r="D903" s="7">
        <f t="shared" si="1"/>
        <v>46459</v>
      </c>
      <c r="E903" s="14"/>
      <c r="F903" s="14"/>
      <c r="G903" s="14"/>
    </row>
    <row r="904" ht="15.75" customHeight="1">
      <c r="D904" s="7">
        <f t="shared" si="1"/>
        <v>46460</v>
      </c>
      <c r="E904" s="14"/>
      <c r="F904" s="14"/>
      <c r="G904" s="14"/>
    </row>
    <row r="905" ht="15.75" customHeight="1">
      <c r="D905" s="7">
        <f t="shared" si="1"/>
        <v>46461</v>
      </c>
      <c r="E905" s="14"/>
      <c r="F905" s="14"/>
      <c r="G905" s="14"/>
    </row>
    <row r="906" ht="15.75" customHeight="1">
      <c r="D906" s="7">
        <f t="shared" si="1"/>
        <v>46462</v>
      </c>
      <c r="E906" s="14"/>
      <c r="F906" s="14"/>
      <c r="G906" s="14"/>
    </row>
    <row r="907" ht="15.75" customHeight="1">
      <c r="D907" s="7">
        <f t="shared" si="1"/>
        <v>46463</v>
      </c>
      <c r="E907" s="14"/>
      <c r="F907" s="14"/>
      <c r="G907" s="14"/>
    </row>
    <row r="908" ht="15.75" customHeight="1">
      <c r="D908" s="7">
        <f t="shared" si="1"/>
        <v>46464</v>
      </c>
      <c r="E908" s="14"/>
      <c r="F908" s="14"/>
      <c r="G908" s="14"/>
    </row>
    <row r="909" ht="15.75" customHeight="1">
      <c r="D909" s="7">
        <f t="shared" si="1"/>
        <v>46465</v>
      </c>
      <c r="E909" s="14"/>
      <c r="F909" s="14"/>
      <c r="G909" s="14"/>
    </row>
    <row r="910" ht="15.75" customHeight="1">
      <c r="D910" s="7">
        <f t="shared" si="1"/>
        <v>46466</v>
      </c>
      <c r="E910" s="14"/>
      <c r="F910" s="14"/>
      <c r="G910" s="14"/>
    </row>
    <row r="911" ht="15.75" customHeight="1">
      <c r="D911" s="7">
        <f t="shared" si="1"/>
        <v>46467</v>
      </c>
      <c r="E911" s="14"/>
      <c r="F911" s="14"/>
      <c r="G911" s="14"/>
    </row>
    <row r="912" ht="15.75" customHeight="1">
      <c r="D912" s="7">
        <f t="shared" si="1"/>
        <v>46468</v>
      </c>
      <c r="E912" s="14"/>
      <c r="F912" s="14"/>
      <c r="G912" s="14"/>
    </row>
    <row r="913" ht="15.75" customHeight="1">
      <c r="D913" s="7">
        <f t="shared" si="1"/>
        <v>46469</v>
      </c>
      <c r="E913" s="14"/>
      <c r="F913" s="14"/>
      <c r="G913" s="14"/>
    </row>
    <row r="914" ht="15.75" customHeight="1">
      <c r="D914" s="7">
        <f t="shared" si="1"/>
        <v>46470</v>
      </c>
      <c r="E914" s="14"/>
      <c r="F914" s="14"/>
      <c r="G914" s="14"/>
    </row>
    <row r="915" ht="15.75" customHeight="1">
      <c r="D915" s="7">
        <f t="shared" si="1"/>
        <v>46471</v>
      </c>
      <c r="E915" s="14"/>
      <c r="F915" s="14"/>
      <c r="G915" s="14"/>
    </row>
    <row r="916" ht="15.75" customHeight="1">
      <c r="D916" s="7">
        <f t="shared" si="1"/>
        <v>46472</v>
      </c>
      <c r="E916" s="14"/>
      <c r="F916" s="14"/>
      <c r="G916" s="14"/>
    </row>
    <row r="917" ht="15.75" customHeight="1">
      <c r="D917" s="7">
        <f t="shared" si="1"/>
        <v>46473</v>
      </c>
      <c r="E917" s="14"/>
      <c r="F917" s="14"/>
      <c r="G917" s="14"/>
    </row>
    <row r="918" ht="15.75" customHeight="1">
      <c r="D918" s="7">
        <f t="shared" si="1"/>
        <v>46474</v>
      </c>
      <c r="E918" s="14"/>
      <c r="F918" s="14"/>
      <c r="G918" s="14"/>
    </row>
    <row r="919" ht="15.75" customHeight="1">
      <c r="D919" s="7">
        <f t="shared" si="1"/>
        <v>46475</v>
      </c>
      <c r="E919" s="14"/>
      <c r="F919" s="14"/>
      <c r="G919" s="14"/>
    </row>
    <row r="920" ht="15.75" customHeight="1">
      <c r="D920" s="7">
        <f t="shared" si="1"/>
        <v>46476</v>
      </c>
      <c r="E920" s="14"/>
      <c r="F920" s="14"/>
      <c r="G920" s="14"/>
    </row>
    <row r="921" ht="15.75" customHeight="1">
      <c r="D921" s="7">
        <f t="shared" si="1"/>
        <v>46477</v>
      </c>
      <c r="E921" s="14"/>
      <c r="F921" s="14"/>
      <c r="G921" s="14"/>
    </row>
    <row r="922" ht="15.75" customHeight="1">
      <c r="D922" s="7">
        <f t="shared" si="1"/>
        <v>46478</v>
      </c>
      <c r="E922" s="14"/>
      <c r="F922" s="14"/>
      <c r="G922" s="14"/>
    </row>
    <row r="923" ht="15.75" customHeight="1">
      <c r="D923" s="7">
        <f t="shared" si="1"/>
        <v>46479</v>
      </c>
      <c r="E923" s="14"/>
      <c r="F923" s="14"/>
      <c r="G923" s="14"/>
    </row>
    <row r="924" ht="15.75" customHeight="1">
      <c r="D924" s="7">
        <f t="shared" si="1"/>
        <v>46480</v>
      </c>
      <c r="E924" s="14"/>
      <c r="F924" s="14"/>
      <c r="G924" s="14"/>
    </row>
    <row r="925" ht="15.75" customHeight="1">
      <c r="D925" s="7">
        <f t="shared" si="1"/>
        <v>46481</v>
      </c>
      <c r="E925" s="14"/>
      <c r="F925" s="14"/>
      <c r="G925" s="14"/>
    </row>
    <row r="926" ht="15.75" customHeight="1">
      <c r="D926" s="7">
        <f t="shared" si="1"/>
        <v>46482</v>
      </c>
      <c r="E926" s="14"/>
      <c r="F926" s="14"/>
      <c r="G926" s="14"/>
    </row>
    <row r="927" ht="15.75" customHeight="1">
      <c r="D927" s="7">
        <f t="shared" si="1"/>
        <v>46483</v>
      </c>
      <c r="E927" s="14"/>
      <c r="F927" s="14"/>
      <c r="G927" s="14"/>
    </row>
    <row r="928" ht="15.75" customHeight="1">
      <c r="D928" s="7">
        <f t="shared" si="1"/>
        <v>46484</v>
      </c>
      <c r="E928" s="14"/>
      <c r="F928" s="14"/>
      <c r="G928" s="14"/>
    </row>
    <row r="929" ht="15.75" customHeight="1">
      <c r="D929" s="7">
        <f t="shared" si="1"/>
        <v>46485</v>
      </c>
      <c r="E929" s="14"/>
      <c r="F929" s="14"/>
      <c r="G929" s="14"/>
    </row>
    <row r="930" ht="15.75" customHeight="1">
      <c r="D930" s="7">
        <f t="shared" si="1"/>
        <v>46486</v>
      </c>
      <c r="E930" s="14"/>
      <c r="F930" s="14"/>
      <c r="G930" s="14"/>
    </row>
    <row r="931" ht="15.75" customHeight="1">
      <c r="D931" s="7">
        <f t="shared" si="1"/>
        <v>46487</v>
      </c>
      <c r="E931" s="14"/>
      <c r="F931" s="14"/>
      <c r="G931" s="14"/>
    </row>
    <row r="932" ht="15.75" customHeight="1">
      <c r="D932" s="7">
        <f t="shared" si="1"/>
        <v>46488</v>
      </c>
      <c r="E932" s="14"/>
      <c r="F932" s="14"/>
      <c r="G932" s="14"/>
    </row>
    <row r="933" ht="15.75" customHeight="1">
      <c r="D933" s="7">
        <f t="shared" si="1"/>
        <v>46489</v>
      </c>
      <c r="E933" s="14"/>
      <c r="F933" s="14"/>
      <c r="G933" s="14"/>
    </row>
    <row r="934" ht="15.75" customHeight="1">
      <c r="D934" s="7">
        <f t="shared" si="1"/>
        <v>46490</v>
      </c>
      <c r="E934" s="14"/>
      <c r="F934" s="14"/>
      <c r="G934" s="14"/>
    </row>
    <row r="935" ht="15.75" customHeight="1">
      <c r="D935" s="7">
        <f t="shared" si="1"/>
        <v>46491</v>
      </c>
      <c r="E935" s="14"/>
      <c r="F935" s="14"/>
      <c r="G935" s="14"/>
    </row>
    <row r="936" ht="15.75" customHeight="1">
      <c r="D936" s="7">
        <f t="shared" si="1"/>
        <v>46492</v>
      </c>
      <c r="E936" s="14"/>
      <c r="F936" s="14"/>
      <c r="G936" s="14"/>
    </row>
    <row r="937" ht="15.75" customHeight="1">
      <c r="D937" s="7">
        <f t="shared" si="1"/>
        <v>46493</v>
      </c>
      <c r="E937" s="14"/>
      <c r="F937" s="14"/>
      <c r="G937" s="14"/>
    </row>
    <row r="938" ht="15.75" customHeight="1">
      <c r="D938" s="7">
        <f t="shared" si="1"/>
        <v>46494</v>
      </c>
      <c r="E938" s="14"/>
      <c r="F938" s="14"/>
      <c r="G938" s="14"/>
    </row>
    <row r="939" ht="15.75" customHeight="1">
      <c r="D939" s="7">
        <f t="shared" si="1"/>
        <v>46495</v>
      </c>
      <c r="E939" s="14"/>
      <c r="F939" s="14"/>
      <c r="G939" s="14"/>
    </row>
    <row r="940" ht="15.75" customHeight="1">
      <c r="D940" s="7">
        <f t="shared" si="1"/>
        <v>46496</v>
      </c>
      <c r="E940" s="14"/>
      <c r="F940" s="14"/>
      <c r="G940" s="14"/>
    </row>
    <row r="941" ht="15.75" customHeight="1">
      <c r="D941" s="7">
        <f t="shared" si="1"/>
        <v>46497</v>
      </c>
      <c r="E941" s="14"/>
      <c r="F941" s="14"/>
      <c r="G941" s="14"/>
    </row>
    <row r="942" ht="15.75" customHeight="1">
      <c r="D942" s="7">
        <f t="shared" si="1"/>
        <v>46498</v>
      </c>
      <c r="E942" s="14"/>
      <c r="F942" s="14"/>
      <c r="G942" s="14"/>
    </row>
    <row r="943" ht="15.75" customHeight="1">
      <c r="D943" s="7">
        <f t="shared" si="1"/>
        <v>46499</v>
      </c>
      <c r="E943" s="14"/>
      <c r="F943" s="14"/>
      <c r="G943" s="14"/>
    </row>
    <row r="944" ht="15.75" customHeight="1">
      <c r="D944" s="7">
        <f t="shared" si="1"/>
        <v>46500</v>
      </c>
      <c r="E944" s="14"/>
      <c r="F944" s="14"/>
      <c r="G944" s="14"/>
    </row>
    <row r="945" ht="15.75" customHeight="1">
      <c r="D945" s="7">
        <f t="shared" si="1"/>
        <v>46501</v>
      </c>
      <c r="E945" s="14"/>
      <c r="F945" s="14"/>
      <c r="G945" s="14"/>
    </row>
    <row r="946" ht="15.75" customHeight="1">
      <c r="D946" s="7">
        <f t="shared" si="1"/>
        <v>46502</v>
      </c>
      <c r="E946" s="14"/>
      <c r="F946" s="14"/>
      <c r="G946" s="14"/>
    </row>
    <row r="947" ht="15.75" customHeight="1">
      <c r="D947" s="7">
        <f t="shared" si="1"/>
        <v>46503</v>
      </c>
      <c r="E947" s="14"/>
      <c r="F947" s="14"/>
      <c r="G947" s="14"/>
    </row>
    <row r="948" ht="15.75" customHeight="1">
      <c r="D948" s="7">
        <f t="shared" si="1"/>
        <v>46504</v>
      </c>
      <c r="E948" s="14"/>
      <c r="F948" s="14"/>
      <c r="G948" s="14"/>
    </row>
    <row r="949" ht="15.75" customHeight="1">
      <c r="D949" s="7">
        <f t="shared" si="1"/>
        <v>46505</v>
      </c>
      <c r="E949" s="14"/>
      <c r="F949" s="14"/>
      <c r="G949" s="14"/>
    </row>
    <row r="950" ht="15.75" customHeight="1">
      <c r="D950" s="7">
        <f t="shared" si="1"/>
        <v>46506</v>
      </c>
      <c r="E950" s="14"/>
      <c r="F950" s="14"/>
      <c r="G950" s="14"/>
    </row>
    <row r="951" ht="15.75" customHeight="1">
      <c r="D951" s="7">
        <f t="shared" si="1"/>
        <v>46507</v>
      </c>
      <c r="E951" s="14"/>
      <c r="F951" s="14"/>
      <c r="G951" s="14"/>
    </row>
    <row r="952" ht="15.75" customHeight="1">
      <c r="D952" s="7">
        <f t="shared" si="1"/>
        <v>46508</v>
      </c>
      <c r="E952" s="14"/>
      <c r="F952" s="14"/>
      <c r="G952" s="14"/>
    </row>
    <row r="953" ht="15.75" customHeight="1">
      <c r="D953" s="7">
        <f t="shared" si="1"/>
        <v>46509</v>
      </c>
      <c r="E953" s="14"/>
      <c r="F953" s="14"/>
      <c r="G953" s="14"/>
    </row>
    <row r="954" ht="15.75" customHeight="1">
      <c r="D954" s="7">
        <f t="shared" si="1"/>
        <v>46510</v>
      </c>
      <c r="E954" s="14"/>
      <c r="F954" s="14"/>
      <c r="G954" s="14"/>
    </row>
    <row r="955" ht="15.75" customHeight="1">
      <c r="D955" s="7">
        <f t="shared" si="1"/>
        <v>46511</v>
      </c>
      <c r="E955" s="14"/>
      <c r="F955" s="14"/>
      <c r="G955" s="14"/>
    </row>
    <row r="956" ht="15.75" customHeight="1">
      <c r="D956" s="7">
        <f t="shared" si="1"/>
        <v>46512</v>
      </c>
      <c r="E956" s="14"/>
      <c r="F956" s="14"/>
      <c r="G956" s="14"/>
    </row>
    <row r="957" ht="15.75" customHeight="1">
      <c r="D957" s="7">
        <f t="shared" si="1"/>
        <v>46513</v>
      </c>
      <c r="E957" s="14"/>
      <c r="F957" s="14"/>
      <c r="G957" s="14"/>
    </row>
    <row r="958" ht="15.75" customHeight="1">
      <c r="D958" s="7">
        <f t="shared" si="1"/>
        <v>46514</v>
      </c>
      <c r="E958" s="14"/>
      <c r="F958" s="14"/>
      <c r="G958" s="14"/>
    </row>
    <row r="959" ht="15.75" customHeight="1">
      <c r="D959" s="7">
        <f t="shared" si="1"/>
        <v>46515</v>
      </c>
      <c r="E959" s="14"/>
      <c r="F959" s="14"/>
      <c r="G959" s="14"/>
    </row>
    <row r="960" ht="15.75" customHeight="1">
      <c r="D960" s="7">
        <f t="shared" si="1"/>
        <v>46516</v>
      </c>
      <c r="E960" s="14"/>
      <c r="F960" s="14"/>
      <c r="G960" s="14"/>
    </row>
    <row r="961" ht="15.75" customHeight="1">
      <c r="D961" s="7">
        <f t="shared" si="1"/>
        <v>46517</v>
      </c>
      <c r="E961" s="14"/>
      <c r="F961" s="14"/>
      <c r="G961" s="14"/>
    </row>
    <row r="962" ht="15.75" customHeight="1">
      <c r="D962" s="7">
        <f t="shared" si="1"/>
        <v>46518</v>
      </c>
      <c r="E962" s="14"/>
      <c r="F962" s="14"/>
      <c r="G962" s="14"/>
    </row>
    <row r="963" ht="15.75" customHeight="1">
      <c r="D963" s="7">
        <f t="shared" si="1"/>
        <v>46519</v>
      </c>
      <c r="E963" s="14"/>
      <c r="F963" s="14"/>
      <c r="G963" s="14"/>
    </row>
    <row r="964" ht="15.75" customHeight="1">
      <c r="D964" s="7">
        <f t="shared" si="1"/>
        <v>46520</v>
      </c>
      <c r="E964" s="14"/>
      <c r="F964" s="14"/>
      <c r="G964" s="14"/>
    </row>
    <row r="965" ht="15.75" customHeight="1">
      <c r="D965" s="7">
        <f t="shared" si="1"/>
        <v>46521</v>
      </c>
      <c r="E965" s="14"/>
      <c r="F965" s="14"/>
      <c r="G965" s="14"/>
    </row>
    <row r="966" ht="15.75" customHeight="1">
      <c r="D966" s="7">
        <f t="shared" si="1"/>
        <v>46522</v>
      </c>
      <c r="E966" s="14"/>
      <c r="F966" s="14"/>
      <c r="G966" s="14"/>
    </row>
    <row r="967" ht="15.75" customHeight="1">
      <c r="D967" s="7">
        <f t="shared" si="1"/>
        <v>46523</v>
      </c>
      <c r="E967" s="14"/>
      <c r="F967" s="14"/>
      <c r="G967" s="14"/>
    </row>
    <row r="968" ht="15.75" customHeight="1">
      <c r="D968" s="7">
        <f t="shared" si="1"/>
        <v>46524</v>
      </c>
      <c r="E968" s="14"/>
      <c r="F968" s="14"/>
      <c r="G968" s="14"/>
    </row>
    <row r="969" ht="15.75" customHeight="1">
      <c r="D969" s="7">
        <f t="shared" si="1"/>
        <v>46525</v>
      </c>
      <c r="E969" s="14"/>
      <c r="F969" s="14"/>
      <c r="G969" s="14"/>
    </row>
    <row r="970" ht="15.75" customHeight="1">
      <c r="D970" s="7">
        <f t="shared" si="1"/>
        <v>46526</v>
      </c>
      <c r="E970" s="14"/>
      <c r="F970" s="14"/>
      <c r="G970" s="14"/>
    </row>
    <row r="971" ht="15.75" customHeight="1">
      <c r="D971" s="7">
        <f t="shared" si="1"/>
        <v>46527</v>
      </c>
      <c r="E971" s="14"/>
      <c r="F971" s="14"/>
      <c r="G971" s="14"/>
    </row>
    <row r="972" ht="15.75" customHeight="1">
      <c r="D972" s="7">
        <f t="shared" si="1"/>
        <v>46528</v>
      </c>
      <c r="E972" s="14"/>
      <c r="F972" s="14"/>
      <c r="G972" s="14"/>
    </row>
    <row r="973" ht="15.75" customHeight="1">
      <c r="D973" s="7">
        <f t="shared" si="1"/>
        <v>46529</v>
      </c>
      <c r="E973" s="14"/>
      <c r="F973" s="14"/>
      <c r="G973" s="14"/>
    </row>
    <row r="974" ht="15.75" customHeight="1">
      <c r="D974" s="7">
        <f t="shared" si="1"/>
        <v>46530</v>
      </c>
      <c r="E974" s="14"/>
      <c r="F974" s="14"/>
      <c r="G974" s="14"/>
    </row>
    <row r="975" ht="15.75" customHeight="1">
      <c r="D975" s="7">
        <f t="shared" si="1"/>
        <v>46531</v>
      </c>
      <c r="E975" s="14"/>
      <c r="F975" s="14"/>
      <c r="G975" s="14"/>
    </row>
    <row r="976" ht="15.75" customHeight="1">
      <c r="D976" s="7">
        <f t="shared" si="1"/>
        <v>46532</v>
      </c>
      <c r="E976" s="14"/>
      <c r="F976" s="14"/>
      <c r="G976" s="14"/>
    </row>
    <row r="977" ht="15.75" customHeight="1">
      <c r="D977" s="7">
        <f t="shared" si="1"/>
        <v>46533</v>
      </c>
      <c r="E977" s="14"/>
      <c r="F977" s="14"/>
      <c r="G977" s="14"/>
    </row>
    <row r="978" ht="15.75" customHeight="1">
      <c r="D978" s="7">
        <f t="shared" si="1"/>
        <v>46534</v>
      </c>
      <c r="E978" s="14"/>
      <c r="F978" s="14"/>
      <c r="G978" s="14"/>
    </row>
    <row r="979" ht="15.75" customHeight="1">
      <c r="D979" s="7">
        <f t="shared" si="1"/>
        <v>46535</v>
      </c>
      <c r="E979" s="14"/>
      <c r="F979" s="14"/>
      <c r="G979" s="14"/>
    </row>
    <row r="980" ht="15.75" customHeight="1">
      <c r="D980" s="7">
        <f t="shared" si="1"/>
        <v>46536</v>
      </c>
      <c r="E980" s="14"/>
      <c r="F980" s="14"/>
      <c r="G980" s="14"/>
    </row>
    <row r="981" ht="15.75" customHeight="1">
      <c r="D981" s="7">
        <f t="shared" si="1"/>
        <v>46537</v>
      </c>
      <c r="E981" s="14"/>
      <c r="F981" s="14"/>
      <c r="G981" s="14"/>
    </row>
    <row r="982" ht="15.75" customHeight="1">
      <c r="D982" s="7">
        <f t="shared" si="1"/>
        <v>46538</v>
      </c>
      <c r="E982" s="14"/>
      <c r="F982" s="14"/>
      <c r="G982" s="14"/>
    </row>
    <row r="983" ht="15.75" customHeight="1">
      <c r="D983" s="7">
        <f t="shared" si="1"/>
        <v>46539</v>
      </c>
      <c r="E983" s="14"/>
      <c r="F983" s="14"/>
      <c r="G983" s="14"/>
    </row>
    <row r="984" ht="15.75" customHeight="1">
      <c r="D984" s="7">
        <f t="shared" si="1"/>
        <v>46540</v>
      </c>
      <c r="E984" s="14"/>
      <c r="F984" s="14"/>
      <c r="G984" s="14"/>
    </row>
    <row r="985" ht="15.75" customHeight="1">
      <c r="D985" s="7">
        <f t="shared" si="1"/>
        <v>46541</v>
      </c>
      <c r="E985" s="14"/>
      <c r="F985" s="14"/>
      <c r="G985" s="14"/>
    </row>
    <row r="986" ht="15.75" customHeight="1">
      <c r="D986" s="7">
        <f t="shared" si="1"/>
        <v>46542</v>
      </c>
      <c r="E986" s="14"/>
      <c r="F986" s="14"/>
      <c r="G986" s="14"/>
    </row>
    <row r="987" ht="15.75" customHeight="1">
      <c r="D987" s="7">
        <f t="shared" si="1"/>
        <v>46543</v>
      </c>
      <c r="E987" s="14"/>
      <c r="F987" s="14"/>
      <c r="G987" s="14"/>
    </row>
    <row r="988" ht="15.75" customHeight="1">
      <c r="D988" s="7">
        <f t="shared" si="1"/>
        <v>46544</v>
      </c>
      <c r="E988" s="14"/>
      <c r="F988" s="14"/>
      <c r="G988" s="14"/>
    </row>
    <row r="989" ht="15.75" customHeight="1">
      <c r="D989" s="7">
        <f t="shared" si="1"/>
        <v>46545</v>
      </c>
      <c r="E989" s="14"/>
      <c r="F989" s="14"/>
      <c r="G989" s="14"/>
    </row>
    <row r="990" ht="15.75" customHeight="1">
      <c r="D990" s="7">
        <f t="shared" si="1"/>
        <v>46546</v>
      </c>
      <c r="E990" s="14"/>
      <c r="F990" s="14"/>
      <c r="G990" s="14"/>
    </row>
    <row r="991" ht="15.75" customHeight="1">
      <c r="D991" s="7">
        <f t="shared" si="1"/>
        <v>46547</v>
      </c>
      <c r="E991" s="14"/>
      <c r="F991" s="14"/>
      <c r="G991" s="14"/>
    </row>
    <row r="992" ht="15.75" customHeight="1">
      <c r="D992" s="7">
        <f t="shared" si="1"/>
        <v>46548</v>
      </c>
      <c r="E992" s="14"/>
      <c r="F992" s="14"/>
      <c r="G992" s="14"/>
    </row>
    <row r="993" ht="15.75" customHeight="1">
      <c r="D993" s="7">
        <f t="shared" si="1"/>
        <v>46549</v>
      </c>
      <c r="E993" s="14"/>
      <c r="F993" s="14"/>
      <c r="G993" s="14"/>
    </row>
    <row r="994" ht="15.75" customHeight="1">
      <c r="D994" s="7">
        <f t="shared" si="1"/>
        <v>46550</v>
      </c>
      <c r="E994" s="14"/>
      <c r="F994" s="14"/>
      <c r="G994" s="14"/>
    </row>
    <row r="995" ht="15.75" customHeight="1">
      <c r="D995" s="7">
        <f t="shared" si="1"/>
        <v>46551</v>
      </c>
      <c r="E995" s="14"/>
      <c r="F995" s="14"/>
      <c r="G995" s="14"/>
    </row>
    <row r="996" ht="15.75" customHeight="1">
      <c r="D996" s="7">
        <f t="shared" si="1"/>
        <v>46552</v>
      </c>
      <c r="E996" s="14"/>
      <c r="F996" s="14"/>
      <c r="G996" s="14"/>
    </row>
    <row r="997" ht="15.75" customHeight="1">
      <c r="D997" s="7">
        <f t="shared" si="1"/>
        <v>46553</v>
      </c>
      <c r="E997" s="14"/>
      <c r="F997" s="14"/>
      <c r="G997" s="14"/>
    </row>
    <row r="998" ht="15.75" customHeight="1">
      <c r="D998" s="7">
        <f t="shared" si="1"/>
        <v>46554</v>
      </c>
      <c r="E998" s="14"/>
      <c r="F998" s="14"/>
      <c r="G998" s="14"/>
    </row>
    <row r="999" ht="15.75" customHeight="1">
      <c r="D999" s="7">
        <f t="shared" si="1"/>
        <v>46555</v>
      </c>
      <c r="E999" s="14"/>
      <c r="F999" s="14"/>
      <c r="G999" s="14"/>
    </row>
    <row r="1000" ht="15.75" customHeight="1">
      <c r="D1000" s="7">
        <f t="shared" si="1"/>
        <v>46556</v>
      </c>
      <c r="E1000" s="14"/>
      <c r="F1000" s="14"/>
      <c r="G1000" s="1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0.38"/>
    <col customWidth="1" min="2" max="2" width="11.0"/>
    <col customWidth="1" min="3" max="3" width="9.63"/>
    <col customWidth="1" min="4" max="4" width="11.38"/>
    <col customWidth="1" min="5" max="5" width="10.0"/>
    <col customWidth="1" min="6" max="6" width="8.75"/>
    <col customWidth="1" min="7" max="7" width="17.0"/>
    <col customWidth="1" min="8" max="8" width="7.38"/>
    <col customWidth="1" min="9" max="9" width="8.63"/>
    <col customWidth="1" min="10" max="10" width="10.38"/>
    <col customWidth="1" min="11" max="11" width="11.0"/>
    <col customWidth="1" min="12" max="12" width="9.63"/>
    <col customWidth="1" min="13" max="13" width="11.38"/>
    <col customWidth="1" min="14" max="14" width="10.0"/>
    <col customWidth="1" min="15" max="16" width="8.63"/>
    <col customWidth="1" min="17" max="18" width="9.63"/>
    <col customWidth="1" min="19" max="19" width="8.63"/>
    <col customWidth="1" min="20" max="20" width="10.63"/>
    <col customWidth="1" min="21" max="21" width="12.13"/>
    <col customWidth="1" hidden="1" min="22" max="22" width="10.38"/>
    <col customWidth="1" min="23" max="23" width="10.38"/>
    <col customWidth="1" min="24" max="24" width="11.13"/>
    <col customWidth="1" min="25" max="25" width="10.38"/>
    <col customWidth="1" min="26" max="27" width="11.63"/>
    <col customWidth="1" min="28" max="28" width="10.13"/>
    <col customWidth="1" min="29" max="29" width="8.88"/>
    <col customWidth="1" min="30" max="30" width="6.38"/>
    <col customWidth="1" min="31" max="33" width="8.63"/>
  </cols>
  <sheetData>
    <row r="1">
      <c r="A1" s="5" t="s">
        <v>31</v>
      </c>
      <c r="S1" s="15"/>
      <c r="U1" s="16"/>
      <c r="AE1" s="1">
        <v>3.0</v>
      </c>
    </row>
    <row r="2">
      <c r="L2" s="17">
        <v>20.0</v>
      </c>
      <c r="M2" s="17">
        <v>25.0</v>
      </c>
      <c r="N2" s="17">
        <v>-10.0</v>
      </c>
      <c r="O2" s="17">
        <v>20.0</v>
      </c>
      <c r="P2" s="17">
        <v>25.0</v>
      </c>
      <c r="Q2" s="18">
        <v>50.0</v>
      </c>
      <c r="R2" s="17">
        <v>20.0</v>
      </c>
      <c r="S2" s="19">
        <v>-20.0</v>
      </c>
      <c r="U2" s="16"/>
    </row>
    <row r="3">
      <c r="S3" s="15"/>
      <c r="U3" s="16"/>
    </row>
    <row r="4">
      <c r="K4" s="20" t="s">
        <v>32</v>
      </c>
      <c r="L4" s="21"/>
      <c r="M4" s="21"/>
      <c r="N4" s="21"/>
      <c r="O4" s="21"/>
      <c r="P4" s="21"/>
      <c r="Q4" s="21"/>
      <c r="R4" s="21"/>
      <c r="S4" s="21"/>
      <c r="T4" s="22"/>
      <c r="U4" s="23"/>
      <c r="V4" s="24"/>
      <c r="W4" s="25">
        <f>SUMIFS(Bill!$W$6:$W$25, Bill!$K$6:$K$25, "&gt;=" &amp; TODAY()-30, Bill!$K$6:$K$25, "&lt;=" &amp; TODAY())</f>
        <v>0</v>
      </c>
      <c r="Y4" s="26" t="s">
        <v>33</v>
      </c>
    </row>
    <row r="5">
      <c r="A5" s="27" t="s">
        <v>2</v>
      </c>
      <c r="B5" s="27" t="s">
        <v>34</v>
      </c>
      <c r="C5" s="27" t="s">
        <v>35</v>
      </c>
      <c r="D5" s="27" t="s">
        <v>36</v>
      </c>
      <c r="E5" s="27" t="s">
        <v>37</v>
      </c>
      <c r="F5" s="27" t="s">
        <v>38</v>
      </c>
      <c r="G5" s="28" t="s">
        <v>39</v>
      </c>
      <c r="H5" s="27" t="s">
        <v>29</v>
      </c>
      <c r="I5" s="27" t="s">
        <v>30</v>
      </c>
      <c r="K5" s="29" t="s">
        <v>2</v>
      </c>
      <c r="L5" s="30" t="s">
        <v>34</v>
      </c>
      <c r="M5" s="29" t="s">
        <v>35</v>
      </c>
      <c r="N5" s="29" t="s">
        <v>36</v>
      </c>
      <c r="O5" s="29" t="s">
        <v>37</v>
      </c>
      <c r="P5" s="29" t="s">
        <v>38</v>
      </c>
      <c r="Q5" s="28" t="s">
        <v>39</v>
      </c>
      <c r="R5" s="29" t="s">
        <v>29</v>
      </c>
      <c r="S5" s="31" t="s">
        <v>30</v>
      </c>
      <c r="T5" s="29" t="s">
        <v>40</v>
      </c>
      <c r="U5" s="32" t="s">
        <v>41</v>
      </c>
      <c r="V5" s="29" t="s">
        <v>42</v>
      </c>
      <c r="W5" s="29" t="s">
        <v>43</v>
      </c>
      <c r="Y5" s="33" t="s">
        <v>2</v>
      </c>
      <c r="Z5" s="34" t="s">
        <v>44</v>
      </c>
      <c r="AA5" s="33" t="s">
        <v>34</v>
      </c>
      <c r="AB5" s="33" t="s">
        <v>35</v>
      </c>
      <c r="AC5" s="33" t="s">
        <v>36</v>
      </c>
      <c r="AD5" s="33" t="s">
        <v>37</v>
      </c>
      <c r="AE5" s="33" t="s">
        <v>38</v>
      </c>
      <c r="AF5" s="33" t="s">
        <v>29</v>
      </c>
      <c r="AG5" s="33" t="s">
        <v>30</v>
      </c>
    </row>
    <row r="6">
      <c r="A6" s="35">
        <f>Bill!$Y6</f>
        <v>45564</v>
      </c>
      <c r="B6" s="36">
        <f>'Raw Data'!E8+Bill!$L$2</f>
        <v>151</v>
      </c>
      <c r="C6" s="36">
        <f>'Raw Data'!E8+Bill!$M$2</f>
        <v>156</v>
      </c>
      <c r="D6" s="36">
        <f>('Raw Data'!$F8*2)-10</f>
        <v>226</v>
      </c>
      <c r="E6" s="36">
        <f>'Raw Data'!F8+Bill!$O$2</f>
        <v>138</v>
      </c>
      <c r="F6" s="36">
        <f>'Raw Data'!F8+Bill!$P$2</f>
        <v>143</v>
      </c>
      <c r="G6" s="36"/>
      <c r="H6" s="36">
        <f>('Raw Data'!F8+Bill!$R$2)</f>
        <v>138</v>
      </c>
      <c r="I6" s="36">
        <f>'Raw Data'!G8/100</f>
        <v>5.8</v>
      </c>
      <c r="K6" s="37">
        <f>Bill!$Y6</f>
        <v>45564</v>
      </c>
      <c r="L6" s="38">
        <f>Bill!$AA6*('Raw Data'!$E8+$L$2)</f>
        <v>649.3</v>
      </c>
      <c r="M6" s="38">
        <f>Bill!$AB6*('Raw Data'!$E8+$M$2)</f>
        <v>1872</v>
      </c>
      <c r="N6" s="38">
        <f>(('Raw Data'!$F8 * 2)-10)*Bill!$AC6</f>
        <v>0</v>
      </c>
      <c r="O6" s="38">
        <f>('Raw Data'!F8+Bill!$O$2)*Bill!$AD6</f>
        <v>0</v>
      </c>
      <c r="P6" s="38">
        <f>('Raw Data'!F8+Bill!$P$2)*Bill!$AE6</f>
        <v>286</v>
      </c>
      <c r="Q6" s="38">
        <f>Bill!$Z6*('Raw Data'!$E8+$Q$2)</f>
        <v>0</v>
      </c>
      <c r="R6" s="38">
        <f>('Raw Data'!F8+Bill!$R$2)*Bill!$AF6</f>
        <v>0</v>
      </c>
      <c r="S6" s="39">
        <f>('Raw Data'!G8/100)*Bill!$AG6</f>
        <v>0</v>
      </c>
      <c r="T6" s="38">
        <f>SUM(Bill!$L6:$R6)</f>
        <v>2807.3</v>
      </c>
      <c r="U6" s="40">
        <v>2807.0</v>
      </c>
      <c r="V6" s="38">
        <f>IF(ABS(Bill!$T6 - Bill!$U6) &gt; 20, 1, 0)</f>
        <v>0</v>
      </c>
      <c r="W6" s="38">
        <f>Bill!$U6-Bill!$T6</f>
        <v>-0.3</v>
      </c>
      <c r="Y6" s="37">
        <f>'Raw Data'!D8</f>
        <v>45564</v>
      </c>
      <c r="Z6" s="41">
        <v>0.0</v>
      </c>
      <c r="AA6" s="42">
        <v>4.3</v>
      </c>
      <c r="AB6" s="42">
        <v>12.0</v>
      </c>
      <c r="AC6" s="42">
        <v>0.0</v>
      </c>
      <c r="AD6" s="42">
        <v>0.0</v>
      </c>
      <c r="AE6" s="42">
        <v>2.0</v>
      </c>
      <c r="AF6" s="42">
        <v>0.0</v>
      </c>
      <c r="AG6" s="42">
        <v>0.0</v>
      </c>
    </row>
    <row r="7">
      <c r="A7" s="37">
        <f>Bill!$Y7</f>
        <v>45565</v>
      </c>
      <c r="B7" s="43">
        <f>'Raw Data'!E9+Bill!$L$2</f>
        <v>151</v>
      </c>
      <c r="C7" s="43">
        <f>'Raw Data'!E9+Bill!$M$2</f>
        <v>156</v>
      </c>
      <c r="D7" s="43">
        <f>('Raw Data'!$F9*2)-10</f>
        <v>226</v>
      </c>
      <c r="E7" s="43">
        <f>'Raw Data'!F9+Bill!$O$2</f>
        <v>138</v>
      </c>
      <c r="F7" s="43">
        <f>'Raw Data'!F9+Bill!$P$2</f>
        <v>143</v>
      </c>
      <c r="G7" s="43"/>
      <c r="H7" s="43">
        <f>('Raw Data'!F9+Bill!$R$2)</f>
        <v>138</v>
      </c>
      <c r="I7" s="36">
        <f>'Raw Data'!G9/100</f>
        <v>5.8</v>
      </c>
      <c r="K7" s="37">
        <f>Bill!$Y7</f>
        <v>45565</v>
      </c>
      <c r="L7" s="38">
        <f>Bill!$AA7*('Raw Data'!$E9+$L$2)</f>
        <v>1072.1</v>
      </c>
      <c r="M7" s="38">
        <f>Bill!$AB7*('Raw Data'!$E9+$M$2)</f>
        <v>1248</v>
      </c>
      <c r="N7" s="38">
        <f>(('Raw Data'!$F9 * 2)-10)*Bill!$AC7</f>
        <v>1130</v>
      </c>
      <c r="O7" s="38">
        <f>('Raw Data'!F9+Bill!$O$2)*Bill!$AD7</f>
        <v>151.8</v>
      </c>
      <c r="P7" s="38">
        <f>('Raw Data'!F9+Bill!$P$2)*Bill!$AE7</f>
        <v>286</v>
      </c>
      <c r="Q7" s="38">
        <f>Bill!$Z7*('Raw Data'!$E9+$Q$2)</f>
        <v>0</v>
      </c>
      <c r="R7" s="38">
        <f>('Raw Data'!F9+Bill!$R$2)*Bill!$AF7</f>
        <v>0</v>
      </c>
      <c r="S7" s="39">
        <f>('Raw Data'!G9/100)*Bill!$AG7</f>
        <v>0</v>
      </c>
      <c r="T7" s="38">
        <f>SUM(Bill!$L7:$R7)</f>
        <v>3887.9</v>
      </c>
      <c r="U7" s="44">
        <v>3888.0</v>
      </c>
      <c r="V7" s="38">
        <f>IF(ABS(Bill!$T7 - Bill!$U7) &gt; 20, 1, 0)</f>
        <v>0</v>
      </c>
      <c r="W7" s="38">
        <f>Bill!$U7-Bill!$T7</f>
        <v>0.1</v>
      </c>
      <c r="Y7" s="37">
        <f>'Raw Data'!D9</f>
        <v>45565</v>
      </c>
      <c r="Z7" s="41">
        <v>0.0</v>
      </c>
      <c r="AA7" s="42">
        <v>7.1</v>
      </c>
      <c r="AB7" s="42">
        <v>8.0</v>
      </c>
      <c r="AC7" s="42">
        <v>5.0</v>
      </c>
      <c r="AD7" s="42">
        <v>1.1</v>
      </c>
      <c r="AE7" s="42">
        <v>2.0</v>
      </c>
      <c r="AF7" s="42">
        <v>0.0</v>
      </c>
      <c r="AG7" s="42">
        <v>0.0</v>
      </c>
    </row>
    <row r="8">
      <c r="A8" s="35">
        <f>Bill!$Y8</f>
        <v>45566</v>
      </c>
      <c r="B8" s="36">
        <f>'Raw Data'!E10+Bill!$L$2</f>
        <v>151</v>
      </c>
      <c r="C8" s="36">
        <f>'Raw Data'!E10+Bill!$M$2</f>
        <v>156</v>
      </c>
      <c r="D8" s="36">
        <f>('Raw Data'!$F10*2)-10</f>
        <v>226</v>
      </c>
      <c r="E8" s="36">
        <f>'Raw Data'!F10+Bill!$O$2</f>
        <v>138</v>
      </c>
      <c r="F8" s="36">
        <f>'Raw Data'!F10+Bill!$P$2</f>
        <v>143</v>
      </c>
      <c r="G8" s="36"/>
      <c r="H8" s="36">
        <f>('Raw Data'!F10+Bill!$R$2)</f>
        <v>138</v>
      </c>
      <c r="I8" s="36">
        <f>'Raw Data'!G10/100</f>
        <v>5.8</v>
      </c>
      <c r="K8" s="37">
        <f>Bill!$Y8</f>
        <v>45566</v>
      </c>
      <c r="L8" s="38">
        <f>Bill!$AA8*('Raw Data'!$E10+$L$2)</f>
        <v>875.8</v>
      </c>
      <c r="M8" s="38">
        <f>Bill!$AB8*('Raw Data'!$E10+$M$2)</f>
        <v>780</v>
      </c>
      <c r="N8" s="38">
        <f>(('Raw Data'!$F10 * 2)-10)*Bill!$AC8</f>
        <v>678</v>
      </c>
      <c r="O8" s="38">
        <f>('Raw Data'!F10+Bill!$O$2)*Bill!$AD8</f>
        <v>0</v>
      </c>
      <c r="P8" s="38">
        <f>('Raw Data'!F10+Bill!$P$2)*Bill!$AE8</f>
        <v>0</v>
      </c>
      <c r="Q8" s="38">
        <f>Bill!$Z8*('Raw Data'!$E10+$Q$2)</f>
        <v>0</v>
      </c>
      <c r="R8" s="38">
        <f>('Raw Data'!F10+Bill!$R$2)*Bill!$AF8</f>
        <v>0</v>
      </c>
      <c r="S8" s="39">
        <f>('Raw Data'!G10/100)*Bill!$AG8</f>
        <v>870</v>
      </c>
      <c r="T8" s="38">
        <f>SUM(Bill!$L8:$R8)</f>
        <v>2333.8</v>
      </c>
      <c r="U8" s="44">
        <v>2363.0</v>
      </c>
      <c r="V8" s="38">
        <f>IF(ABS(Bill!$T8 - Bill!$U8) &gt; 20, 1, 0)</f>
        <v>1</v>
      </c>
      <c r="W8" s="38">
        <f>Bill!$U8-Bill!$T8</f>
        <v>29.2</v>
      </c>
      <c r="Y8" s="37">
        <f>'Raw Data'!D10</f>
        <v>45566</v>
      </c>
      <c r="Z8" s="41">
        <v>0.0</v>
      </c>
      <c r="AA8" s="42">
        <v>5.8</v>
      </c>
      <c r="AB8" s="42">
        <v>5.0</v>
      </c>
      <c r="AC8" s="42">
        <v>3.0</v>
      </c>
      <c r="AD8" s="42">
        <v>0.0</v>
      </c>
      <c r="AE8" s="42">
        <v>0.0</v>
      </c>
      <c r="AF8" s="42">
        <v>0.0</v>
      </c>
      <c r="AG8" s="42">
        <v>150.0</v>
      </c>
    </row>
    <row r="9">
      <c r="A9" s="37">
        <f>Bill!$Y9</f>
        <v>45567</v>
      </c>
      <c r="B9" s="43">
        <f>'Raw Data'!E11+Bill!$L$2</f>
        <v>151</v>
      </c>
      <c r="C9" s="43">
        <f>'Raw Data'!E11+Bill!$M$2</f>
        <v>156</v>
      </c>
      <c r="D9" s="43">
        <f>('Raw Data'!$F11*2)-10</f>
        <v>222</v>
      </c>
      <c r="E9" s="43">
        <f>'Raw Data'!F11+Bill!$O$2</f>
        <v>136</v>
      </c>
      <c r="F9" s="43">
        <f>'Raw Data'!F11+Bill!$P$2</f>
        <v>141</v>
      </c>
      <c r="G9" s="43"/>
      <c r="H9" s="43">
        <f>('Raw Data'!F11+Bill!$R$2)</f>
        <v>136</v>
      </c>
      <c r="I9" s="36">
        <f>'Raw Data'!G11/100</f>
        <v>5.8</v>
      </c>
      <c r="K9" s="37">
        <f>Bill!$Y9</f>
        <v>45567</v>
      </c>
      <c r="L9" s="38">
        <f>Bill!$AA9*('Raw Data'!$E11+$L$2)</f>
        <v>1751.6</v>
      </c>
      <c r="M9" s="38">
        <f>Bill!$AB9*('Raw Data'!$E11+$M$2)</f>
        <v>2340</v>
      </c>
      <c r="N9" s="38">
        <f>(('Raw Data'!$F11 * 2)-10)*Bill!$AC9</f>
        <v>888</v>
      </c>
      <c r="O9" s="38">
        <f>('Raw Data'!F11+Bill!$O$2)*Bill!$AD9</f>
        <v>272</v>
      </c>
      <c r="P9" s="38">
        <f>('Raw Data'!F11+Bill!$P$2)*Bill!$AE9</f>
        <v>0</v>
      </c>
      <c r="Q9" s="38">
        <f>Bill!$Z9*('Raw Data'!$E11+$Q$2)</f>
        <v>0</v>
      </c>
      <c r="R9" s="38">
        <f>('Raw Data'!F11+Bill!$R$2)*Bill!$AF9</f>
        <v>0</v>
      </c>
      <c r="S9" s="39">
        <f>('Raw Data'!G11/100)*Bill!$AG9</f>
        <v>0</v>
      </c>
      <c r="T9" s="38">
        <f>SUM(Bill!$L9:$R9)</f>
        <v>5251.6</v>
      </c>
      <c r="U9" s="44">
        <v>5310.0</v>
      </c>
      <c r="V9" s="38">
        <f>IF(ABS(Bill!$T9 - Bill!$U9) &gt; 20, 1, 0)</f>
        <v>1</v>
      </c>
      <c r="W9" s="38">
        <f>Bill!$U9-Bill!$T9</f>
        <v>58.4</v>
      </c>
      <c r="Y9" s="37">
        <f>'Raw Data'!D11</f>
        <v>45567</v>
      </c>
      <c r="Z9" s="41">
        <v>0.0</v>
      </c>
      <c r="AA9" s="42">
        <v>11.6</v>
      </c>
      <c r="AB9" s="42">
        <v>15.0</v>
      </c>
      <c r="AC9" s="42">
        <v>4.0</v>
      </c>
      <c r="AD9" s="42">
        <v>2.0</v>
      </c>
      <c r="AE9" s="42">
        <v>0.0</v>
      </c>
      <c r="AF9" s="42">
        <v>0.0</v>
      </c>
      <c r="AG9" s="42">
        <v>0.0</v>
      </c>
    </row>
    <row r="10">
      <c r="A10" s="35">
        <f>Bill!$Y10</f>
        <v>45568</v>
      </c>
      <c r="B10" s="36">
        <f>'Raw Data'!E12+Bill!$L$2</f>
        <v>151</v>
      </c>
      <c r="C10" s="36">
        <f>'Raw Data'!E12+Bill!$M$2</f>
        <v>156</v>
      </c>
      <c r="D10" s="36">
        <f>('Raw Data'!$F12*2)-10</f>
        <v>222</v>
      </c>
      <c r="E10" s="36">
        <f>'Raw Data'!F12+Bill!$O$2</f>
        <v>136</v>
      </c>
      <c r="F10" s="36">
        <f>'Raw Data'!F12+Bill!$P$2</f>
        <v>141</v>
      </c>
      <c r="G10" s="36"/>
      <c r="H10" s="36">
        <f>('Raw Data'!F12+Bill!$R$2)</f>
        <v>136</v>
      </c>
      <c r="I10" s="36">
        <f>'Raw Data'!G12/100</f>
        <v>5.8</v>
      </c>
      <c r="K10" s="37">
        <f>Bill!$Y10</f>
        <v>45568</v>
      </c>
      <c r="L10" s="38">
        <f>Bill!$AA10*('Raw Data'!$E12+$L$2)</f>
        <v>1298.6</v>
      </c>
      <c r="M10" s="38">
        <f>Bill!$AB10*('Raw Data'!$E12+$M$2)</f>
        <v>1700.4</v>
      </c>
      <c r="N10" s="38">
        <f>(('Raw Data'!$F12 * 2)-10)*Bill!$AC10</f>
        <v>888</v>
      </c>
      <c r="O10" s="38">
        <f>('Raw Data'!F12+Bill!$O$2)*Bill!$AD10</f>
        <v>0</v>
      </c>
      <c r="P10" s="38">
        <f>('Raw Data'!F12+Bill!$P$2)*Bill!$AE10</f>
        <v>423</v>
      </c>
      <c r="Q10" s="38">
        <f>Bill!$Z10*('Raw Data'!$E12+$Q$2)</f>
        <v>0</v>
      </c>
      <c r="R10" s="38">
        <f>('Raw Data'!F12+Bill!$R$2)*Bill!$AF10</f>
        <v>0</v>
      </c>
      <c r="S10" s="39">
        <f>('Raw Data'!G12/100)*Bill!$AG10</f>
        <v>0</v>
      </c>
      <c r="T10" s="38">
        <f>SUM(Bill!$L10:$R10)</f>
        <v>4310</v>
      </c>
      <c r="U10" s="44">
        <v>4213.0</v>
      </c>
      <c r="V10" s="38">
        <f>IF(ABS(Bill!$T10 - Bill!$U10) &gt; 20, 1, 0)</f>
        <v>1</v>
      </c>
      <c r="W10" s="38">
        <f>Bill!$U10-Bill!$T10</f>
        <v>-97</v>
      </c>
      <c r="Y10" s="37">
        <f>'Raw Data'!D12</f>
        <v>45568</v>
      </c>
      <c r="Z10" s="41">
        <v>0.0</v>
      </c>
      <c r="AA10" s="42">
        <v>8.6</v>
      </c>
      <c r="AB10" s="42">
        <v>10.9</v>
      </c>
      <c r="AC10" s="42">
        <v>4.0</v>
      </c>
      <c r="AD10" s="42">
        <v>0.0</v>
      </c>
      <c r="AE10" s="42">
        <v>3.0</v>
      </c>
      <c r="AF10" s="42">
        <v>0.0</v>
      </c>
      <c r="AG10" s="42">
        <v>0.0</v>
      </c>
    </row>
    <row r="11">
      <c r="A11" s="37">
        <f>Bill!$Y11</f>
        <v>45569</v>
      </c>
      <c r="B11" s="43">
        <f>'Raw Data'!E13+Bill!$L$2</f>
        <v>151</v>
      </c>
      <c r="C11" s="43">
        <f>'Raw Data'!E13+Bill!$M$2</f>
        <v>156</v>
      </c>
      <c r="D11" s="43">
        <f>('Raw Data'!$F13*2)-10</f>
        <v>222</v>
      </c>
      <c r="E11" s="43">
        <f>'Raw Data'!F13+Bill!$O$2</f>
        <v>136</v>
      </c>
      <c r="F11" s="43">
        <f>'Raw Data'!F13+Bill!$P$2</f>
        <v>141</v>
      </c>
      <c r="G11" s="43"/>
      <c r="H11" s="43">
        <f>('Raw Data'!F13+Bill!$R$2)</f>
        <v>136</v>
      </c>
      <c r="I11" s="36">
        <f>'Raw Data'!G13/100</f>
        <v>5.6</v>
      </c>
      <c r="K11" s="37">
        <f>Bill!$Y11</f>
        <v>45569</v>
      </c>
      <c r="L11" s="38">
        <f>Bill!$AA11*('Raw Data'!$E13+$L$2)</f>
        <v>906</v>
      </c>
      <c r="M11" s="38">
        <f>Bill!$AB11*('Raw Data'!$E13+$M$2)</f>
        <v>0</v>
      </c>
      <c r="N11" s="38">
        <f>(('Raw Data'!$F13 * 2)-10)*Bill!$AC11</f>
        <v>0</v>
      </c>
      <c r="O11" s="38">
        <f>('Raw Data'!F13+Bill!$O$2)*Bill!$AD11</f>
        <v>0</v>
      </c>
      <c r="P11" s="38">
        <f>('Raw Data'!F13+Bill!$P$2)*Bill!$AE11</f>
        <v>282</v>
      </c>
      <c r="Q11" s="38">
        <f>Bill!$Z11*('Raw Data'!$E13+$Q$2)</f>
        <v>0</v>
      </c>
      <c r="R11" s="38">
        <f>('Raw Data'!F13+Bill!$R$2)*Bill!$AF11</f>
        <v>0</v>
      </c>
      <c r="S11" s="39">
        <f>('Raw Data'!G13/100)*Bill!$AG11</f>
        <v>840</v>
      </c>
      <c r="T11" s="38">
        <f>SUM(Bill!$L11:$R11)</f>
        <v>1188</v>
      </c>
      <c r="U11" s="44">
        <v>1218.0</v>
      </c>
      <c r="V11" s="38">
        <f>IF(ABS(Bill!$T11 - Bill!$U11) &gt; 20, 1, 0)</f>
        <v>1</v>
      </c>
      <c r="W11" s="38">
        <f>Bill!$U11-Bill!$T11</f>
        <v>30</v>
      </c>
      <c r="Y11" s="37">
        <f>'Raw Data'!D13</f>
        <v>45569</v>
      </c>
      <c r="Z11" s="41">
        <v>0.0</v>
      </c>
      <c r="AA11" s="42">
        <v>6.0</v>
      </c>
      <c r="AB11" s="42">
        <v>0.0</v>
      </c>
      <c r="AC11" s="42">
        <v>0.0</v>
      </c>
      <c r="AD11" s="42">
        <v>0.0</v>
      </c>
      <c r="AE11" s="42">
        <v>2.0</v>
      </c>
      <c r="AF11" s="42">
        <v>0.0</v>
      </c>
      <c r="AG11" s="42">
        <v>150.0</v>
      </c>
    </row>
    <row r="12">
      <c r="A12" s="35">
        <f>Bill!$Y12</f>
        <v>45570</v>
      </c>
      <c r="B12" s="36">
        <f>'Raw Data'!E14+Bill!$L$2</f>
        <v>151</v>
      </c>
      <c r="C12" s="36">
        <f>'Raw Data'!E14+Bill!$M$2</f>
        <v>156</v>
      </c>
      <c r="D12" s="36">
        <f>('Raw Data'!$F14*2)-10</f>
        <v>226</v>
      </c>
      <c r="E12" s="36">
        <f>'Raw Data'!F14+Bill!$O$2</f>
        <v>138</v>
      </c>
      <c r="F12" s="36">
        <f>'Raw Data'!F14+Bill!$P$2</f>
        <v>143</v>
      </c>
      <c r="G12" s="36"/>
      <c r="H12" s="36">
        <f>('Raw Data'!F14+Bill!$R$2)</f>
        <v>138</v>
      </c>
      <c r="I12" s="36">
        <f>'Raw Data'!G14/100</f>
        <v>5.6</v>
      </c>
      <c r="K12" s="37">
        <f>Bill!$Y12</f>
        <v>45570</v>
      </c>
      <c r="L12" s="38">
        <f>Bill!$AA12*('Raw Data'!$E14+$L$2)</f>
        <v>868.25</v>
      </c>
      <c r="M12" s="38">
        <f>Bill!$AB12*('Raw Data'!$E14+$M$2)</f>
        <v>491.4</v>
      </c>
      <c r="N12" s="38">
        <f>(('Raw Data'!$F14 * 2)-10)*Bill!$AC12</f>
        <v>1130</v>
      </c>
      <c r="O12" s="38">
        <f>('Raw Data'!F14+Bill!$O$2)*Bill!$AD12</f>
        <v>0</v>
      </c>
      <c r="P12" s="38">
        <f>('Raw Data'!F14+Bill!$P$2)*Bill!$AE12</f>
        <v>0</v>
      </c>
      <c r="Q12" s="38">
        <f>Bill!$Z12*('Raw Data'!$E14+$Q$2)</f>
        <v>0</v>
      </c>
      <c r="R12" s="38">
        <f>('Raw Data'!F14+Bill!$R$2)*Bill!$AF12</f>
        <v>0</v>
      </c>
      <c r="S12" s="39">
        <f>('Raw Data'!G14/100)*Bill!$AG12</f>
        <v>0</v>
      </c>
      <c r="T12" s="38">
        <f>SUM(Bill!$L12:$R12)</f>
        <v>2489.65</v>
      </c>
      <c r="U12" s="44">
        <v>2518.0</v>
      </c>
      <c r="V12" s="38">
        <f>IF(ABS(Bill!$T12 - Bill!$U12) &gt; 20, 1, 0)</f>
        <v>1</v>
      </c>
      <c r="W12" s="38">
        <f>Bill!$U12-Bill!$T12</f>
        <v>28.35</v>
      </c>
      <c r="Y12" s="37">
        <f>'Raw Data'!D14</f>
        <v>45570</v>
      </c>
      <c r="Z12" s="41">
        <v>0.0</v>
      </c>
      <c r="AA12" s="42">
        <v>5.75</v>
      </c>
      <c r="AB12" s="42">
        <v>3.15</v>
      </c>
      <c r="AC12" s="42">
        <v>5.0</v>
      </c>
      <c r="AD12" s="42">
        <v>0.0</v>
      </c>
      <c r="AE12" s="42">
        <v>0.0</v>
      </c>
      <c r="AF12" s="42">
        <v>0.0</v>
      </c>
      <c r="AG12" s="42">
        <v>0.0</v>
      </c>
    </row>
    <row r="13">
      <c r="A13" s="37">
        <f>Bill!$Y13</f>
        <v>45571</v>
      </c>
      <c r="B13" s="43">
        <f>'Raw Data'!E15+Bill!$L$2</f>
        <v>153</v>
      </c>
      <c r="C13" s="43">
        <f>'Raw Data'!E15+Bill!$M$2</f>
        <v>158</v>
      </c>
      <c r="D13" s="43">
        <f>('Raw Data'!$F15*2)-10</f>
        <v>226</v>
      </c>
      <c r="E13" s="43">
        <f>'Raw Data'!F15+Bill!$O$2</f>
        <v>138</v>
      </c>
      <c r="F13" s="43">
        <f>'Raw Data'!F15+Bill!$P$2</f>
        <v>143</v>
      </c>
      <c r="G13" s="43"/>
      <c r="H13" s="43">
        <f>('Raw Data'!F15+Bill!$R$2)</f>
        <v>138</v>
      </c>
      <c r="I13" s="36">
        <f>'Raw Data'!G15/100</f>
        <v>5.6</v>
      </c>
      <c r="K13" s="37">
        <f>Bill!$Y13</f>
        <v>45571</v>
      </c>
      <c r="L13" s="38">
        <f>Bill!$AA13*('Raw Data'!$E15+$L$2)</f>
        <v>1407.6</v>
      </c>
      <c r="M13" s="38">
        <f>Bill!$AB13*('Raw Data'!$E15+$M$2)</f>
        <v>1580</v>
      </c>
      <c r="N13" s="38">
        <f>(('Raw Data'!$F15 * 2)-10)*Bill!$AC13</f>
        <v>904</v>
      </c>
      <c r="O13" s="38">
        <f>('Raw Data'!F15+Bill!$O$2)*Bill!$AD13</f>
        <v>0</v>
      </c>
      <c r="P13" s="38">
        <f>('Raw Data'!F15+Bill!$P$2)*Bill!$AE13</f>
        <v>143</v>
      </c>
      <c r="Q13" s="38">
        <f>Bill!$Z13*('Raw Data'!$E15+$Q$2)</f>
        <v>0</v>
      </c>
      <c r="R13" s="38">
        <f>('Raw Data'!F15+Bill!$R$2)*Bill!$AF13</f>
        <v>414</v>
      </c>
      <c r="S13" s="39">
        <f>('Raw Data'!G15/100)*Bill!$AG13</f>
        <v>0</v>
      </c>
      <c r="T13" s="38">
        <f>SUM(Bill!$L13:$R13)</f>
        <v>4448.6</v>
      </c>
      <c r="U13" s="44">
        <v>4449.0</v>
      </c>
      <c r="V13" s="38">
        <f>IF(ABS(Bill!$T13 - Bill!$U13) &gt; 20, 1, 0)</f>
        <v>0</v>
      </c>
      <c r="W13" s="38">
        <f>Bill!$U13-Bill!$T13</f>
        <v>0.4</v>
      </c>
      <c r="Y13" s="37">
        <f>'Raw Data'!D15</f>
        <v>45571</v>
      </c>
      <c r="Z13" s="41">
        <v>0.0</v>
      </c>
      <c r="AA13" s="42">
        <v>9.2</v>
      </c>
      <c r="AB13" s="42">
        <v>10.0</v>
      </c>
      <c r="AC13" s="42">
        <v>4.0</v>
      </c>
      <c r="AD13" s="42">
        <v>0.0</v>
      </c>
      <c r="AE13" s="42">
        <v>1.0</v>
      </c>
      <c r="AF13" s="42">
        <v>3.0</v>
      </c>
      <c r="AG13" s="42">
        <v>0.0</v>
      </c>
    </row>
    <row r="14">
      <c r="A14" s="35">
        <f>Bill!$Y14</f>
        <v>45572</v>
      </c>
      <c r="B14" s="36">
        <f>'Raw Data'!E16+Bill!$L$2</f>
        <v>153</v>
      </c>
      <c r="C14" s="36">
        <f>'Raw Data'!E16+Bill!$M$2</f>
        <v>158</v>
      </c>
      <c r="D14" s="36">
        <f>('Raw Data'!$F16*2)-10</f>
        <v>226</v>
      </c>
      <c r="E14" s="36">
        <f>'Raw Data'!F16+Bill!$O$2</f>
        <v>138</v>
      </c>
      <c r="F14" s="36">
        <f>'Raw Data'!F16+Bill!$P$2</f>
        <v>143</v>
      </c>
      <c r="G14" s="36"/>
      <c r="H14" s="36">
        <f>('Raw Data'!F16+Bill!$R$2)</f>
        <v>138</v>
      </c>
      <c r="I14" s="36">
        <f>'Raw Data'!G16/100</f>
        <v>5.6</v>
      </c>
      <c r="K14" s="37">
        <f>Bill!$Y14</f>
        <v>45572</v>
      </c>
      <c r="L14" s="38">
        <f>Bill!$AA14*('Raw Data'!$E16+$L$2)</f>
        <v>0</v>
      </c>
      <c r="M14" s="38">
        <f>Bill!$AB14*('Raw Data'!$E16+$M$2)</f>
        <v>474</v>
      </c>
      <c r="N14" s="38">
        <f>(('Raw Data'!$F16 * 2)-10)*Bill!$AC14</f>
        <v>452</v>
      </c>
      <c r="O14" s="38">
        <f>('Raw Data'!F16+Bill!$O$2)*Bill!$AD14</f>
        <v>138</v>
      </c>
      <c r="P14" s="38">
        <f>('Raw Data'!F16+Bill!$P$2)*Bill!$AE14</f>
        <v>0</v>
      </c>
      <c r="Q14" s="38">
        <f>Bill!$Z14*('Raw Data'!$E16+$Q$2)</f>
        <v>0</v>
      </c>
      <c r="R14" s="38">
        <f>('Raw Data'!F16+Bill!$R$2)*Bill!$AF14</f>
        <v>0</v>
      </c>
      <c r="S14" s="39">
        <f>('Raw Data'!G16/100)*Bill!$AG14</f>
        <v>0</v>
      </c>
      <c r="T14" s="38">
        <f>SUM(Bill!$L14:$R14)</f>
        <v>1064</v>
      </c>
      <c r="U14" s="44">
        <v>1064.0</v>
      </c>
      <c r="V14" s="38">
        <f>IF(ABS(Bill!$T14 - Bill!$U14) &gt; 20, 1, 0)</f>
        <v>0</v>
      </c>
      <c r="W14" s="38">
        <f>Bill!$U14-Bill!$T14</f>
        <v>0</v>
      </c>
      <c r="Y14" s="37">
        <f>'Raw Data'!D16</f>
        <v>45572</v>
      </c>
      <c r="Z14" s="41">
        <v>0.0</v>
      </c>
      <c r="AA14" s="42">
        <v>0.0</v>
      </c>
      <c r="AB14" s="42">
        <v>3.0</v>
      </c>
      <c r="AC14" s="42">
        <v>2.0</v>
      </c>
      <c r="AD14" s="42">
        <v>1.0</v>
      </c>
      <c r="AE14" s="42">
        <v>0.0</v>
      </c>
      <c r="AF14" s="42">
        <v>0.0</v>
      </c>
      <c r="AG14" s="42">
        <v>0.0</v>
      </c>
    </row>
    <row r="15">
      <c r="A15" s="37">
        <f>Bill!$Y15</f>
        <v>45573</v>
      </c>
      <c r="B15" s="43">
        <f>'Raw Data'!E17+Bill!$L$2</f>
        <v>153</v>
      </c>
      <c r="C15" s="43">
        <f>'Raw Data'!E17+Bill!$M$2</f>
        <v>158</v>
      </c>
      <c r="D15" s="43">
        <f>('Raw Data'!$F17*2)-10</f>
        <v>226</v>
      </c>
      <c r="E15" s="43">
        <f>'Raw Data'!F17+Bill!$O$2</f>
        <v>138</v>
      </c>
      <c r="F15" s="43">
        <f>'Raw Data'!F17+Bill!$P$2</f>
        <v>143</v>
      </c>
      <c r="G15" s="43"/>
      <c r="H15" s="43">
        <f>('Raw Data'!F17+Bill!$R$2)</f>
        <v>138</v>
      </c>
      <c r="I15" s="36">
        <f>'Raw Data'!G17/100</f>
        <v>5.6</v>
      </c>
      <c r="K15" s="37">
        <f>Bill!$Y15</f>
        <v>45573</v>
      </c>
      <c r="L15" s="38">
        <f>Bill!$AA15*('Raw Data'!$E17+$L$2)</f>
        <v>856.8</v>
      </c>
      <c r="M15" s="38">
        <f>Bill!$AB15*('Raw Data'!$E17+$M$2)</f>
        <v>1264</v>
      </c>
      <c r="N15" s="38">
        <f>(('Raw Data'!$F17 * 2)-10)*Bill!$AC15</f>
        <v>678</v>
      </c>
      <c r="O15" s="38">
        <f>('Raw Data'!F17+Bill!$O$2)*Bill!$AD15</f>
        <v>138</v>
      </c>
      <c r="P15" s="38">
        <f>('Raw Data'!F17+Bill!$P$2)*Bill!$AE15</f>
        <v>0</v>
      </c>
      <c r="Q15" s="38">
        <f>Bill!$Z15*('Raw Data'!$E17+$Q$2)</f>
        <v>0</v>
      </c>
      <c r="R15" s="38">
        <f>('Raw Data'!F17+Bill!$R$2)*Bill!$AF15</f>
        <v>0</v>
      </c>
      <c r="S15" s="39">
        <f>('Raw Data'!G17/100)*Bill!$AG15</f>
        <v>0</v>
      </c>
      <c r="T15" s="38">
        <f>SUM(Bill!$L15:$R15)</f>
        <v>2936.8</v>
      </c>
      <c r="U15" s="44">
        <v>2937.0</v>
      </c>
      <c r="V15" s="38">
        <f>IF(ABS(Bill!$T15 - Bill!$U15) &gt; 20, 1, 0)</f>
        <v>0</v>
      </c>
      <c r="W15" s="38">
        <f>Bill!$U15-Bill!$T15</f>
        <v>0.2</v>
      </c>
      <c r="Y15" s="37">
        <f>'Raw Data'!D17</f>
        <v>45573</v>
      </c>
      <c r="Z15" s="41">
        <v>0.0</v>
      </c>
      <c r="AA15" s="42">
        <v>5.6</v>
      </c>
      <c r="AB15" s="42">
        <v>8.0</v>
      </c>
      <c r="AC15" s="42">
        <v>3.0</v>
      </c>
      <c r="AD15" s="42">
        <v>1.0</v>
      </c>
      <c r="AE15" s="42">
        <v>0.0</v>
      </c>
      <c r="AF15" s="42">
        <v>0.0</v>
      </c>
      <c r="AG15" s="42">
        <v>0.0</v>
      </c>
    </row>
    <row r="16">
      <c r="A16" s="35">
        <f>Bill!$Y16</f>
        <v>45574</v>
      </c>
      <c r="B16" s="43">
        <f>'Raw Data'!E18+Bill!$L$2</f>
        <v>151</v>
      </c>
      <c r="C16" s="43">
        <f>'Raw Data'!E18+Bill!$M$2</f>
        <v>156</v>
      </c>
      <c r="D16" s="43">
        <f>('Raw Data'!$F18*2)-10</f>
        <v>218</v>
      </c>
      <c r="E16" s="43">
        <f>'Raw Data'!F18+Bill!$O$2</f>
        <v>134</v>
      </c>
      <c r="F16" s="43">
        <f>'Raw Data'!F18+Bill!$P$2</f>
        <v>139</v>
      </c>
      <c r="G16" s="43"/>
      <c r="H16" s="43">
        <f>('Raw Data'!F18+Bill!$R$2)</f>
        <v>134</v>
      </c>
      <c r="I16" s="36">
        <f>'Raw Data'!G18/100</f>
        <v>5.6</v>
      </c>
      <c r="K16" s="37">
        <f>Bill!$Y16</f>
        <v>45574</v>
      </c>
      <c r="L16" s="38">
        <f>Bill!$AA16*('Raw Data'!$E18+$L$2)</f>
        <v>0</v>
      </c>
      <c r="M16" s="38">
        <f>Bill!$AB16*('Raw Data'!$E18+$M$2)</f>
        <v>0</v>
      </c>
      <c r="N16" s="38">
        <f>(('Raw Data'!$F18 * 2)-10)*Bill!$AC16</f>
        <v>0</v>
      </c>
      <c r="O16" s="38">
        <f>('Raw Data'!F18+Bill!$O$2)*Bill!$AD16</f>
        <v>0</v>
      </c>
      <c r="P16" s="38">
        <f>('Raw Data'!F18+Bill!$P$2)*Bill!$AE16</f>
        <v>0</v>
      </c>
      <c r="Q16" s="38">
        <f>Bill!$Z16*('Raw Data'!$E18+$Q$2)</f>
        <v>0</v>
      </c>
      <c r="R16" s="38">
        <f>('Raw Data'!F18+Bill!$R$2)*Bill!$AF16</f>
        <v>0</v>
      </c>
      <c r="S16" s="39">
        <f>('Raw Data'!G18/100)*Bill!$AG16</f>
        <v>840</v>
      </c>
      <c r="T16" s="38">
        <f>SUM(Bill!$L16:$R16)</f>
        <v>0</v>
      </c>
      <c r="U16" s="40">
        <v>0.0</v>
      </c>
      <c r="V16" s="38">
        <f>IF(ABS(Bill!$T16 - Bill!$U16) &gt; 20, 1, 0)</f>
        <v>0</v>
      </c>
      <c r="W16" s="38">
        <f>Bill!$U16-Bill!$T16</f>
        <v>0</v>
      </c>
      <c r="Y16" s="37">
        <f>'Raw Data'!D18</f>
        <v>45574</v>
      </c>
      <c r="Z16" s="41">
        <v>0.0</v>
      </c>
      <c r="AA16" s="42">
        <v>0.0</v>
      </c>
      <c r="AB16" s="42">
        <v>0.0</v>
      </c>
      <c r="AC16" s="42">
        <v>0.0</v>
      </c>
      <c r="AD16" s="42">
        <v>0.0</v>
      </c>
      <c r="AE16" s="42">
        <v>0.0</v>
      </c>
      <c r="AF16" s="42">
        <v>0.0</v>
      </c>
      <c r="AG16" s="42">
        <v>150.0</v>
      </c>
    </row>
    <row r="17">
      <c r="A17" s="37">
        <f>Bill!$Y17</f>
        <v>45575</v>
      </c>
      <c r="B17" s="43">
        <f>'Raw Data'!E19+Bill!$L$2</f>
        <v>151</v>
      </c>
      <c r="C17" s="43">
        <f>'Raw Data'!E19+Bill!$M$2</f>
        <v>156</v>
      </c>
      <c r="D17" s="43">
        <f>('Raw Data'!$F19*2)-10</f>
        <v>210</v>
      </c>
      <c r="E17" s="43">
        <f>'Raw Data'!F19+Bill!$O$2</f>
        <v>130</v>
      </c>
      <c r="F17" s="43">
        <f>'Raw Data'!F19+Bill!$P$2</f>
        <v>135</v>
      </c>
      <c r="G17" s="43"/>
      <c r="H17" s="43">
        <f>('Raw Data'!F19+Bill!$R$2)</f>
        <v>130</v>
      </c>
      <c r="I17" s="36">
        <f>'Raw Data'!G19/100</f>
        <v>5.6</v>
      </c>
      <c r="K17" s="37">
        <f>Bill!$Y17</f>
        <v>45575</v>
      </c>
      <c r="L17" s="38">
        <f>Bill!$AA17*('Raw Data'!$E19+$L$2)</f>
        <v>1555.3</v>
      </c>
      <c r="M17" s="38">
        <f>Bill!$AB17*('Raw Data'!$E19+$M$2)</f>
        <v>780</v>
      </c>
      <c r="N17" s="38">
        <f>(('Raw Data'!$F19 * 2)-10)*Bill!$AC17</f>
        <v>1260</v>
      </c>
      <c r="O17" s="38">
        <f>('Raw Data'!F19+Bill!$O$2)*Bill!$AD17</f>
        <v>260</v>
      </c>
      <c r="P17" s="38">
        <f>('Raw Data'!F19+Bill!$P$2)*Bill!$AE17</f>
        <v>0</v>
      </c>
      <c r="Q17" s="38">
        <f>Bill!$Z17*('Raw Data'!$E19+$Q$2)</f>
        <v>0</v>
      </c>
      <c r="R17" s="38">
        <f>('Raw Data'!F19+Bill!$R$2)*Bill!$AF17</f>
        <v>0</v>
      </c>
      <c r="S17" s="39">
        <f>('Raw Data'!G19/100)*Bill!$AG17</f>
        <v>0</v>
      </c>
      <c r="T17" s="38">
        <f>SUM(Bill!$L17:$R17)</f>
        <v>3855.3</v>
      </c>
      <c r="U17" s="40">
        <v>3868.0</v>
      </c>
      <c r="V17" s="38">
        <f>IF(ABS(Bill!$T17 - Bill!$U17) &gt; 20, 1, 0)</f>
        <v>0</v>
      </c>
      <c r="W17" s="38">
        <f>Bill!$U17-Bill!$T17</f>
        <v>12.7</v>
      </c>
      <c r="Y17" s="37">
        <f>'Raw Data'!D19</f>
        <v>45575</v>
      </c>
      <c r="Z17" s="41">
        <v>0.0</v>
      </c>
      <c r="AA17" s="41">
        <v>10.3</v>
      </c>
      <c r="AB17" s="41">
        <v>5.0</v>
      </c>
      <c r="AC17" s="41">
        <v>6.0</v>
      </c>
      <c r="AD17" s="41">
        <v>2.0</v>
      </c>
      <c r="AE17" s="41">
        <v>0.0</v>
      </c>
      <c r="AF17" s="41">
        <v>0.0</v>
      </c>
      <c r="AG17" s="41">
        <v>0.0</v>
      </c>
    </row>
    <row r="18">
      <c r="A18" s="35">
        <f>Bill!$Y18</f>
        <v>45576</v>
      </c>
      <c r="B18" s="43">
        <f>'Raw Data'!E20+Bill!$L$2</f>
        <v>151</v>
      </c>
      <c r="C18" s="43">
        <f>'Raw Data'!E20+Bill!$M$2</f>
        <v>156</v>
      </c>
      <c r="D18" s="43">
        <f>('Raw Data'!$F20*2)-10</f>
        <v>210</v>
      </c>
      <c r="E18" s="43">
        <f>'Raw Data'!F20+Bill!$O$2</f>
        <v>130</v>
      </c>
      <c r="F18" s="43">
        <f>'Raw Data'!F20+Bill!$P$2</f>
        <v>135</v>
      </c>
      <c r="G18" s="43"/>
      <c r="H18" s="43">
        <f>('Raw Data'!F20+Bill!$R$2)</f>
        <v>130</v>
      </c>
      <c r="I18" s="36">
        <f>'Raw Data'!G20/100</f>
        <v>5.6</v>
      </c>
      <c r="K18" s="37">
        <f>Bill!$Y18</f>
        <v>45576</v>
      </c>
      <c r="L18" s="38">
        <f>Bill!$AA18*('Raw Data'!$E20+$L$2)</f>
        <v>1162.7</v>
      </c>
      <c r="M18" s="38">
        <f>Bill!$AB18*('Raw Data'!$E20+$M$2)</f>
        <v>1248</v>
      </c>
      <c r="N18" s="38">
        <f>(('Raw Data'!$F20 * 2)-10)*Bill!$AC18</f>
        <v>840</v>
      </c>
      <c r="O18" s="38">
        <f>('Raw Data'!F20+Bill!$O$2)*Bill!$AD18</f>
        <v>0</v>
      </c>
      <c r="P18" s="38">
        <f>('Raw Data'!F20+Bill!$P$2)*Bill!$AE18</f>
        <v>0</v>
      </c>
      <c r="Q18" s="38">
        <f>Bill!$Z18*('Raw Data'!$E20+$Q$2)</f>
        <v>0</v>
      </c>
      <c r="R18" s="38">
        <f>('Raw Data'!F20+Bill!$R$2)*Bill!$AF18</f>
        <v>0</v>
      </c>
      <c r="S18" s="39">
        <f>('Raw Data'!G20/100)*Bill!$AG18</f>
        <v>0</v>
      </c>
      <c r="T18" s="38">
        <f>SUM(Bill!$L18:$R18)</f>
        <v>3250.7</v>
      </c>
      <c r="U18" s="40">
        <v>3251.0</v>
      </c>
      <c r="V18" s="38">
        <f>IF(ABS(Bill!$T18 - Bill!$U18) &gt; 20, 1, 0)</f>
        <v>0</v>
      </c>
      <c r="W18" s="38">
        <f>Bill!$U18-Bill!$T18</f>
        <v>0.3</v>
      </c>
      <c r="Y18" s="37">
        <f>'Raw Data'!D20</f>
        <v>45576</v>
      </c>
      <c r="Z18" s="41">
        <v>0.0</v>
      </c>
      <c r="AA18" s="41">
        <v>7.7</v>
      </c>
      <c r="AB18" s="41">
        <v>8.0</v>
      </c>
      <c r="AC18" s="41">
        <v>4.0</v>
      </c>
      <c r="AD18" s="41">
        <v>0.0</v>
      </c>
      <c r="AE18" s="41">
        <v>0.0</v>
      </c>
      <c r="AF18" s="41">
        <v>0.0</v>
      </c>
      <c r="AG18" s="41">
        <v>0.0</v>
      </c>
    </row>
    <row r="19">
      <c r="A19" s="37">
        <f>Bill!$Y19</f>
        <v>45577</v>
      </c>
      <c r="B19" s="43">
        <f>'Raw Data'!E21+Bill!$L$2</f>
        <v>153</v>
      </c>
      <c r="C19" s="43">
        <f>'Raw Data'!E21+Bill!$M$2</f>
        <v>158</v>
      </c>
      <c r="D19" s="43">
        <f>('Raw Data'!$F21*2)-10</f>
        <v>222</v>
      </c>
      <c r="E19" s="43">
        <f>'Raw Data'!F21+Bill!$O$2</f>
        <v>136</v>
      </c>
      <c r="F19" s="43">
        <f>'Raw Data'!F21+Bill!$P$2</f>
        <v>141</v>
      </c>
      <c r="G19" s="43"/>
      <c r="H19" s="43">
        <f>('Raw Data'!F21+Bill!$R$2)</f>
        <v>136</v>
      </c>
      <c r="I19" s="36">
        <f>'Raw Data'!G21/100</f>
        <v>5.6</v>
      </c>
      <c r="K19" s="37">
        <f>Bill!$Y19</f>
        <v>45577</v>
      </c>
      <c r="L19" s="38">
        <f>Bill!$AA19*('Raw Data'!$E21+$L$2)</f>
        <v>2356.2</v>
      </c>
      <c r="M19" s="38">
        <f>Bill!$AB19*('Raw Data'!$E21+$M$2)</f>
        <v>1580</v>
      </c>
      <c r="N19" s="38">
        <f>(('Raw Data'!$F21 * 2)-10)*Bill!$AC19</f>
        <v>666</v>
      </c>
      <c r="O19" s="38">
        <f>('Raw Data'!F21+Bill!$O$2)*Bill!$AD19</f>
        <v>136</v>
      </c>
      <c r="P19" s="38">
        <f>('Raw Data'!F21+Bill!$P$2)*Bill!$AE19</f>
        <v>0</v>
      </c>
      <c r="Q19" s="38">
        <f>Bill!$Z19*('Raw Data'!$E21+$Q$2)</f>
        <v>0</v>
      </c>
      <c r="R19" s="38">
        <f>('Raw Data'!F21+Bill!$R$2)*Bill!$AF19</f>
        <v>0</v>
      </c>
      <c r="S19" s="39">
        <f>('Raw Data'!G21/100)*Bill!$AG19</f>
        <v>840</v>
      </c>
      <c r="T19" s="38">
        <f>SUM(Bill!$L19:$R19)</f>
        <v>4738.2</v>
      </c>
      <c r="U19" s="40">
        <v>4738.0</v>
      </c>
      <c r="V19" s="38">
        <f>IF(ABS(Bill!$T19 - Bill!$U19) &gt; 20, 1, 0)</f>
        <v>0</v>
      </c>
      <c r="W19" s="38">
        <f>Bill!$U19-Bill!$T19</f>
        <v>-0.2</v>
      </c>
      <c r="Y19" s="37">
        <f>'Raw Data'!D21</f>
        <v>45577</v>
      </c>
      <c r="Z19" s="41">
        <v>0.0</v>
      </c>
      <c r="AA19" s="41">
        <v>15.4</v>
      </c>
      <c r="AB19" s="41">
        <v>10.0</v>
      </c>
      <c r="AC19" s="41">
        <v>3.0</v>
      </c>
      <c r="AD19" s="41">
        <v>1.0</v>
      </c>
      <c r="AE19" s="41">
        <v>0.0</v>
      </c>
      <c r="AF19" s="41">
        <v>0.0</v>
      </c>
      <c r="AG19" s="41">
        <v>150.0</v>
      </c>
    </row>
    <row r="20">
      <c r="A20" s="35">
        <f>Bill!$Y20</f>
        <v>45578</v>
      </c>
      <c r="B20" s="43">
        <f>'Raw Data'!E22+Bill!$L$2</f>
        <v>156</v>
      </c>
      <c r="C20" s="43">
        <f>'Raw Data'!E22+Bill!$M$2</f>
        <v>161</v>
      </c>
      <c r="D20" s="43">
        <f>('Raw Data'!$F22*2)-10</f>
        <v>244</v>
      </c>
      <c r="E20" s="43">
        <f>'Raw Data'!F22+Bill!$O$2</f>
        <v>147</v>
      </c>
      <c r="F20" s="43">
        <f>'Raw Data'!F22+Bill!$P$2</f>
        <v>152</v>
      </c>
      <c r="G20" s="43"/>
      <c r="H20" s="43">
        <f>('Raw Data'!F22+Bill!$R$2)</f>
        <v>147</v>
      </c>
      <c r="I20" s="36">
        <f>'Raw Data'!G22/100</f>
        <v>5.6</v>
      </c>
      <c r="K20" s="37">
        <f>Bill!$Y20</f>
        <v>45578</v>
      </c>
      <c r="L20" s="38">
        <f>Bill!$AA20*('Raw Data'!$E22+$L$2)</f>
        <v>2028</v>
      </c>
      <c r="M20" s="38">
        <f>Bill!$AB20*('Raw Data'!$E22+$M$2)</f>
        <v>1288</v>
      </c>
      <c r="N20" s="38">
        <f>(('Raw Data'!$F22 * 2)-10)*Bill!$AC20</f>
        <v>1220</v>
      </c>
      <c r="O20" s="38">
        <f>('Raw Data'!F22+Bill!$O$2)*Bill!$AD20</f>
        <v>294</v>
      </c>
      <c r="P20" s="38">
        <f>('Raw Data'!F22+Bill!$P$2)*Bill!$AE20</f>
        <v>0</v>
      </c>
      <c r="Q20" s="38">
        <f>Bill!$Z20*('Raw Data'!$E22+$Q$2)</f>
        <v>0</v>
      </c>
      <c r="R20" s="38">
        <f>('Raw Data'!F22+Bill!$R$2)*Bill!$AF20</f>
        <v>0</v>
      </c>
      <c r="S20" s="39">
        <f>('Raw Data'!G22/100)*Bill!$AG20</f>
        <v>0</v>
      </c>
      <c r="T20" s="38">
        <f>SUM(Bill!$L20:$R20)</f>
        <v>4830</v>
      </c>
      <c r="U20" s="40">
        <v>4840.0</v>
      </c>
      <c r="V20" s="38">
        <f>IF(ABS(Bill!$T20 - Bill!$U20) &gt; 20, 1, 0)</f>
        <v>0</v>
      </c>
      <c r="W20" s="38">
        <f>Bill!$U20-Bill!$T20</f>
        <v>10</v>
      </c>
      <c r="Y20" s="37">
        <f>'Raw Data'!D22</f>
        <v>45578</v>
      </c>
      <c r="Z20" s="41">
        <v>0.0</v>
      </c>
      <c r="AA20" s="41">
        <v>13.0</v>
      </c>
      <c r="AB20" s="41">
        <v>8.0</v>
      </c>
      <c r="AC20" s="41">
        <v>5.0</v>
      </c>
      <c r="AD20" s="41">
        <v>2.0</v>
      </c>
      <c r="AE20" s="41">
        <v>0.0</v>
      </c>
      <c r="AF20" s="41">
        <v>0.0</v>
      </c>
      <c r="AG20" s="41">
        <v>0.0</v>
      </c>
    </row>
    <row r="21" ht="15.75" customHeight="1">
      <c r="A21" s="37">
        <f>Bill!$Y21</f>
        <v>45579</v>
      </c>
      <c r="B21" s="43">
        <f>'Raw Data'!E23+Bill!$L$2</f>
        <v>158</v>
      </c>
      <c r="C21" s="43">
        <f>'Raw Data'!E23+Bill!$M$2</f>
        <v>163</v>
      </c>
      <c r="D21" s="43">
        <f>('Raw Data'!$F23*2)-10</f>
        <v>244</v>
      </c>
      <c r="E21" s="43">
        <f>'Raw Data'!F23+Bill!$O$2</f>
        <v>147</v>
      </c>
      <c r="F21" s="43">
        <f>'Raw Data'!F23+Bill!$P$2</f>
        <v>152</v>
      </c>
      <c r="G21" s="43"/>
      <c r="H21" s="43">
        <f>('Raw Data'!F23+Bill!$R$2)</f>
        <v>147</v>
      </c>
      <c r="I21" s="36">
        <f>'Raw Data'!G23/100</f>
        <v>5.62</v>
      </c>
      <c r="K21" s="37">
        <f>Bill!$Y21</f>
        <v>45579</v>
      </c>
      <c r="L21" s="38">
        <f>Bill!$AA21*('Raw Data'!$E23+$L$2)</f>
        <v>2528</v>
      </c>
      <c r="M21" s="38">
        <f>Bill!$AB21*('Raw Data'!$E23+$M$2)</f>
        <v>3260</v>
      </c>
      <c r="N21" s="38">
        <f>(('Raw Data'!$F23 * 2)-10)*Bill!$AC21</f>
        <v>1464</v>
      </c>
      <c r="O21" s="38">
        <f>('Raw Data'!F23+Bill!$O$2)*Bill!$AD21</f>
        <v>441</v>
      </c>
      <c r="P21" s="38">
        <f>('Raw Data'!F23+Bill!$P$2)*Bill!$AE21</f>
        <v>456</v>
      </c>
      <c r="Q21" s="38">
        <f>Bill!$Z21*('Raw Data'!$E23+$Q$2)</f>
        <v>0</v>
      </c>
      <c r="R21" s="38">
        <f>('Raw Data'!F23+Bill!$R$2)*Bill!$AF21</f>
        <v>0</v>
      </c>
      <c r="S21" s="39">
        <f>('Raw Data'!G23/100)*Bill!$AG21</f>
        <v>843</v>
      </c>
      <c r="T21" s="38">
        <f>SUM(Bill!$L21:$R21)</f>
        <v>8149</v>
      </c>
      <c r="U21" s="40">
        <v>8149.0</v>
      </c>
      <c r="V21" s="38">
        <f>IF(ABS(Bill!$T21 - Bill!$U21) &gt; 20, 1, 0)</f>
        <v>0</v>
      </c>
      <c r="W21" s="38">
        <f>Bill!$U21-Bill!$T21</f>
        <v>0</v>
      </c>
      <c r="Y21" s="37">
        <f>'Raw Data'!D23</f>
        <v>45579</v>
      </c>
      <c r="Z21" s="41">
        <v>0.0</v>
      </c>
      <c r="AA21" s="41">
        <v>16.0</v>
      </c>
      <c r="AB21" s="41">
        <v>20.0</v>
      </c>
      <c r="AC21" s="41">
        <v>6.0</v>
      </c>
      <c r="AD21" s="41">
        <v>3.0</v>
      </c>
      <c r="AE21" s="41">
        <v>3.0</v>
      </c>
      <c r="AF21" s="41">
        <v>0.0</v>
      </c>
      <c r="AG21" s="41">
        <v>150.0</v>
      </c>
    </row>
    <row r="22" ht="15.75" customHeight="1">
      <c r="A22" s="35">
        <f>Bill!$Y22</f>
        <v>45580</v>
      </c>
      <c r="B22" s="43">
        <f>'Raw Data'!E24+Bill!$L$2</f>
        <v>160</v>
      </c>
      <c r="C22" s="43">
        <f>'Raw Data'!E24+Bill!$M$2</f>
        <v>165</v>
      </c>
      <c r="D22" s="43">
        <f>('Raw Data'!$F24*2)-10</f>
        <v>244</v>
      </c>
      <c r="E22" s="43">
        <f>'Raw Data'!F24+Bill!$O$2</f>
        <v>147</v>
      </c>
      <c r="F22" s="43">
        <f>'Raw Data'!F24+Bill!$P$2</f>
        <v>152</v>
      </c>
      <c r="G22" s="43"/>
      <c r="H22" s="43">
        <f>('Raw Data'!F24+Bill!$R$2)</f>
        <v>147</v>
      </c>
      <c r="I22" s="36">
        <f>'Raw Data'!G24/100</f>
        <v>5.64</v>
      </c>
      <c r="K22" s="37">
        <f>Bill!$Y22</f>
        <v>45580</v>
      </c>
      <c r="L22" s="38">
        <f>Bill!$AA22*('Raw Data'!$E24+$L$2)</f>
        <v>0</v>
      </c>
      <c r="M22" s="38">
        <f>Bill!$AB22*('Raw Data'!$E24+$M$2)</f>
        <v>495</v>
      </c>
      <c r="N22" s="38">
        <f>(('Raw Data'!$F24 * 2)-10)*Bill!$AC22</f>
        <v>976</v>
      </c>
      <c r="O22" s="38">
        <f>('Raw Data'!F24+Bill!$O$2)*Bill!$AD22</f>
        <v>0</v>
      </c>
      <c r="P22" s="38">
        <f>('Raw Data'!F24+Bill!$P$2)*Bill!$AE22</f>
        <v>456</v>
      </c>
      <c r="Q22" s="38">
        <f>Bill!$Z22*('Raw Data'!$E24+$Q$2)</f>
        <v>0</v>
      </c>
      <c r="R22" s="38">
        <f>('Raw Data'!F24+Bill!$R$2)*Bill!$AF22</f>
        <v>0</v>
      </c>
      <c r="S22" s="39">
        <f>('Raw Data'!G24/100)*Bill!$AG22</f>
        <v>0</v>
      </c>
      <c r="T22" s="38">
        <f>SUM(Bill!$L22:$R22)</f>
        <v>1927</v>
      </c>
      <c r="U22" s="40">
        <v>1927.0</v>
      </c>
      <c r="V22" s="38">
        <f>IF(ABS(Bill!$T22 - Bill!$U22) &gt; 20, 1, 0)</f>
        <v>0</v>
      </c>
      <c r="W22" s="38">
        <f>Bill!$U22-Bill!$T22</f>
        <v>0</v>
      </c>
      <c r="Y22" s="37">
        <f>'Raw Data'!D24</f>
        <v>45580</v>
      </c>
      <c r="Z22" s="41">
        <v>0.0</v>
      </c>
      <c r="AA22" s="41">
        <v>0.0</v>
      </c>
      <c r="AB22" s="41">
        <v>3.0</v>
      </c>
      <c r="AC22" s="41">
        <v>4.0</v>
      </c>
      <c r="AD22" s="41">
        <v>0.0</v>
      </c>
      <c r="AE22" s="41">
        <v>3.0</v>
      </c>
      <c r="AF22" s="41">
        <v>0.0</v>
      </c>
      <c r="AG22" s="41">
        <v>0.0</v>
      </c>
    </row>
    <row r="23" ht="15.75" customHeight="1">
      <c r="A23" s="37">
        <f>Bill!$Y23</f>
        <v>45581</v>
      </c>
      <c r="B23" s="43">
        <f>'Raw Data'!E25+Bill!$L$2</f>
        <v>160</v>
      </c>
      <c r="C23" s="43">
        <f>'Raw Data'!E25+Bill!$M$2</f>
        <v>165</v>
      </c>
      <c r="D23" s="43">
        <f>('Raw Data'!$F25*2)-10</f>
        <v>244</v>
      </c>
      <c r="E23" s="43">
        <f>'Raw Data'!F25+Bill!$O$2</f>
        <v>147</v>
      </c>
      <c r="F23" s="43">
        <f>'Raw Data'!F25+Bill!$P$2</f>
        <v>152</v>
      </c>
      <c r="G23" s="43"/>
      <c r="H23" s="43">
        <f>('Raw Data'!F25+Bill!$R$2)</f>
        <v>147</v>
      </c>
      <c r="I23" s="36">
        <f>'Raw Data'!G25/100</f>
        <v>5.64</v>
      </c>
      <c r="K23" s="37">
        <f>Bill!$Y23</f>
        <v>45581</v>
      </c>
      <c r="L23" s="38">
        <f>Bill!$AA23*('Raw Data'!$E25+$L$2)</f>
        <v>880</v>
      </c>
      <c r="M23" s="38">
        <f>Bill!$AB23*('Raw Data'!$E25+$M$2)</f>
        <v>1980</v>
      </c>
      <c r="N23" s="38">
        <f>(('Raw Data'!$F25 * 2)-10)*Bill!$AC23</f>
        <v>976</v>
      </c>
      <c r="O23" s="38">
        <f>('Raw Data'!F25+Bill!$O$2)*Bill!$AD23</f>
        <v>0</v>
      </c>
      <c r="P23" s="38">
        <f>('Raw Data'!F25+Bill!$P$2)*Bill!$AE23</f>
        <v>0</v>
      </c>
      <c r="Q23" s="38">
        <f>Bill!$Z23*('Raw Data'!$E25+$Q$2)</f>
        <v>0</v>
      </c>
      <c r="R23" s="38">
        <f>('Raw Data'!F25+Bill!$R$2)*Bill!$AF23</f>
        <v>0</v>
      </c>
      <c r="S23" s="39">
        <f>('Raw Data'!G25/100)*Bill!$AG23</f>
        <v>0</v>
      </c>
      <c r="T23" s="38">
        <f>SUM(Bill!$L23:$R23)</f>
        <v>3836</v>
      </c>
      <c r="U23" s="40">
        <v>3836.0</v>
      </c>
      <c r="V23" s="38">
        <f>IF(ABS(Bill!$T23 - Bill!$U23) &gt; 20, 1, 0)</f>
        <v>0</v>
      </c>
      <c r="W23" s="38">
        <f>Bill!$U23-Bill!$T23</f>
        <v>0</v>
      </c>
      <c r="Y23" s="37">
        <f>'Raw Data'!D25</f>
        <v>45581</v>
      </c>
      <c r="Z23" s="41">
        <v>0.0</v>
      </c>
      <c r="AA23" s="41">
        <v>5.5</v>
      </c>
      <c r="AB23" s="41">
        <v>12.0</v>
      </c>
      <c r="AC23" s="41">
        <v>4.0</v>
      </c>
      <c r="AD23" s="41">
        <v>0.0</v>
      </c>
      <c r="AE23" s="41">
        <v>0.0</v>
      </c>
      <c r="AF23" s="41">
        <v>0.0</v>
      </c>
      <c r="AG23" s="41">
        <v>0.0</v>
      </c>
    </row>
    <row r="24" ht="15.75" customHeight="1">
      <c r="A24" s="35">
        <f>Bill!$Y24</f>
        <v>45582</v>
      </c>
      <c r="B24" s="43">
        <f>'Raw Data'!E26+Bill!$L$2</f>
        <v>160</v>
      </c>
      <c r="C24" s="43">
        <f>'Raw Data'!E26+Bill!$M$2</f>
        <v>165</v>
      </c>
      <c r="D24" s="43">
        <f>('Raw Data'!$F26*2)-10</f>
        <v>244</v>
      </c>
      <c r="E24" s="43">
        <f>'Raw Data'!F26+Bill!$O$2</f>
        <v>147</v>
      </c>
      <c r="F24" s="43">
        <f>'Raw Data'!F26+Bill!$P$2</f>
        <v>152</v>
      </c>
      <c r="G24" s="43"/>
      <c r="H24" s="43">
        <f>('Raw Data'!F26+Bill!$R$2)</f>
        <v>147</v>
      </c>
      <c r="I24" s="36">
        <f>'Raw Data'!G26/100</f>
        <v>5.64</v>
      </c>
      <c r="K24" s="37">
        <f>Bill!$Y24</f>
        <v>45582</v>
      </c>
      <c r="L24" s="38">
        <f>Bill!$AA24*('Raw Data'!$E26+$L$2)</f>
        <v>2496</v>
      </c>
      <c r="M24" s="38">
        <f>Bill!$AB24*('Raw Data'!$E26+$M$2)</f>
        <v>2475</v>
      </c>
      <c r="N24" s="38">
        <f>(('Raw Data'!$F26 * 2)-10)*Bill!$AC24</f>
        <v>1464</v>
      </c>
      <c r="O24" s="38">
        <f>('Raw Data'!F26+Bill!$O$2)*Bill!$AD24</f>
        <v>147</v>
      </c>
      <c r="P24" s="38">
        <f>('Raw Data'!F26+Bill!$P$2)*Bill!$AE24</f>
        <v>304</v>
      </c>
      <c r="Q24" s="38">
        <f>Bill!$Z24*('Raw Data'!$E26+$Q$2)</f>
        <v>0</v>
      </c>
      <c r="R24" s="38">
        <f>('Raw Data'!F26+Bill!$R$2)*Bill!$AF24</f>
        <v>0</v>
      </c>
      <c r="S24" s="39">
        <f>('Raw Data'!G26/100)*Bill!$AG24</f>
        <v>846</v>
      </c>
      <c r="T24" s="38">
        <f>SUM(Bill!$L24:$R24)</f>
        <v>6886</v>
      </c>
      <c r="U24" s="40">
        <v>6886.0</v>
      </c>
      <c r="V24" s="38">
        <f>IF(ABS(Bill!$T24 - Bill!$U24) &gt; 20, 1, 0)</f>
        <v>0</v>
      </c>
      <c r="W24" s="38">
        <f>Bill!$U24-Bill!$T24</f>
        <v>0</v>
      </c>
      <c r="Y24" s="37">
        <f>'Raw Data'!D26</f>
        <v>45582</v>
      </c>
      <c r="Z24" s="41">
        <v>0.0</v>
      </c>
      <c r="AA24" s="41">
        <v>15.6</v>
      </c>
      <c r="AB24" s="41">
        <v>15.0</v>
      </c>
      <c r="AC24" s="41">
        <v>6.0</v>
      </c>
      <c r="AD24" s="41">
        <v>1.0</v>
      </c>
      <c r="AE24" s="41">
        <v>2.0</v>
      </c>
      <c r="AF24" s="41">
        <v>0.0</v>
      </c>
      <c r="AG24" s="41">
        <v>150.0</v>
      </c>
    </row>
    <row r="25" ht="15.75" customHeight="1">
      <c r="A25" s="35">
        <f>Bill!$Y25</f>
        <v>45583</v>
      </c>
      <c r="B25" s="43">
        <f>'Raw Data'!E27+Bill!$L$2</f>
        <v>162</v>
      </c>
      <c r="C25" s="43">
        <f>'Raw Data'!E27+Bill!$M$2</f>
        <v>167</v>
      </c>
      <c r="D25" s="43">
        <f>('Raw Data'!$F27*2)-10</f>
        <v>248</v>
      </c>
      <c r="E25" s="43">
        <f>'Raw Data'!F27+Bill!$O$2</f>
        <v>149</v>
      </c>
      <c r="F25" s="43">
        <f>'Raw Data'!F27+Bill!$P$2</f>
        <v>154</v>
      </c>
      <c r="G25" s="43"/>
      <c r="H25" s="43">
        <f>('Raw Data'!F27+Bill!$R$2)</f>
        <v>149</v>
      </c>
      <c r="I25" s="36">
        <f>'Raw Data'!G27/100</f>
        <v>5.64</v>
      </c>
      <c r="K25" s="37">
        <f>Bill!$Y25</f>
        <v>45583</v>
      </c>
      <c r="L25" s="38">
        <f>Bill!$AA25*('Raw Data'!$E27+$L$2)</f>
        <v>1360.8</v>
      </c>
      <c r="M25" s="38">
        <f>Bill!$AB25*('Raw Data'!$E27+$M$2)</f>
        <v>1670</v>
      </c>
      <c r="N25" s="38">
        <f>(('Raw Data'!$F27 * 2)-10)*Bill!$AC25</f>
        <v>1488</v>
      </c>
      <c r="O25" s="38">
        <f>('Raw Data'!F27+Bill!$O$2)*Bill!$AD25</f>
        <v>298</v>
      </c>
      <c r="P25" s="38">
        <f>('Raw Data'!F27+Bill!$P$2)*Bill!$AE25</f>
        <v>0</v>
      </c>
      <c r="Q25" s="38">
        <f>Bill!$Z25*('Raw Data'!$E27+$Q$2)</f>
        <v>0</v>
      </c>
      <c r="R25" s="38">
        <f>('Raw Data'!F27+Bill!$R$2)*Bill!$AF25</f>
        <v>0</v>
      </c>
      <c r="S25" s="39">
        <f>('Raw Data'!G27/100)*Bill!$AG25</f>
        <v>0</v>
      </c>
      <c r="T25" s="38">
        <f>SUM(Bill!$L25:$R25)</f>
        <v>4816.8</v>
      </c>
      <c r="U25" s="40">
        <v>4817.0</v>
      </c>
      <c r="V25" s="38">
        <f>IF(ABS(Bill!$T25 - Bill!$U25) &gt; 20, 1, 0)</f>
        <v>0</v>
      </c>
      <c r="W25" s="38">
        <f>Bill!$U25-Bill!$T25</f>
        <v>0.2</v>
      </c>
      <c r="Y25" s="37">
        <f>'Raw Data'!D27</f>
        <v>45583</v>
      </c>
      <c r="Z25" s="41">
        <v>0.0</v>
      </c>
      <c r="AA25" s="41">
        <v>8.4</v>
      </c>
      <c r="AB25" s="41">
        <v>10.0</v>
      </c>
      <c r="AC25" s="41">
        <v>6.0</v>
      </c>
      <c r="AD25" s="41">
        <v>2.0</v>
      </c>
      <c r="AE25" s="41">
        <v>0.0</v>
      </c>
      <c r="AF25" s="41">
        <v>0.0</v>
      </c>
      <c r="AG25" s="41">
        <v>0.0</v>
      </c>
    </row>
    <row r="26" ht="15.75" customHeight="1">
      <c r="A26" s="35">
        <f>Bill!$Y26</f>
        <v>45584</v>
      </c>
      <c r="B26" s="43">
        <f>'Raw Data'!E28+Bill!$L$2</f>
        <v>162</v>
      </c>
      <c r="C26" s="43">
        <f>'Raw Data'!E28+Bill!$M$2</f>
        <v>167</v>
      </c>
      <c r="D26" s="43">
        <f>('Raw Data'!$F28*2)-10</f>
        <v>248</v>
      </c>
      <c r="E26" s="43">
        <f>'Raw Data'!F28+Bill!$O$2</f>
        <v>149</v>
      </c>
      <c r="F26" s="43">
        <f>'Raw Data'!F28+Bill!$P$2</f>
        <v>154</v>
      </c>
      <c r="G26" s="43"/>
      <c r="H26" s="43">
        <f>('Raw Data'!F28+Bill!$R$2)</f>
        <v>149</v>
      </c>
      <c r="I26" s="36">
        <f>'Raw Data'!G28/100</f>
        <v>5.64</v>
      </c>
      <c r="K26" s="37">
        <f>Bill!$Y26</f>
        <v>45584</v>
      </c>
      <c r="L26" s="38">
        <f>Bill!$AA26*('Raw Data'!$E28+$L$2)</f>
        <v>2575.8</v>
      </c>
      <c r="M26" s="38">
        <f>Bill!$AB26*('Raw Data'!$E28+$M$2)</f>
        <v>2505</v>
      </c>
      <c r="N26" s="38">
        <f>(('Raw Data'!$F28 * 2)-10)*Bill!$AC26</f>
        <v>1488</v>
      </c>
      <c r="O26" s="38">
        <f>('Raw Data'!F28+Bill!$O$2)*Bill!$AD26</f>
        <v>0</v>
      </c>
      <c r="P26" s="38">
        <f>('Raw Data'!F28+Bill!$P$2)*Bill!$AE26</f>
        <v>154</v>
      </c>
      <c r="Q26" s="38">
        <f>Bill!$Z26*('Raw Data'!$E28+$Q$2)</f>
        <v>0</v>
      </c>
      <c r="R26" s="38">
        <f>('Raw Data'!F28+Bill!$R$2)*Bill!$AF26</f>
        <v>0</v>
      </c>
      <c r="S26" s="39">
        <f>('Raw Data'!G28/100)*Bill!$AG26</f>
        <v>846</v>
      </c>
      <c r="T26" s="38">
        <f>SUM(Bill!$L26:$R26)</f>
        <v>6722.8</v>
      </c>
      <c r="U26" s="40">
        <v>6723.0</v>
      </c>
      <c r="V26" s="38">
        <f>IF(ABS(Bill!$T26 - Bill!$U26) &gt; 20, 1, 0)</f>
        <v>0</v>
      </c>
      <c r="W26" s="38">
        <f>Bill!$U26-Bill!$T26</f>
        <v>0.2</v>
      </c>
      <c r="Y26" s="37">
        <f>'Raw Data'!D28</f>
        <v>45584</v>
      </c>
      <c r="Z26" s="41">
        <v>0.0</v>
      </c>
      <c r="AA26" s="41">
        <v>15.9</v>
      </c>
      <c r="AB26" s="41">
        <v>15.0</v>
      </c>
      <c r="AC26" s="41">
        <v>6.0</v>
      </c>
      <c r="AD26" s="41">
        <v>0.0</v>
      </c>
      <c r="AE26" s="41">
        <v>1.0</v>
      </c>
      <c r="AF26" s="41">
        <v>0.0</v>
      </c>
      <c r="AG26" s="41">
        <v>150.0</v>
      </c>
    </row>
    <row r="27" ht="15.75" customHeight="1">
      <c r="A27" s="35">
        <f>Bill!$Y27</f>
        <v>45585</v>
      </c>
      <c r="B27" s="43">
        <f>'Raw Data'!E29+Bill!$L$2</f>
        <v>162</v>
      </c>
      <c r="C27" s="43">
        <f>'Raw Data'!E29+Bill!$M$2</f>
        <v>167</v>
      </c>
      <c r="D27" s="43">
        <f>('Raw Data'!$F29*2)-10</f>
        <v>250</v>
      </c>
      <c r="E27" s="43">
        <f>'Raw Data'!F29+Bill!$O$2</f>
        <v>150</v>
      </c>
      <c r="F27" s="43">
        <f>'Raw Data'!F29+Bill!$P$2</f>
        <v>155</v>
      </c>
      <c r="G27" s="43"/>
      <c r="H27" s="43">
        <f>('Raw Data'!F29+Bill!$R$2)</f>
        <v>150</v>
      </c>
      <c r="I27" s="36">
        <f>'Raw Data'!G29/100</f>
        <v>5.65</v>
      </c>
      <c r="K27" s="37">
        <f>Bill!$Y27</f>
        <v>45585</v>
      </c>
      <c r="L27" s="38">
        <f>Bill!$AA27*('Raw Data'!$E29+$L$2)</f>
        <v>2106</v>
      </c>
      <c r="M27" s="38">
        <f>Bill!$AB27*('Raw Data'!$E29+$M$2)</f>
        <v>2505</v>
      </c>
      <c r="N27" s="38">
        <f>(('Raw Data'!$F29 * 2)-10)*Bill!$AC27</f>
        <v>2500</v>
      </c>
      <c r="O27" s="38">
        <f>('Raw Data'!F29+Bill!$O$2)*Bill!$AD27</f>
        <v>150</v>
      </c>
      <c r="P27" s="38">
        <f>('Raw Data'!F29+Bill!$P$2)*Bill!$AE27</f>
        <v>465</v>
      </c>
      <c r="Q27" s="38">
        <f>Bill!$Z27*('Raw Data'!$E29+$Q$2)</f>
        <v>0</v>
      </c>
      <c r="R27" s="38">
        <f>('Raw Data'!F29+Bill!$R$2)*Bill!$AF27</f>
        <v>0</v>
      </c>
      <c r="S27" s="39">
        <f>('Raw Data'!G29/100)*Bill!$AG27</f>
        <v>0</v>
      </c>
      <c r="T27" s="38">
        <f>SUM(Bill!$L27:$R27)</f>
        <v>7726</v>
      </c>
      <c r="U27" s="40">
        <v>7726.0</v>
      </c>
      <c r="V27" s="38">
        <f>IF(ABS(Bill!$T27 - Bill!$U27) &gt; 20, 1, 0)</f>
        <v>0</v>
      </c>
      <c r="W27" s="38">
        <f>Bill!$U27-Bill!$T27</f>
        <v>0</v>
      </c>
      <c r="Y27" s="37">
        <f>'Raw Data'!D29</f>
        <v>45585</v>
      </c>
      <c r="Z27" s="41">
        <v>0.0</v>
      </c>
      <c r="AA27" s="41">
        <v>13.0</v>
      </c>
      <c r="AB27" s="41">
        <v>15.0</v>
      </c>
      <c r="AC27" s="41">
        <v>10.0</v>
      </c>
      <c r="AD27" s="41">
        <v>1.0</v>
      </c>
      <c r="AE27" s="41">
        <v>3.0</v>
      </c>
      <c r="AF27" s="41">
        <v>0.0</v>
      </c>
      <c r="AG27" s="41">
        <v>0.0</v>
      </c>
    </row>
    <row r="28" ht="15.75" customHeight="1">
      <c r="A28" s="35">
        <f>Bill!$Y28</f>
        <v>45586</v>
      </c>
      <c r="B28" s="43">
        <f>'Raw Data'!E30+Bill!$L$2</f>
        <v>162</v>
      </c>
      <c r="C28" s="43">
        <f>'Raw Data'!E30+Bill!$M$2</f>
        <v>167</v>
      </c>
      <c r="D28" s="43">
        <f>('Raw Data'!$F30*2)-10</f>
        <v>250</v>
      </c>
      <c r="E28" s="43">
        <f>'Raw Data'!F30+Bill!$O$2</f>
        <v>150</v>
      </c>
      <c r="F28" s="43">
        <f>'Raw Data'!F30+Bill!$P$2</f>
        <v>155</v>
      </c>
      <c r="G28" s="43"/>
      <c r="H28" s="43">
        <f>('Raw Data'!F30+Bill!$R$2)</f>
        <v>150</v>
      </c>
      <c r="I28" s="36">
        <f>'Raw Data'!G30/100</f>
        <v>5.7</v>
      </c>
      <c r="K28" s="37">
        <f>Bill!$Y28</f>
        <v>45586</v>
      </c>
      <c r="L28" s="38">
        <f>Bill!$AA28*('Raw Data'!$E30+$L$2)</f>
        <v>1458</v>
      </c>
      <c r="M28" s="38">
        <f>Bill!$AB28*('Raw Data'!$E30+$M$2)</f>
        <v>1336</v>
      </c>
      <c r="N28" s="38">
        <f>(('Raw Data'!$F30 * 2)-10)*Bill!$AC28</f>
        <v>1500</v>
      </c>
      <c r="O28" s="38">
        <f>('Raw Data'!F30+Bill!$O$2)*Bill!$AD28</f>
        <v>0</v>
      </c>
      <c r="P28" s="38">
        <f>('Raw Data'!F30+Bill!$P$2)*Bill!$AE28</f>
        <v>155</v>
      </c>
      <c r="Q28" s="38">
        <f>Bill!$Z28*('Raw Data'!$E30+$Q$2)</f>
        <v>0</v>
      </c>
      <c r="R28" s="38">
        <f>('Raw Data'!F30+Bill!$R$2)*Bill!$AF28</f>
        <v>0</v>
      </c>
      <c r="S28" s="39">
        <f>('Raw Data'!G30/100)*Bill!$AG28</f>
        <v>513</v>
      </c>
      <c r="T28" s="38">
        <f>SUM(Bill!$L28:$R28)</f>
        <v>4449</v>
      </c>
      <c r="U28" s="40">
        <v>4449.0</v>
      </c>
      <c r="V28" s="38">
        <f>IF(ABS(Bill!$T28 - Bill!$U28) &gt; 20, 1, 0)</f>
        <v>0</v>
      </c>
      <c r="W28" s="38">
        <f>Bill!$U28-Bill!$T28</f>
        <v>0</v>
      </c>
      <c r="Y28" s="37">
        <f>'Raw Data'!D30</f>
        <v>45586</v>
      </c>
      <c r="Z28" s="41">
        <v>0.0</v>
      </c>
      <c r="AA28" s="41">
        <v>9.0</v>
      </c>
      <c r="AB28" s="41">
        <v>8.0</v>
      </c>
      <c r="AC28" s="41">
        <v>6.0</v>
      </c>
      <c r="AD28" s="41">
        <v>0.0</v>
      </c>
      <c r="AE28" s="41">
        <v>1.0</v>
      </c>
      <c r="AF28" s="41">
        <v>0.0</v>
      </c>
      <c r="AG28" s="41">
        <v>90.0</v>
      </c>
    </row>
    <row r="29" ht="15.75" customHeight="1">
      <c r="A29" s="35">
        <f>Bill!$Y29</f>
        <v>45587</v>
      </c>
      <c r="B29" s="43">
        <f>'Raw Data'!E31+Bill!$L$2</f>
        <v>162</v>
      </c>
      <c r="C29" s="43">
        <f>'Raw Data'!E31+Bill!$M$2</f>
        <v>167</v>
      </c>
      <c r="D29" s="43">
        <f>('Raw Data'!$F31*2)-10</f>
        <v>250</v>
      </c>
      <c r="E29" s="43">
        <f>'Raw Data'!F31+Bill!$O$2</f>
        <v>150</v>
      </c>
      <c r="F29" s="43">
        <f>'Raw Data'!F31+Bill!$P$2</f>
        <v>155</v>
      </c>
      <c r="G29" s="43"/>
      <c r="H29" s="43">
        <f>('Raw Data'!F31+Bill!$R$2)</f>
        <v>150</v>
      </c>
      <c r="I29" s="36">
        <f>'Raw Data'!G31/100</f>
        <v>5.75</v>
      </c>
      <c r="K29" s="37">
        <f>Bill!$Y29</f>
        <v>45587</v>
      </c>
      <c r="L29" s="38">
        <f>Bill!$AA29*('Raw Data'!$E31+$L$2)</f>
        <v>1765.8</v>
      </c>
      <c r="M29" s="38">
        <f>Bill!$AB29*('Raw Data'!$E31+$M$2)</f>
        <v>2004</v>
      </c>
      <c r="N29" s="38">
        <f>(('Raw Data'!$F31 * 2)-10)*Bill!$AC29</f>
        <v>500</v>
      </c>
      <c r="O29" s="38">
        <f>('Raw Data'!F31+Bill!$O$2)*Bill!$AD29</f>
        <v>150</v>
      </c>
      <c r="P29" s="38">
        <f>('Raw Data'!F31+Bill!$P$2)*Bill!$AE29</f>
        <v>0</v>
      </c>
      <c r="Q29" s="38">
        <f>Bill!$Z29*('Raw Data'!$E31+$Q$2)</f>
        <v>0</v>
      </c>
      <c r="R29" s="38">
        <f>('Raw Data'!F31+Bill!$R$2)*Bill!$AF29</f>
        <v>0</v>
      </c>
      <c r="S29" s="39">
        <f>('Raw Data'!G31/100)*Bill!$AG29</f>
        <v>0</v>
      </c>
      <c r="T29" s="38">
        <f>SUM(Bill!$L29:$R29)</f>
        <v>4419.8</v>
      </c>
      <c r="U29" s="40">
        <v>4420.0</v>
      </c>
      <c r="V29" s="38">
        <f>IF(ABS(Bill!$T29 - Bill!$U29) &gt; 20, 1, 0)</f>
        <v>0</v>
      </c>
      <c r="W29" s="38">
        <f>Bill!$U29-Bill!$T29</f>
        <v>0.2</v>
      </c>
      <c r="Y29" s="37">
        <f>'Raw Data'!D31</f>
        <v>45587</v>
      </c>
      <c r="Z29" s="41">
        <v>0.0</v>
      </c>
      <c r="AA29" s="41">
        <v>10.9</v>
      </c>
      <c r="AB29" s="41">
        <v>12.0</v>
      </c>
      <c r="AC29" s="41">
        <v>2.0</v>
      </c>
      <c r="AD29" s="41">
        <v>1.0</v>
      </c>
      <c r="AE29" s="41">
        <v>0.0</v>
      </c>
      <c r="AF29" s="41">
        <v>0.0</v>
      </c>
      <c r="AG29" s="41">
        <v>0.0</v>
      </c>
    </row>
    <row r="30" ht="15.75" customHeight="1">
      <c r="A30" s="35">
        <f>Bill!$Y30</f>
        <v>45588</v>
      </c>
      <c r="B30" s="43">
        <f>'Raw Data'!E32+Bill!$L$2</f>
        <v>162</v>
      </c>
      <c r="C30" s="43">
        <f>'Raw Data'!E32+Bill!$M$2</f>
        <v>167</v>
      </c>
      <c r="D30" s="43">
        <f>('Raw Data'!$F32*2)-10</f>
        <v>254</v>
      </c>
      <c r="E30" s="43">
        <f>'Raw Data'!F32+Bill!$O$2</f>
        <v>152</v>
      </c>
      <c r="F30" s="43">
        <f>'Raw Data'!F32+Bill!$P$2</f>
        <v>157</v>
      </c>
      <c r="G30" s="43"/>
      <c r="H30" s="43">
        <f>('Raw Data'!F32+Bill!$R$2)</f>
        <v>152</v>
      </c>
      <c r="I30" s="36">
        <f>'Raw Data'!G32/100</f>
        <v>5.8</v>
      </c>
      <c r="K30" s="37">
        <f>Bill!$Y30</f>
        <v>45588</v>
      </c>
      <c r="L30" s="38">
        <f>Bill!$AA30*('Raw Data'!$E32+$L$2)</f>
        <v>891</v>
      </c>
      <c r="M30" s="38">
        <f>Bill!$AB30*('Raw Data'!$E32+$M$2)</f>
        <v>1336</v>
      </c>
      <c r="N30" s="38">
        <f>(('Raw Data'!$F32 * 2)-10)*Bill!$AC30</f>
        <v>762</v>
      </c>
      <c r="O30" s="38">
        <f>('Raw Data'!F32+Bill!$O$2)*Bill!$AD30</f>
        <v>0</v>
      </c>
      <c r="P30" s="38">
        <f>('Raw Data'!F32+Bill!$P$2)*Bill!$AE30</f>
        <v>157</v>
      </c>
      <c r="Q30" s="38">
        <f>Bill!$Z30*('Raw Data'!$E32+$Q$2)</f>
        <v>0</v>
      </c>
      <c r="R30" s="38">
        <f>('Raw Data'!F32+Bill!$R$2)*Bill!$AF30</f>
        <v>0</v>
      </c>
      <c r="S30" s="39">
        <f>('Raw Data'!G32/100)*Bill!$AG30</f>
        <v>0</v>
      </c>
      <c r="T30" s="38">
        <f>SUM(Bill!$L30:$R30)</f>
        <v>3146</v>
      </c>
      <c r="U30" s="45">
        <v>3146.0</v>
      </c>
      <c r="V30" s="46"/>
      <c r="W30" s="38">
        <f>Bill!$U30-Bill!$T30</f>
        <v>0</v>
      </c>
      <c r="Y30" s="37">
        <f>'Raw Data'!D32</f>
        <v>45588</v>
      </c>
      <c r="Z30" s="41">
        <v>0.0</v>
      </c>
      <c r="AA30" s="41">
        <v>5.5</v>
      </c>
      <c r="AB30" s="41">
        <v>8.0</v>
      </c>
      <c r="AC30" s="41">
        <v>3.0</v>
      </c>
      <c r="AD30" s="41">
        <v>0.0</v>
      </c>
      <c r="AE30" s="41">
        <v>1.0</v>
      </c>
      <c r="AF30" s="41">
        <v>0.0</v>
      </c>
      <c r="AG30" s="41">
        <v>0.0</v>
      </c>
    </row>
    <row r="31" ht="15.75" customHeight="1">
      <c r="A31" s="35">
        <f>Bill!$Y31</f>
        <v>45589</v>
      </c>
      <c r="B31" s="43">
        <f>'Raw Data'!E33+Bill!$L$2</f>
        <v>162</v>
      </c>
      <c r="C31" s="43">
        <f>'Raw Data'!E33+Bill!$M$2</f>
        <v>167</v>
      </c>
      <c r="D31" s="43">
        <f>('Raw Data'!$F33*2)-10</f>
        <v>254</v>
      </c>
      <c r="E31" s="43">
        <f>'Raw Data'!F33+Bill!$O$2</f>
        <v>152</v>
      </c>
      <c r="F31" s="43">
        <f>'Raw Data'!F33+Bill!$P$2</f>
        <v>157</v>
      </c>
      <c r="G31" s="43"/>
      <c r="H31" s="43">
        <f>('Raw Data'!F33+Bill!$R$2)</f>
        <v>152</v>
      </c>
      <c r="I31" s="36">
        <f>'Raw Data'!G33/100</f>
        <v>5.85</v>
      </c>
      <c r="K31" s="37">
        <f>Bill!$Y31</f>
        <v>45589</v>
      </c>
      <c r="L31" s="38">
        <f>Bill!$AA31*('Raw Data'!$E33+$L$2)</f>
        <v>810</v>
      </c>
      <c r="M31" s="38">
        <f>Bill!$AB31*('Raw Data'!$E33+$M$2)</f>
        <v>1336</v>
      </c>
      <c r="N31" s="38">
        <f>(('Raw Data'!$F33 * 2)-10)*Bill!$AC31</f>
        <v>1270</v>
      </c>
      <c r="O31" s="38">
        <f>('Raw Data'!F33+Bill!$O$2)*Bill!$AD31</f>
        <v>0</v>
      </c>
      <c r="P31" s="38">
        <f>('Raw Data'!F33+Bill!$P$2)*Bill!$AE31</f>
        <v>314</v>
      </c>
      <c r="Q31" s="38">
        <f>Bill!$Z31*('Raw Data'!$E33+$Q$2)</f>
        <v>0</v>
      </c>
      <c r="R31" s="38">
        <f>('Raw Data'!F33+Bill!$R$2)*Bill!$AF31</f>
        <v>0</v>
      </c>
      <c r="S31" s="39">
        <f>('Raw Data'!G33/100)*Bill!$AG31</f>
        <v>526.5</v>
      </c>
      <c r="T31" s="38">
        <f>SUM(Bill!$L31:$R31)</f>
        <v>3730</v>
      </c>
      <c r="U31" s="45">
        <v>3754.0</v>
      </c>
      <c r="V31" s="46"/>
      <c r="W31" s="38">
        <f>Bill!$U31-Bill!$T31</f>
        <v>24</v>
      </c>
      <c r="Y31" s="37">
        <f>'Raw Data'!D33</f>
        <v>45589</v>
      </c>
      <c r="Z31" s="41">
        <v>0.0</v>
      </c>
      <c r="AA31" s="47">
        <v>5.0</v>
      </c>
      <c r="AB31" s="47">
        <v>8.0</v>
      </c>
      <c r="AC31" s="47">
        <v>5.0</v>
      </c>
      <c r="AD31" s="47">
        <v>0.0</v>
      </c>
      <c r="AE31" s="47">
        <v>2.0</v>
      </c>
      <c r="AF31" s="47">
        <v>0.0</v>
      </c>
      <c r="AG31" s="47">
        <v>90.0</v>
      </c>
    </row>
    <row r="32" ht="15.75" customHeight="1">
      <c r="A32" s="35">
        <f>Bill!$Y32</f>
        <v>45590</v>
      </c>
      <c r="B32" s="43">
        <f>'Raw Data'!E34+Bill!$L$2</f>
        <v>162</v>
      </c>
      <c r="C32" s="43">
        <f>'Raw Data'!E34+Bill!$M$2</f>
        <v>167</v>
      </c>
      <c r="D32" s="43">
        <f>('Raw Data'!$F34*2)-10</f>
        <v>258</v>
      </c>
      <c r="E32" s="43">
        <f>'Raw Data'!F34+Bill!$O$2</f>
        <v>154</v>
      </c>
      <c r="F32" s="43">
        <f>'Raw Data'!F34+Bill!$P$2</f>
        <v>159</v>
      </c>
      <c r="G32" s="43"/>
      <c r="H32" s="43">
        <f>('Raw Data'!F34+Bill!$R$2)</f>
        <v>154</v>
      </c>
      <c r="I32" s="36">
        <f>'Raw Data'!G34/100</f>
        <v>5.85</v>
      </c>
      <c r="K32" s="37">
        <f>Bill!$Y32</f>
        <v>45590</v>
      </c>
      <c r="L32" s="38">
        <f>Bill!$AA32*('Raw Data'!$E34+$L$2)</f>
        <v>2718.36</v>
      </c>
      <c r="M32" s="38">
        <f>Bill!$AB32*('Raw Data'!$E34+$M$2)</f>
        <v>1336</v>
      </c>
      <c r="N32" s="38">
        <f>(('Raw Data'!$F34 * 2)-10)*Bill!$AC32</f>
        <v>1290</v>
      </c>
      <c r="O32" s="38">
        <f>('Raw Data'!F34+Bill!$O$2)*Bill!$AD32</f>
        <v>154</v>
      </c>
      <c r="P32" s="38">
        <f>('Raw Data'!F34+Bill!$P$2)*Bill!$AE32</f>
        <v>0</v>
      </c>
      <c r="Q32" s="38">
        <f>Bill!$Z32*('Raw Data'!$E34+$Q$2)</f>
        <v>0</v>
      </c>
      <c r="R32" s="38">
        <f>('Raw Data'!F34+Bill!$R$2)*Bill!$AF32</f>
        <v>0</v>
      </c>
      <c r="S32" s="39">
        <f>('Raw Data'!G34/100)*Bill!$AG32</f>
        <v>0</v>
      </c>
      <c r="T32" s="38">
        <f>SUM(Bill!$L32:$R32)</f>
        <v>5498.36</v>
      </c>
      <c r="U32" s="45">
        <v>5494.0</v>
      </c>
      <c r="V32" s="46"/>
      <c r="W32" s="38">
        <f>Bill!$U32-Bill!$T32</f>
        <v>-4.36</v>
      </c>
      <c r="Y32" s="37">
        <f>'Raw Data'!D34</f>
        <v>45590</v>
      </c>
      <c r="Z32" s="41">
        <v>0.0</v>
      </c>
      <c r="AA32" s="47">
        <v>16.78</v>
      </c>
      <c r="AB32" s="47">
        <v>8.0</v>
      </c>
      <c r="AC32" s="47">
        <v>5.0</v>
      </c>
      <c r="AD32" s="47">
        <v>1.0</v>
      </c>
      <c r="AE32" s="47">
        <v>0.0</v>
      </c>
      <c r="AF32" s="47">
        <v>0.0</v>
      </c>
      <c r="AG32" s="47">
        <v>0.0</v>
      </c>
    </row>
    <row r="33" ht="15.75" customHeight="1">
      <c r="A33" s="35">
        <f>Bill!$Y33</f>
        <v>45591</v>
      </c>
      <c r="B33" s="43">
        <f>'Raw Data'!E35+Bill!$L$2</f>
        <v>164</v>
      </c>
      <c r="C33" s="43">
        <f>'Raw Data'!E35+Bill!$M$2</f>
        <v>169</v>
      </c>
      <c r="D33" s="43">
        <f>('Raw Data'!$F35*2)-10</f>
        <v>258</v>
      </c>
      <c r="E33" s="43">
        <f>'Raw Data'!F35+Bill!$O$2</f>
        <v>154</v>
      </c>
      <c r="F33" s="43">
        <f>'Raw Data'!F35+Bill!$P$2</f>
        <v>159</v>
      </c>
      <c r="G33" s="43"/>
      <c r="H33" s="43">
        <f>('Raw Data'!F35+Bill!$R$2)</f>
        <v>154</v>
      </c>
      <c r="I33" s="36">
        <f>'Raw Data'!G35/100</f>
        <v>5.85</v>
      </c>
      <c r="K33" s="37">
        <f>Bill!$Y33</f>
        <v>45591</v>
      </c>
      <c r="L33" s="38">
        <f>Bill!$AA33*('Raw Data'!$E35+$L$2)</f>
        <v>1968</v>
      </c>
      <c r="M33" s="38">
        <f>Bill!$AB33*('Raw Data'!$E35+$M$2)</f>
        <v>2535</v>
      </c>
      <c r="N33" s="38">
        <f>(('Raw Data'!$F35 * 2)-10)*Bill!$AC33</f>
        <v>1032</v>
      </c>
      <c r="O33" s="38">
        <f>('Raw Data'!F35+Bill!$O$2)*Bill!$AD33</f>
        <v>0</v>
      </c>
      <c r="P33" s="38">
        <f>('Raw Data'!F35+Bill!$P$2)*Bill!$AE33</f>
        <v>318</v>
      </c>
      <c r="Q33" s="38">
        <f>Bill!$Z33*('Raw Data'!$E35+$Q$2)</f>
        <v>0</v>
      </c>
      <c r="R33" s="38">
        <f>('Raw Data'!F35+Bill!$R$2)*Bill!$AF33</f>
        <v>0</v>
      </c>
      <c r="S33" s="39">
        <f>('Raw Data'!G35/100)*Bill!$AG33</f>
        <v>877.5</v>
      </c>
      <c r="T33" s="38">
        <f>SUM(Bill!$L33:$R33)</f>
        <v>5853</v>
      </c>
      <c r="U33" s="45">
        <v>5853.0</v>
      </c>
      <c r="V33" s="46"/>
      <c r="W33" s="38">
        <f>Bill!$U33-Bill!$T33</f>
        <v>0</v>
      </c>
      <c r="Y33" s="37">
        <f>'Raw Data'!D35</f>
        <v>45591</v>
      </c>
      <c r="Z33" s="41">
        <v>0.0</v>
      </c>
      <c r="AA33" s="47">
        <v>12.0</v>
      </c>
      <c r="AB33" s="47">
        <v>15.0</v>
      </c>
      <c r="AC33" s="47">
        <v>4.0</v>
      </c>
      <c r="AD33" s="47">
        <v>0.0</v>
      </c>
      <c r="AE33" s="47">
        <v>2.0</v>
      </c>
      <c r="AF33" s="47">
        <v>0.0</v>
      </c>
      <c r="AG33" s="47">
        <v>150.0</v>
      </c>
    </row>
    <row r="34" ht="15.75" customHeight="1">
      <c r="A34" s="35">
        <f>Bill!$Y34</f>
        <v>45592</v>
      </c>
      <c r="B34" s="43">
        <f>'Raw Data'!E36+Bill!$L$2</f>
        <v>166</v>
      </c>
      <c r="C34" s="43">
        <f>'Raw Data'!E36+Bill!$M$2</f>
        <v>171</v>
      </c>
      <c r="D34" s="43">
        <f>('Raw Data'!$F36*2)-10</f>
        <v>262</v>
      </c>
      <c r="E34" s="43">
        <f>'Raw Data'!F36+Bill!$O$2</f>
        <v>156</v>
      </c>
      <c r="F34" s="43">
        <f>'Raw Data'!F36+Bill!$P$2</f>
        <v>161</v>
      </c>
      <c r="G34" s="43"/>
      <c r="H34" s="43">
        <f>('Raw Data'!F36+Bill!$R$2)</f>
        <v>156</v>
      </c>
      <c r="I34" s="36">
        <f>'Raw Data'!G36/100</f>
        <v>5.85</v>
      </c>
      <c r="K34" s="37">
        <f>Bill!$Y34</f>
        <v>45592</v>
      </c>
      <c r="L34" s="38">
        <f>Bill!$AA34*('Raw Data'!$E36+$L$2)</f>
        <v>1759.6</v>
      </c>
      <c r="M34" s="38">
        <f>Bill!$AB34*('Raw Data'!$E36+$M$2)</f>
        <v>855</v>
      </c>
      <c r="N34" s="38">
        <f>(('Raw Data'!$F36 * 2)-10)*Bill!$AC34</f>
        <v>1310</v>
      </c>
      <c r="O34" s="38">
        <f>('Raw Data'!F36+Bill!$O$2)*Bill!$AD34</f>
        <v>312</v>
      </c>
      <c r="P34" s="38">
        <f>('Raw Data'!F36+Bill!$P$2)*Bill!$AE34</f>
        <v>322</v>
      </c>
      <c r="Q34" s="38">
        <f>Bill!$Z34*('Raw Data'!$E36+$Q$2)</f>
        <v>0</v>
      </c>
      <c r="R34" s="38">
        <f>('Raw Data'!F36+Bill!$R$2)*Bill!$AF34</f>
        <v>0</v>
      </c>
      <c r="S34" s="48">
        <f>('Raw Data'!G36/100)*Bill!$AG34</f>
        <v>0</v>
      </c>
      <c r="T34" s="38">
        <f>SUM(Bill!$L34:$R34)</f>
        <v>4558.6</v>
      </c>
      <c r="U34" s="45">
        <v>4559.0</v>
      </c>
      <c r="V34" s="46"/>
      <c r="W34" s="38">
        <f>Bill!$U34-Bill!$T34</f>
        <v>0.4</v>
      </c>
      <c r="Y34" s="37">
        <f>'Raw Data'!D36</f>
        <v>45592</v>
      </c>
      <c r="Z34" s="41">
        <v>0.0</v>
      </c>
      <c r="AA34" s="47">
        <v>10.6</v>
      </c>
      <c r="AB34" s="47">
        <v>5.0</v>
      </c>
      <c r="AC34" s="47">
        <v>5.0</v>
      </c>
      <c r="AD34" s="47">
        <v>2.0</v>
      </c>
      <c r="AE34" s="47">
        <v>2.0</v>
      </c>
      <c r="AF34" s="47">
        <v>0.0</v>
      </c>
      <c r="AG34" s="47">
        <v>0.0</v>
      </c>
    </row>
    <row r="35" ht="15.75" customHeight="1">
      <c r="A35" s="35">
        <f>Bill!$Y35</f>
        <v>45593</v>
      </c>
      <c r="B35" s="43">
        <f>'Raw Data'!E37+Bill!$L$2</f>
        <v>168</v>
      </c>
      <c r="C35" s="43">
        <f>'Raw Data'!E37+Bill!$M$2</f>
        <v>173</v>
      </c>
      <c r="D35" s="43">
        <f>('Raw Data'!$F37*2)-10</f>
        <v>262</v>
      </c>
      <c r="E35" s="43">
        <f>'Raw Data'!F37+Bill!$O$2</f>
        <v>156</v>
      </c>
      <c r="F35" s="43">
        <f>'Raw Data'!F37+Bill!$P$2</f>
        <v>161</v>
      </c>
      <c r="G35" s="43"/>
      <c r="H35" s="43">
        <f>('Raw Data'!F37+Bill!$R$2)</f>
        <v>156</v>
      </c>
      <c r="I35" s="36">
        <f>'Raw Data'!G37/100</f>
        <v>5.8</v>
      </c>
      <c r="K35" s="37">
        <f>Bill!$Y35</f>
        <v>45593</v>
      </c>
      <c r="L35" s="38">
        <f>Bill!$AA35*('Raw Data'!$E37+$L$2)</f>
        <v>0</v>
      </c>
      <c r="M35" s="38">
        <f>Bill!$AB35*('Raw Data'!$E37+$M$2)</f>
        <v>865</v>
      </c>
      <c r="N35" s="38">
        <f>(('Raw Data'!$F37 * 2)-10)*Bill!$AC35</f>
        <v>1048</v>
      </c>
      <c r="O35" s="38">
        <f>('Raw Data'!F37+Bill!$O$2)*Bill!$AD35</f>
        <v>0</v>
      </c>
      <c r="P35" s="38">
        <f>('Raw Data'!F37+Bill!$P$2)*Bill!$AE35</f>
        <v>483</v>
      </c>
      <c r="Q35" s="38">
        <f>Bill!$Z35*('Raw Data'!$E37+$Q$2)</f>
        <v>0</v>
      </c>
      <c r="R35" s="38">
        <f>('Raw Data'!F37+Bill!$R$2)*Bill!$AF35</f>
        <v>0</v>
      </c>
      <c r="S35" s="48">
        <f>('Raw Data'!G37/100)*Bill!$AG35</f>
        <v>0</v>
      </c>
      <c r="T35" s="38">
        <f>SUM(Bill!$L35:$R35)</f>
        <v>2396</v>
      </c>
      <c r="U35" s="45">
        <v>2393.0</v>
      </c>
      <c r="V35" s="46"/>
      <c r="W35" s="38">
        <f>Bill!$U35-Bill!$T35</f>
        <v>-3</v>
      </c>
      <c r="Y35" s="37">
        <f>'Raw Data'!D37</f>
        <v>45593</v>
      </c>
      <c r="Z35" s="41">
        <v>0.0</v>
      </c>
      <c r="AA35" s="47">
        <v>0.0</v>
      </c>
      <c r="AB35" s="47">
        <v>5.0</v>
      </c>
      <c r="AC35" s="47">
        <v>4.0</v>
      </c>
      <c r="AD35" s="47">
        <v>0.0</v>
      </c>
      <c r="AE35" s="47">
        <v>3.0</v>
      </c>
      <c r="AF35" s="47">
        <v>0.0</v>
      </c>
      <c r="AG35" s="47">
        <v>0.0</v>
      </c>
    </row>
    <row r="36" ht="15.75" customHeight="1">
      <c r="A36" s="35">
        <f>Bill!$Y36</f>
        <v>45594</v>
      </c>
      <c r="B36" s="43">
        <f>'Raw Data'!E38+Bill!$L$2</f>
        <v>168</v>
      </c>
      <c r="C36" s="43">
        <f>'Raw Data'!E38+Bill!$M$2</f>
        <v>173</v>
      </c>
      <c r="D36" s="43">
        <f>('Raw Data'!$F38*2)-10</f>
        <v>262</v>
      </c>
      <c r="E36" s="43">
        <f>'Raw Data'!F38+Bill!$O$2</f>
        <v>156</v>
      </c>
      <c r="F36" s="43">
        <f>'Raw Data'!F38+Bill!$P$2</f>
        <v>161</v>
      </c>
      <c r="G36" s="43"/>
      <c r="H36" s="43">
        <f>('Raw Data'!F38+Bill!$R$2)</f>
        <v>156</v>
      </c>
      <c r="I36" s="36">
        <f>'Raw Data'!G38/100</f>
        <v>5.9</v>
      </c>
      <c r="K36" s="37">
        <f>Bill!$Y36</f>
        <v>45594</v>
      </c>
      <c r="L36" s="38">
        <f>Bill!$AA36*('Raw Data'!$E38+$L$2)</f>
        <v>823.2</v>
      </c>
      <c r="M36" s="38">
        <f>Bill!$AB36*('Raw Data'!$E38+$M$2)</f>
        <v>519</v>
      </c>
      <c r="N36" s="38">
        <f>(('Raw Data'!$F38 * 2)-10)*Bill!$AC36</f>
        <v>786</v>
      </c>
      <c r="O36" s="38">
        <f>('Raw Data'!F38+Bill!$O$2)*Bill!$AD36</f>
        <v>0</v>
      </c>
      <c r="P36" s="38">
        <f>('Raw Data'!F38+Bill!$P$2)*Bill!$AE36</f>
        <v>322</v>
      </c>
      <c r="Q36" s="38">
        <f>Bill!$Z36*('Raw Data'!$E38+$Q$2)</f>
        <v>0</v>
      </c>
      <c r="R36" s="38">
        <f>('Raw Data'!F38+Bill!$R$2)*Bill!$AF36</f>
        <v>0</v>
      </c>
      <c r="S36" s="48">
        <f>('Raw Data'!G38/100)*Bill!$AG36</f>
        <v>0</v>
      </c>
      <c r="T36" s="38">
        <f>SUM(Bill!$L36:$R36)</f>
        <v>2450.2</v>
      </c>
      <c r="U36" s="45">
        <v>2128.0</v>
      </c>
      <c r="V36" s="46"/>
      <c r="W36" s="38">
        <f>Bill!$U36-Bill!$T36</f>
        <v>-322.2</v>
      </c>
      <c r="Y36" s="37">
        <f>'Raw Data'!D38</f>
        <v>45594</v>
      </c>
      <c r="Z36" s="41">
        <v>0.0</v>
      </c>
      <c r="AA36" s="47">
        <v>4.9</v>
      </c>
      <c r="AB36" s="47">
        <v>3.0</v>
      </c>
      <c r="AC36" s="47">
        <v>3.0</v>
      </c>
      <c r="AD36" s="47">
        <v>0.0</v>
      </c>
      <c r="AE36" s="47">
        <v>2.0</v>
      </c>
      <c r="AF36" s="47">
        <v>0.0</v>
      </c>
      <c r="AG36" s="47">
        <v>0.0</v>
      </c>
    </row>
    <row r="37" ht="15.75" customHeight="1">
      <c r="A37" s="35">
        <f>Bill!$Y37</f>
        <v>45595</v>
      </c>
      <c r="B37" s="43">
        <f>'Raw Data'!E39+Bill!$L$2</f>
        <v>168</v>
      </c>
      <c r="C37" s="43">
        <f>'Raw Data'!E39+Bill!$M$2</f>
        <v>173</v>
      </c>
      <c r="D37" s="43">
        <f>('Raw Data'!$F39*2)-10</f>
        <v>262</v>
      </c>
      <c r="E37" s="43">
        <f>'Raw Data'!F39+Bill!$O$2</f>
        <v>156</v>
      </c>
      <c r="F37" s="43">
        <f>'Raw Data'!F39+Bill!$P$2</f>
        <v>161</v>
      </c>
      <c r="G37" s="43"/>
      <c r="H37" s="43">
        <f>('Raw Data'!F39+Bill!$R$2)</f>
        <v>156</v>
      </c>
      <c r="I37" s="36">
        <f>'Raw Data'!G39/100</f>
        <v>5.9</v>
      </c>
      <c r="K37" s="37">
        <f>Bill!$Y37</f>
        <v>45595</v>
      </c>
      <c r="L37" s="38">
        <f>Bill!$AA37*('Raw Data'!$E39+$L$2)</f>
        <v>1713.6</v>
      </c>
      <c r="M37" s="38">
        <f>Bill!$AB37*('Raw Data'!$E39+$M$2)</f>
        <v>2076</v>
      </c>
      <c r="N37" s="38">
        <f>(('Raw Data'!$F39 * 2)-10)*Bill!$AC37</f>
        <v>1048</v>
      </c>
      <c r="O37" s="38">
        <f>('Raw Data'!F39+Bill!$O$2)*Bill!$AD37</f>
        <v>312</v>
      </c>
      <c r="P37" s="38">
        <f>('Raw Data'!F39+Bill!$P$2)*Bill!$AE37</f>
        <v>322</v>
      </c>
      <c r="Q37" s="38">
        <f>Bill!$Z37*('Raw Data'!$E39+$Q$2)</f>
        <v>0</v>
      </c>
      <c r="R37" s="38">
        <f>('Raw Data'!F39+Bill!$R$2)*Bill!$AF37</f>
        <v>0</v>
      </c>
      <c r="S37" s="48">
        <f>('Raw Data'!G39/100)*Bill!$AG37</f>
        <v>885</v>
      </c>
      <c r="T37" s="38">
        <f>SUM(Bill!$L37:$R37)</f>
        <v>5471.6</v>
      </c>
      <c r="U37" s="45">
        <v>5472.0</v>
      </c>
      <c r="V37" s="46"/>
      <c r="W37" s="38">
        <f>Bill!$U37-Bill!$T37</f>
        <v>0.4</v>
      </c>
      <c r="Y37" s="37">
        <f>'Raw Data'!D39</f>
        <v>45595</v>
      </c>
      <c r="Z37" s="41">
        <v>0.0</v>
      </c>
      <c r="AA37" s="47">
        <v>10.2</v>
      </c>
      <c r="AB37" s="47">
        <v>12.0</v>
      </c>
      <c r="AC37" s="47">
        <v>4.0</v>
      </c>
      <c r="AD37" s="47">
        <v>2.0</v>
      </c>
      <c r="AE37" s="47">
        <v>2.0</v>
      </c>
      <c r="AF37" s="47">
        <v>0.0</v>
      </c>
      <c r="AG37" s="47">
        <v>150.0</v>
      </c>
    </row>
    <row r="38" ht="15.75" customHeight="1">
      <c r="A38" s="35">
        <f>Bill!$Y38</f>
        <v>45596</v>
      </c>
      <c r="B38" s="43">
        <f>'Raw Data'!E40+Bill!$L$2</f>
        <v>168</v>
      </c>
      <c r="C38" s="43">
        <f>'Raw Data'!E40+Bill!$M$2</f>
        <v>173</v>
      </c>
      <c r="D38" s="43">
        <f>('Raw Data'!$F40*2)-10</f>
        <v>262</v>
      </c>
      <c r="E38" s="43">
        <f>'Raw Data'!F40+Bill!$O$2</f>
        <v>156</v>
      </c>
      <c r="F38" s="43">
        <f>'Raw Data'!F40+Bill!$P$2</f>
        <v>161</v>
      </c>
      <c r="G38" s="43"/>
      <c r="H38" s="43">
        <f>('Raw Data'!F40+Bill!$R$2)</f>
        <v>156</v>
      </c>
      <c r="I38" s="36">
        <f>'Raw Data'!G40/100</f>
        <v>6.06</v>
      </c>
      <c r="K38" s="37">
        <f>Bill!$Y38</f>
        <v>45596</v>
      </c>
      <c r="L38" s="38">
        <f>Bill!$AA38*('Raw Data'!$E40+$L$2)</f>
        <v>1512</v>
      </c>
      <c r="M38" s="38">
        <f>Bill!$AB38*('Raw Data'!$E40+$M$2)</f>
        <v>2595</v>
      </c>
      <c r="N38" s="38">
        <f>(('Raw Data'!$F40 * 2)-10)*Bill!$AC38</f>
        <v>1048</v>
      </c>
      <c r="O38" s="38">
        <f>('Raw Data'!F40+Bill!$O$2)*Bill!$AD38</f>
        <v>0</v>
      </c>
      <c r="P38" s="38">
        <f>('Raw Data'!F40+Bill!$P$2)*Bill!$AE38</f>
        <v>483</v>
      </c>
      <c r="Q38" s="38">
        <f>Bill!$Z38*('Raw Data'!$E40+$Q$2)</f>
        <v>0</v>
      </c>
      <c r="R38" s="38">
        <f>('Raw Data'!F40+Bill!$R$2)*Bill!$AF38</f>
        <v>0</v>
      </c>
      <c r="S38" s="48">
        <f>('Raw Data'!G40/100)*Bill!$AG38</f>
        <v>0</v>
      </c>
      <c r="T38" s="38">
        <f>SUM(Bill!$L38:$R38)</f>
        <v>5638</v>
      </c>
      <c r="U38" s="45">
        <v>5638.0</v>
      </c>
      <c r="V38" s="46"/>
      <c r="W38" s="38">
        <f>Bill!$U38-Bill!$T38</f>
        <v>0</v>
      </c>
      <c r="Y38" s="37">
        <f>'Raw Data'!D40</f>
        <v>45596</v>
      </c>
      <c r="Z38" s="41">
        <v>0.0</v>
      </c>
      <c r="AA38" s="47">
        <v>9.0</v>
      </c>
      <c r="AB38" s="47">
        <v>15.0</v>
      </c>
      <c r="AC38" s="47">
        <v>4.0</v>
      </c>
      <c r="AD38" s="47">
        <v>0.0</v>
      </c>
      <c r="AE38" s="47">
        <v>3.0</v>
      </c>
      <c r="AF38" s="47">
        <v>0.0</v>
      </c>
      <c r="AG38" s="47">
        <v>0.0</v>
      </c>
    </row>
    <row r="39" ht="15.75" customHeight="1">
      <c r="A39" s="35">
        <f>Bill!$Y39</f>
        <v>45597</v>
      </c>
      <c r="B39" s="43">
        <f>'Raw Data'!E41+Bill!$L$2</f>
        <v>168</v>
      </c>
      <c r="C39" s="43">
        <f>'Raw Data'!E41+Bill!$M$2</f>
        <v>173</v>
      </c>
      <c r="D39" s="43">
        <f>('Raw Data'!$F41*2)-10</f>
        <v>266</v>
      </c>
      <c r="E39" s="43">
        <f>'Raw Data'!F41+Bill!$O$2</f>
        <v>158</v>
      </c>
      <c r="F39" s="43">
        <f>'Raw Data'!F41+Bill!$P$2</f>
        <v>163</v>
      </c>
      <c r="G39" s="43"/>
      <c r="H39" s="43">
        <f>('Raw Data'!F41+Bill!$R$2)</f>
        <v>158</v>
      </c>
      <c r="I39" s="36">
        <f>'Raw Data'!G41/100</f>
        <v>6.06</v>
      </c>
      <c r="K39" s="37">
        <f>Bill!$Y39</f>
        <v>45597</v>
      </c>
      <c r="L39" s="38">
        <f>Bill!$AA39*('Raw Data'!$E41+$L$2)</f>
        <v>873.6</v>
      </c>
      <c r="M39" s="38">
        <f>Bill!$AB39*('Raw Data'!$E41+$M$2)</f>
        <v>1730</v>
      </c>
      <c r="N39" s="38">
        <f>(('Raw Data'!$F41 * 2)-10)*Bill!$AC39</f>
        <v>1330</v>
      </c>
      <c r="O39" s="38">
        <f>('Raw Data'!F41+Bill!$O$2)*Bill!$AD39</f>
        <v>316</v>
      </c>
      <c r="P39" s="38">
        <f>('Raw Data'!F41+Bill!$P$2)*Bill!$AE39</f>
        <v>326</v>
      </c>
      <c r="Q39" s="38">
        <f>Bill!$Z39*('Raw Data'!$E41+$Q$2)</f>
        <v>0</v>
      </c>
      <c r="R39" s="38">
        <f>('Raw Data'!F41+Bill!$R$2)*Bill!$AF39</f>
        <v>0</v>
      </c>
      <c r="S39" s="48">
        <f>('Raw Data'!G41/100)*Bill!$AG39</f>
        <v>0</v>
      </c>
      <c r="T39" s="38">
        <f>SUM(Bill!$L39:$R39)</f>
        <v>4575.6</v>
      </c>
      <c r="U39" s="49">
        <v>4592.0</v>
      </c>
      <c r="V39" s="50"/>
      <c r="W39" s="38">
        <f>Bill!$U39-Bill!$T39</f>
        <v>16.4</v>
      </c>
      <c r="Y39" s="37">
        <f>'Raw Data'!D41</f>
        <v>45597</v>
      </c>
      <c r="Z39" s="41">
        <v>0.0</v>
      </c>
      <c r="AA39" s="47">
        <v>5.2</v>
      </c>
      <c r="AB39" s="47">
        <v>10.0</v>
      </c>
      <c r="AC39" s="47">
        <v>5.0</v>
      </c>
      <c r="AD39" s="47">
        <v>2.0</v>
      </c>
      <c r="AE39" s="47">
        <v>2.0</v>
      </c>
      <c r="AF39" s="47">
        <v>0.0</v>
      </c>
      <c r="AG39" s="47">
        <v>0.0</v>
      </c>
    </row>
    <row r="40" ht="15.75" customHeight="1">
      <c r="A40" s="35">
        <f>Bill!$Y40</f>
        <v>45598</v>
      </c>
      <c r="B40" s="43">
        <f>'Raw Data'!E42+Bill!$L$2</f>
        <v>168</v>
      </c>
      <c r="C40" s="43">
        <f>'Raw Data'!E42+Bill!$M$2</f>
        <v>173</v>
      </c>
      <c r="D40" s="43">
        <f>('Raw Data'!$F42*2)-10</f>
        <v>278</v>
      </c>
      <c r="E40" s="43">
        <f>'Raw Data'!F42+Bill!$O$2</f>
        <v>164</v>
      </c>
      <c r="F40" s="43">
        <f>'Raw Data'!F42+Bill!$P$2</f>
        <v>169</v>
      </c>
      <c r="G40" s="43"/>
      <c r="H40" s="43">
        <f>('Raw Data'!F42+Bill!$R$2)</f>
        <v>164</v>
      </c>
      <c r="I40" s="36">
        <f>'Raw Data'!G42/100</f>
        <v>6.06</v>
      </c>
      <c r="K40" s="37">
        <f>Bill!$Y40</f>
        <v>45598</v>
      </c>
      <c r="L40" s="38">
        <f>Bill!$AA40*('Raw Data'!$E42+$L$2)</f>
        <v>2486.4</v>
      </c>
      <c r="M40" s="38">
        <f>Bill!$AB40*('Raw Data'!$E42+$M$2)</f>
        <v>2595</v>
      </c>
      <c r="N40" s="38">
        <f>(('Raw Data'!$F42 * 2)-10)*Bill!$AC40</f>
        <v>1668</v>
      </c>
      <c r="O40" s="38">
        <f>('Raw Data'!F42+Bill!$O$2)*Bill!$AD40</f>
        <v>164</v>
      </c>
      <c r="P40" s="38">
        <f>('Raw Data'!F42+Bill!$P$2)*Bill!$AE40</f>
        <v>338</v>
      </c>
      <c r="Q40" s="38">
        <f>Bill!$Z40*('Raw Data'!$E42+$Q$2)</f>
        <v>0</v>
      </c>
      <c r="R40" s="38">
        <f>('Raw Data'!F42+Bill!$R$2)*Bill!$AF40</f>
        <v>0</v>
      </c>
      <c r="S40" s="48">
        <f>('Raw Data'!G42/100)*Bill!$AG40</f>
        <v>909</v>
      </c>
      <c r="T40" s="38">
        <f>SUM(Bill!$L40:$R40)</f>
        <v>7251.4</v>
      </c>
      <c r="U40" s="49">
        <v>7252.0</v>
      </c>
      <c r="V40" s="50"/>
      <c r="W40" s="38">
        <f>Bill!$U40-Bill!$T40</f>
        <v>0.6</v>
      </c>
      <c r="Y40" s="37">
        <f>'Raw Data'!D42</f>
        <v>45598</v>
      </c>
      <c r="Z40" s="41">
        <v>0.0</v>
      </c>
      <c r="AA40" s="47">
        <v>14.8</v>
      </c>
      <c r="AB40" s="47">
        <v>15.0</v>
      </c>
      <c r="AC40" s="47">
        <v>6.0</v>
      </c>
      <c r="AD40" s="47">
        <v>1.0</v>
      </c>
      <c r="AE40" s="47">
        <v>2.0</v>
      </c>
      <c r="AF40" s="47">
        <v>0.0</v>
      </c>
      <c r="AG40" s="47">
        <v>150.0</v>
      </c>
    </row>
    <row r="41" ht="15.75" customHeight="1">
      <c r="A41" s="35">
        <f>Bill!$Y41</f>
        <v>45599</v>
      </c>
      <c r="B41" s="43">
        <f>'Raw Data'!E43+Bill!$L$2</f>
        <v>170</v>
      </c>
      <c r="C41" s="43">
        <f>'Raw Data'!E43+Bill!$M$2</f>
        <v>175</v>
      </c>
      <c r="D41" s="43">
        <f>('Raw Data'!$F43*2)-10</f>
        <v>290</v>
      </c>
      <c r="E41" s="43">
        <f>'Raw Data'!F43+Bill!$O$2</f>
        <v>170</v>
      </c>
      <c r="F41" s="43">
        <f>'Raw Data'!F43+Bill!$P$2</f>
        <v>175</v>
      </c>
      <c r="G41" s="43"/>
      <c r="H41" s="43">
        <f>('Raw Data'!F43+Bill!$R$2)</f>
        <v>170</v>
      </c>
      <c r="I41" s="36">
        <f>'Raw Data'!G43/100</f>
        <v>6.06</v>
      </c>
      <c r="K41" s="37">
        <f>Bill!$Y41</f>
        <v>45599</v>
      </c>
      <c r="L41" s="38">
        <f>Bill!$AA41*('Raw Data'!$E43+$L$2)</f>
        <v>527</v>
      </c>
      <c r="M41" s="38">
        <f>Bill!$AB41*('Raw Data'!$E43+$M$2)</f>
        <v>875</v>
      </c>
      <c r="N41" s="38">
        <f>(('Raw Data'!$F43 * 2)-10)*Bill!$AC41</f>
        <v>870</v>
      </c>
      <c r="O41" s="38">
        <f>('Raw Data'!F43+Bill!$O$2)*Bill!$AD41</f>
        <v>0</v>
      </c>
      <c r="P41" s="38">
        <f>('Raw Data'!F43+Bill!$P$2)*Bill!$AE41</f>
        <v>350</v>
      </c>
      <c r="Q41" s="38">
        <f>Bill!$Z41*('Raw Data'!$E43+$Q$2)</f>
        <v>0</v>
      </c>
      <c r="R41" s="38">
        <f>('Raw Data'!F43+Bill!$R$2)*Bill!$AF41</f>
        <v>0</v>
      </c>
      <c r="S41" s="48">
        <f>('Raw Data'!G43/100)*Bill!$AG41</f>
        <v>0</v>
      </c>
      <c r="T41" s="38">
        <f>SUM(Bill!$L41:$R41)</f>
        <v>2622</v>
      </c>
      <c r="U41" s="49">
        <v>2622.0</v>
      </c>
      <c r="V41" s="50"/>
      <c r="W41" s="38">
        <f>Bill!$U41-Bill!$T41</f>
        <v>0</v>
      </c>
      <c r="Y41" s="37">
        <f>'Raw Data'!D43</f>
        <v>45599</v>
      </c>
      <c r="Z41" s="41">
        <v>0.0</v>
      </c>
      <c r="AA41" s="47">
        <v>3.1</v>
      </c>
      <c r="AB41" s="47">
        <v>5.0</v>
      </c>
      <c r="AC41" s="47">
        <v>3.0</v>
      </c>
      <c r="AD41" s="51"/>
      <c r="AE41" s="47">
        <v>2.0</v>
      </c>
      <c r="AF41" s="47">
        <v>0.0</v>
      </c>
      <c r="AG41" s="47">
        <v>0.0</v>
      </c>
    </row>
    <row r="42" ht="15.75" customHeight="1">
      <c r="A42" s="35">
        <f>Bill!$Y42</f>
        <v>45600</v>
      </c>
      <c r="B42" s="43">
        <f>'Raw Data'!E44+Bill!$L$2</f>
        <v>170</v>
      </c>
      <c r="C42" s="43">
        <f>'Raw Data'!E44+Bill!$M$2</f>
        <v>175</v>
      </c>
      <c r="D42" s="43">
        <f>('Raw Data'!$F44*2)-10</f>
        <v>290</v>
      </c>
      <c r="E42" s="43">
        <f>'Raw Data'!F44+Bill!$O$2</f>
        <v>170</v>
      </c>
      <c r="F42" s="43">
        <f>'Raw Data'!F44+Bill!$P$2</f>
        <v>175</v>
      </c>
      <c r="G42" s="43"/>
      <c r="H42" s="43">
        <f>('Raw Data'!F44+Bill!$R$2)</f>
        <v>170</v>
      </c>
      <c r="I42" s="36">
        <f>'Raw Data'!G44/100</f>
        <v>6.06</v>
      </c>
      <c r="K42" s="37">
        <f>Bill!$Y42</f>
        <v>45600</v>
      </c>
      <c r="L42" s="38">
        <f>Bill!$AA42*('Raw Data'!$E44+$L$2)</f>
        <v>748</v>
      </c>
      <c r="M42" s="38">
        <f>Bill!$AB42*('Raw Data'!$E44+$M$2)</f>
        <v>875</v>
      </c>
      <c r="N42" s="38">
        <f>(('Raw Data'!$F44 * 2)-10)*Bill!$AC42</f>
        <v>1740</v>
      </c>
      <c r="O42" s="38">
        <f>('Raw Data'!F44+Bill!$O$2)*Bill!$AD42</f>
        <v>323</v>
      </c>
      <c r="P42" s="38">
        <f>('Raw Data'!F44+Bill!$P$2)*Bill!$AE42</f>
        <v>0</v>
      </c>
      <c r="Q42" s="38">
        <f>Bill!$Z42*('Raw Data'!$E44+$Q$2)</f>
        <v>0</v>
      </c>
      <c r="R42" s="38">
        <f>('Raw Data'!F44+Bill!$R$2)*Bill!$AF42</f>
        <v>0</v>
      </c>
      <c r="S42" s="48">
        <f>('Raw Data'!G44/100)*Bill!$AG42</f>
        <v>545.4</v>
      </c>
      <c r="T42" s="38">
        <f>SUM(Bill!$L42:$R42)</f>
        <v>3686</v>
      </c>
      <c r="U42" s="49">
        <v>3686.0</v>
      </c>
      <c r="V42" s="50"/>
      <c r="W42" s="38">
        <f>Bill!$U42-Bill!$T42</f>
        <v>0</v>
      </c>
      <c r="Y42" s="37">
        <f>'Raw Data'!D44</f>
        <v>45600</v>
      </c>
      <c r="Z42" s="41">
        <v>0.0</v>
      </c>
      <c r="AA42" s="47">
        <v>4.4</v>
      </c>
      <c r="AB42" s="47">
        <v>5.0</v>
      </c>
      <c r="AC42" s="47">
        <v>6.0</v>
      </c>
      <c r="AD42" s="47">
        <v>1.9</v>
      </c>
      <c r="AE42" s="47">
        <v>0.0</v>
      </c>
      <c r="AF42" s="47">
        <v>0.0</v>
      </c>
      <c r="AG42" s="47">
        <v>90.0</v>
      </c>
    </row>
    <row r="43" ht="15.75" customHeight="1">
      <c r="A43" s="35">
        <f>Bill!$Y43</f>
        <v>45601</v>
      </c>
      <c r="B43" s="43">
        <f>'Raw Data'!E45+Bill!$L$2</f>
        <v>170</v>
      </c>
      <c r="C43" s="43">
        <f>'Raw Data'!E45+Bill!$M$2</f>
        <v>175</v>
      </c>
      <c r="D43" s="43">
        <f>('Raw Data'!$F45*2)-10</f>
        <v>282</v>
      </c>
      <c r="E43" s="43">
        <f>'Raw Data'!F45+Bill!$O$2</f>
        <v>166</v>
      </c>
      <c r="F43" s="43">
        <f>'Raw Data'!F45+Bill!$P$2</f>
        <v>171</v>
      </c>
      <c r="G43" s="43"/>
      <c r="H43" s="43">
        <f>('Raw Data'!F45+Bill!$R$2)</f>
        <v>166</v>
      </c>
      <c r="I43" s="36">
        <f>'Raw Data'!G45/100</f>
        <v>6.06</v>
      </c>
      <c r="K43" s="37">
        <f>Bill!$Y43</f>
        <v>45601</v>
      </c>
      <c r="L43" s="38">
        <f>Bill!$AA43*('Raw Data'!$E45+$L$2)</f>
        <v>0</v>
      </c>
      <c r="M43" s="38">
        <f>Bill!$AB43*('Raw Data'!$E45+$M$2)</f>
        <v>875</v>
      </c>
      <c r="N43" s="38">
        <f>(('Raw Data'!$F45 * 2)-10)*Bill!$AC43</f>
        <v>564</v>
      </c>
      <c r="O43" s="38">
        <f>('Raw Data'!F45+Bill!$O$2)*Bill!$AD43</f>
        <v>0</v>
      </c>
      <c r="P43" s="38">
        <f>('Raw Data'!F45+Bill!$P$2)*Bill!$AE43</f>
        <v>0</v>
      </c>
      <c r="Q43" s="38">
        <f>Bill!$Z43*('Raw Data'!$E45+$Q$2)</f>
        <v>0</v>
      </c>
      <c r="R43" s="38">
        <f>('Raw Data'!F45+Bill!$R$2)*Bill!$AF43</f>
        <v>0</v>
      </c>
      <c r="S43" s="48">
        <f>('Raw Data'!G45/100)*Bill!$AG43</f>
        <v>0</v>
      </c>
      <c r="T43" s="38">
        <f>SUM(Bill!$L43:$R43)</f>
        <v>1439</v>
      </c>
      <c r="U43" s="49">
        <v>1439.0</v>
      </c>
      <c r="V43" s="50"/>
      <c r="W43" s="38">
        <f>Bill!$U43-Bill!$T43</f>
        <v>0</v>
      </c>
      <c r="Y43" s="37">
        <f>'Raw Data'!D45</f>
        <v>45601</v>
      </c>
      <c r="Z43" s="41">
        <v>0.0</v>
      </c>
      <c r="AA43" s="47">
        <v>0.0</v>
      </c>
      <c r="AB43" s="47">
        <v>5.0</v>
      </c>
      <c r="AC43" s="47">
        <v>2.0</v>
      </c>
      <c r="AD43" s="47">
        <v>0.0</v>
      </c>
      <c r="AE43" s="47">
        <v>0.0</v>
      </c>
      <c r="AF43" s="47">
        <v>0.0</v>
      </c>
      <c r="AG43" s="47">
        <v>0.0</v>
      </c>
    </row>
    <row r="44" ht="15.75" customHeight="1">
      <c r="A44" s="35">
        <f>Bill!$Y44</f>
        <v>45602</v>
      </c>
      <c r="B44" s="43">
        <f>'Raw Data'!E46+Bill!$L$2</f>
        <v>170</v>
      </c>
      <c r="C44" s="43">
        <f>'Raw Data'!E46+Bill!$M$2</f>
        <v>175</v>
      </c>
      <c r="D44" s="43">
        <f>('Raw Data'!$F46*2)-10</f>
        <v>272</v>
      </c>
      <c r="E44" s="43">
        <f>'Raw Data'!F46+Bill!$O$2</f>
        <v>161</v>
      </c>
      <c r="F44" s="43">
        <f>'Raw Data'!F46+Bill!$P$2</f>
        <v>166</v>
      </c>
      <c r="G44" s="43"/>
      <c r="H44" s="43">
        <f>('Raw Data'!F46+Bill!$R$2)</f>
        <v>161</v>
      </c>
      <c r="I44" s="36">
        <f>'Raw Data'!G46/100</f>
        <v>6.11</v>
      </c>
      <c r="K44" s="37">
        <f>Bill!$Y44</f>
        <v>45602</v>
      </c>
      <c r="L44" s="38">
        <f>Bill!$AA44*('Raw Data'!$E46+$L$2)</f>
        <v>1683</v>
      </c>
      <c r="M44" s="38">
        <f>Bill!$AB44*('Raw Data'!$E46+$M$2)</f>
        <v>1400</v>
      </c>
      <c r="N44" s="38">
        <f>(('Raw Data'!$F46 * 2)-10)*Bill!$AC44</f>
        <v>1088</v>
      </c>
      <c r="O44" s="38">
        <f>('Raw Data'!F46+Bill!$O$2)*Bill!$AD44</f>
        <v>0</v>
      </c>
      <c r="P44" s="38">
        <f>('Raw Data'!F46+Bill!$P$2)*Bill!$AE44</f>
        <v>0</v>
      </c>
      <c r="Q44" s="38">
        <f>Bill!$Z44*('Raw Data'!$E46+$Q$2)</f>
        <v>0</v>
      </c>
      <c r="R44" s="38">
        <f>('Raw Data'!F46+Bill!$R$2)*Bill!$AF44</f>
        <v>0</v>
      </c>
      <c r="S44" s="48">
        <f>('Raw Data'!G46/100)*Bill!$AG44</f>
        <v>916.5</v>
      </c>
      <c r="T44" s="38">
        <f>SUM(Bill!$L44:$R44)</f>
        <v>4171</v>
      </c>
      <c r="U44" s="49">
        <v>4171.0</v>
      </c>
      <c r="V44" s="50"/>
      <c r="W44" s="38">
        <f>Bill!$U44-Bill!$T44</f>
        <v>0</v>
      </c>
      <c r="Y44" s="37">
        <f>'Raw Data'!D46</f>
        <v>45602</v>
      </c>
      <c r="Z44" s="41">
        <v>0.0</v>
      </c>
      <c r="AA44" s="47">
        <v>9.9</v>
      </c>
      <c r="AB44" s="47">
        <v>8.0</v>
      </c>
      <c r="AC44" s="47">
        <v>4.0</v>
      </c>
      <c r="AD44" s="47">
        <v>0.0</v>
      </c>
      <c r="AE44" s="47">
        <v>0.0</v>
      </c>
      <c r="AF44" s="47">
        <v>0.0</v>
      </c>
      <c r="AG44" s="47">
        <v>150.0</v>
      </c>
    </row>
    <row r="45" ht="15.75" customHeight="1">
      <c r="A45" s="35">
        <f>Bill!$Y45</f>
        <v>45603</v>
      </c>
      <c r="B45" s="43">
        <f>'Raw Data'!E47+Bill!$L$2</f>
        <v>168</v>
      </c>
      <c r="C45" s="43">
        <f>'Raw Data'!E47+Bill!$M$2</f>
        <v>173</v>
      </c>
      <c r="D45" s="43">
        <f>('Raw Data'!$F47*2)-10</f>
        <v>272</v>
      </c>
      <c r="E45" s="43">
        <f>'Raw Data'!F47+Bill!$O$2</f>
        <v>161</v>
      </c>
      <c r="F45" s="43">
        <f>'Raw Data'!F47+Bill!$P$2</f>
        <v>166</v>
      </c>
      <c r="G45" s="43"/>
      <c r="H45" s="43">
        <f>('Raw Data'!F47+Bill!$R$2)</f>
        <v>161</v>
      </c>
      <c r="I45" s="36">
        <f>'Raw Data'!G47/100</f>
        <v>6.11</v>
      </c>
      <c r="K45" s="37">
        <f>Bill!$Y45</f>
        <v>45603</v>
      </c>
      <c r="L45" s="38">
        <f>Bill!$AA45*('Raw Data'!$E47+$L$2)</f>
        <v>1251.6</v>
      </c>
      <c r="M45" s="38">
        <f>Bill!$AB45*('Raw Data'!$E47+$M$2)</f>
        <v>1730</v>
      </c>
      <c r="N45" s="38">
        <f>(('Raw Data'!$F47 * 2)-10)*Bill!$AC45</f>
        <v>1360</v>
      </c>
      <c r="O45" s="38">
        <f>('Raw Data'!F47+Bill!$O$2)*Bill!$AD45</f>
        <v>0</v>
      </c>
      <c r="P45" s="38">
        <f>('Raw Data'!F47+Bill!$P$2)*Bill!$AE45</f>
        <v>332</v>
      </c>
      <c r="Q45" s="38">
        <f>Bill!$Z45*('Raw Data'!$E47+$Q$2)</f>
        <v>0</v>
      </c>
      <c r="R45" s="38">
        <f>('Raw Data'!F47+Bill!$R$2)*Bill!$AF45</f>
        <v>0</v>
      </c>
      <c r="S45" s="48">
        <f>('Raw Data'!G47/100)*Bill!$AG45</f>
        <v>0</v>
      </c>
      <c r="T45" s="38">
        <f>SUM(Bill!$L45:$R45)</f>
        <v>4673.6</v>
      </c>
      <c r="U45" s="49">
        <v>4673.0</v>
      </c>
      <c r="V45" s="50"/>
      <c r="W45" s="38">
        <f>Bill!$U45-Bill!$T45</f>
        <v>-0.6</v>
      </c>
      <c r="Y45" s="37">
        <f>'Raw Data'!D47</f>
        <v>45603</v>
      </c>
      <c r="Z45" s="41">
        <v>0.0</v>
      </c>
      <c r="AA45" s="47">
        <v>7.45</v>
      </c>
      <c r="AB45" s="47">
        <v>10.0</v>
      </c>
      <c r="AC45" s="47">
        <v>5.0</v>
      </c>
      <c r="AD45" s="47">
        <v>0.0</v>
      </c>
      <c r="AE45" s="47">
        <v>2.0</v>
      </c>
      <c r="AF45" s="47">
        <v>0.0</v>
      </c>
      <c r="AG45" s="47">
        <v>0.0</v>
      </c>
    </row>
    <row r="46" ht="15.75" customHeight="1">
      <c r="A46" s="35">
        <f>Bill!$Y46</f>
        <v>45604</v>
      </c>
      <c r="B46" s="43">
        <f>'Raw Data'!E48+Bill!$L$2</f>
        <v>168</v>
      </c>
      <c r="C46" s="43">
        <f>'Raw Data'!E48+Bill!$M$2</f>
        <v>173</v>
      </c>
      <c r="D46" s="43">
        <f>('Raw Data'!$F48*2)-10</f>
        <v>272</v>
      </c>
      <c r="E46" s="43">
        <f>'Raw Data'!F48+Bill!$O$2</f>
        <v>161</v>
      </c>
      <c r="F46" s="43">
        <f>'Raw Data'!F48+Bill!$P$2</f>
        <v>166</v>
      </c>
      <c r="G46" s="43"/>
      <c r="H46" s="43">
        <f>('Raw Data'!F48+Bill!$R$2)</f>
        <v>161</v>
      </c>
      <c r="I46" s="36">
        <f>'Raw Data'!G48/100</f>
        <v>6.15</v>
      </c>
      <c r="K46" s="37">
        <f>Bill!$Y46</f>
        <v>45604</v>
      </c>
      <c r="L46" s="38">
        <f>Bill!$AA46*('Raw Data'!$E48+$L$2)</f>
        <v>1848</v>
      </c>
      <c r="M46" s="38">
        <f>Bill!$AB46*('Raw Data'!$E48+$M$2)</f>
        <v>3460</v>
      </c>
      <c r="N46" s="38">
        <f>(('Raw Data'!$F48 * 2)-10)*Bill!$AC46</f>
        <v>816</v>
      </c>
      <c r="O46" s="38">
        <f>('Raw Data'!F48+Bill!$O$2)*Bill!$AD46</f>
        <v>322</v>
      </c>
      <c r="P46" s="38">
        <f>('Raw Data'!F48+Bill!$P$2)*Bill!$AE46</f>
        <v>0</v>
      </c>
      <c r="Q46" s="38">
        <f>Bill!$Z46*('Raw Data'!$E48+$Q$2)</f>
        <v>0</v>
      </c>
      <c r="R46" s="38">
        <f>('Raw Data'!F48+Bill!$R$2)*Bill!$AF46</f>
        <v>0</v>
      </c>
      <c r="S46" s="48">
        <f>('Raw Data'!G48/100)*Bill!$AG46</f>
        <v>0</v>
      </c>
      <c r="T46" s="38">
        <f>SUM(Bill!$L46:$R46)</f>
        <v>6446</v>
      </c>
      <c r="U46" s="49">
        <v>6446.0</v>
      </c>
      <c r="V46" s="50"/>
      <c r="W46" s="38">
        <f>Bill!$U46-Bill!$T46</f>
        <v>0</v>
      </c>
      <c r="Y46" s="37">
        <f>'Raw Data'!D48</f>
        <v>45604</v>
      </c>
      <c r="Z46" s="41">
        <v>0.0</v>
      </c>
      <c r="AA46" s="47">
        <v>11.0</v>
      </c>
      <c r="AB46" s="47">
        <v>20.0</v>
      </c>
      <c r="AC46" s="47">
        <v>3.0</v>
      </c>
      <c r="AD46" s="47">
        <v>2.0</v>
      </c>
      <c r="AE46" s="47">
        <v>0.0</v>
      </c>
      <c r="AF46" s="47">
        <v>0.0</v>
      </c>
      <c r="AG46" s="47">
        <v>0.0</v>
      </c>
    </row>
    <row r="47" ht="15.75" customHeight="1">
      <c r="A47" s="35">
        <f>Bill!$Y47</f>
        <v>45605</v>
      </c>
      <c r="B47" s="43">
        <f>'Raw Data'!E49+Bill!$L$2</f>
        <v>168</v>
      </c>
      <c r="C47" s="43">
        <f>'Raw Data'!E49+Bill!$M$2</f>
        <v>173</v>
      </c>
      <c r="D47" s="43">
        <f>('Raw Data'!$F49*2)-10</f>
        <v>272</v>
      </c>
      <c r="E47" s="43">
        <f>'Raw Data'!F49+Bill!$O$2</f>
        <v>161</v>
      </c>
      <c r="F47" s="43">
        <f>'Raw Data'!F49+Bill!$P$2</f>
        <v>166</v>
      </c>
      <c r="G47" s="43"/>
      <c r="H47" s="43">
        <f>('Raw Data'!F49+Bill!$R$2)</f>
        <v>161</v>
      </c>
      <c r="I47" s="36">
        <f>'Raw Data'!G49/100</f>
        <v>6.15</v>
      </c>
      <c r="K47" s="37">
        <f>Bill!$Y47</f>
        <v>45605</v>
      </c>
      <c r="L47" s="38">
        <f>Bill!$AA47*('Raw Data'!$E49+$L$2)</f>
        <v>1562.4</v>
      </c>
      <c r="M47" s="38">
        <f>Bill!$AB47*('Raw Data'!$E49+$M$2)</f>
        <v>2595</v>
      </c>
      <c r="N47" s="38">
        <f>(('Raw Data'!$F49 * 2)-10)*Bill!$AC47</f>
        <v>1632</v>
      </c>
      <c r="O47" s="38">
        <f>('Raw Data'!F49+Bill!$O$2)*Bill!$AD47</f>
        <v>0</v>
      </c>
      <c r="P47" s="38">
        <f>('Raw Data'!F49+Bill!$P$2)*Bill!$AE47</f>
        <v>0</v>
      </c>
      <c r="Q47" s="38">
        <f>Bill!$Z47*('Raw Data'!$E49+$Q$2)</f>
        <v>0</v>
      </c>
      <c r="R47" s="38">
        <f>('Raw Data'!F49+Bill!$R$2)*Bill!$AF47</f>
        <v>0</v>
      </c>
      <c r="S47" s="48">
        <f>('Raw Data'!G49/100)*Bill!$AG47</f>
        <v>553.5</v>
      </c>
      <c r="T47" s="38">
        <f>SUM(Bill!$L47:$R47)</f>
        <v>5789.4</v>
      </c>
      <c r="U47" s="49">
        <v>5789.0</v>
      </c>
      <c r="V47" s="50"/>
      <c r="W47" s="38">
        <f>Bill!$U47-Bill!$T47</f>
        <v>-0.4</v>
      </c>
      <c r="Y47" s="37">
        <f>'Raw Data'!D49</f>
        <v>45605</v>
      </c>
      <c r="Z47" s="41">
        <v>0.0</v>
      </c>
      <c r="AA47" s="47">
        <v>9.3</v>
      </c>
      <c r="AB47" s="47">
        <v>15.0</v>
      </c>
      <c r="AC47" s="47">
        <v>6.0</v>
      </c>
      <c r="AD47" s="47">
        <v>0.0</v>
      </c>
      <c r="AE47" s="47">
        <v>0.0</v>
      </c>
      <c r="AF47" s="47">
        <v>0.0</v>
      </c>
      <c r="AG47" s="47">
        <v>90.0</v>
      </c>
    </row>
    <row r="48" ht="15.75" customHeight="1">
      <c r="A48" s="35">
        <f>Bill!$Y48</f>
        <v>45606</v>
      </c>
      <c r="B48" s="43">
        <f>'Raw Data'!E50+Bill!$L$2</f>
        <v>168</v>
      </c>
      <c r="C48" s="43">
        <f>'Raw Data'!E50+Bill!$M$2</f>
        <v>173</v>
      </c>
      <c r="D48" s="43">
        <f>('Raw Data'!$F50*2)-10</f>
        <v>268</v>
      </c>
      <c r="E48" s="43">
        <f>'Raw Data'!F50+Bill!$O$2</f>
        <v>159</v>
      </c>
      <c r="F48" s="43">
        <f>'Raw Data'!F50+Bill!$P$2</f>
        <v>164</v>
      </c>
      <c r="G48" s="43"/>
      <c r="H48" s="43">
        <f>('Raw Data'!F50+Bill!$R$2)</f>
        <v>159</v>
      </c>
      <c r="I48" s="36">
        <f>'Raw Data'!G50/100</f>
        <v>6.15</v>
      </c>
      <c r="K48" s="37">
        <f>Bill!$Y48</f>
        <v>45606</v>
      </c>
      <c r="L48" s="38">
        <f>Bill!$AA48*('Raw Data'!$E50+$L$2)</f>
        <v>0</v>
      </c>
      <c r="M48" s="38">
        <f>Bill!$AB48*('Raw Data'!$E50+$M$2)</f>
        <v>519</v>
      </c>
      <c r="N48" s="38">
        <f>(('Raw Data'!$F50 * 2)-10)*Bill!$AC48</f>
        <v>2144</v>
      </c>
      <c r="O48" s="38">
        <f>('Raw Data'!F50+Bill!$O$2)*Bill!$AD48</f>
        <v>0</v>
      </c>
      <c r="P48" s="38">
        <f>('Raw Data'!F50+Bill!$P$2)*Bill!$AE48</f>
        <v>328</v>
      </c>
      <c r="Q48" s="38">
        <f>Bill!$Z48*('Raw Data'!$E50+$Q$2)</f>
        <v>0</v>
      </c>
      <c r="R48" s="38">
        <f>('Raw Data'!F50+Bill!$R$2)*Bill!$AF48</f>
        <v>564.45</v>
      </c>
      <c r="S48" s="48">
        <f>('Raw Data'!G50/100)*Bill!$AG48</f>
        <v>0</v>
      </c>
      <c r="T48" s="38">
        <f>SUM(Bill!$L48:$R48)</f>
        <v>3555.45</v>
      </c>
      <c r="U48" s="49">
        <v>3587.0</v>
      </c>
      <c r="V48" s="50"/>
      <c r="W48" s="38">
        <f>Bill!$U48-Bill!$T48</f>
        <v>31.55</v>
      </c>
      <c r="Y48" s="37">
        <f>'Raw Data'!D50</f>
        <v>45606</v>
      </c>
      <c r="Z48" s="41">
        <v>0.0</v>
      </c>
      <c r="AA48" s="47">
        <v>0.0</v>
      </c>
      <c r="AB48" s="47">
        <v>3.0</v>
      </c>
      <c r="AC48" s="47">
        <v>8.0</v>
      </c>
      <c r="AD48" s="47"/>
      <c r="AE48" s="47">
        <v>2.0</v>
      </c>
      <c r="AF48" s="47">
        <v>3.55</v>
      </c>
      <c r="AG48" s="47">
        <v>0.0</v>
      </c>
    </row>
    <row r="49" ht="15.75" customHeight="1">
      <c r="A49" s="35">
        <f>Bill!$Y49</f>
        <v>45607</v>
      </c>
      <c r="B49" s="43">
        <f>'Raw Data'!E51+Bill!$L$2</f>
        <v>168</v>
      </c>
      <c r="C49" s="43">
        <f>'Raw Data'!E51+Bill!$M$2</f>
        <v>173</v>
      </c>
      <c r="D49" s="43">
        <f>('Raw Data'!$F51*2)-10</f>
        <v>268</v>
      </c>
      <c r="E49" s="43">
        <f>'Raw Data'!F51+Bill!$O$2</f>
        <v>159</v>
      </c>
      <c r="F49" s="43">
        <f>'Raw Data'!F51+Bill!$P$2</f>
        <v>164</v>
      </c>
      <c r="G49" s="43"/>
      <c r="H49" s="43">
        <f>('Raw Data'!F51+Bill!$R$2)</f>
        <v>159</v>
      </c>
      <c r="I49" s="36">
        <f>'Raw Data'!G51/100</f>
        <v>6.15</v>
      </c>
      <c r="K49" s="37">
        <f>Bill!$Y49</f>
        <v>45607</v>
      </c>
      <c r="L49" s="38">
        <f>Bill!$AA49*('Raw Data'!$E51+$L$2)</f>
        <v>1848</v>
      </c>
      <c r="M49" s="38">
        <f>Bill!$AB49*('Raw Data'!$E51+$M$2)</f>
        <v>3114</v>
      </c>
      <c r="N49" s="38">
        <f>(('Raw Data'!$F51 * 2)-10)*Bill!$AC49</f>
        <v>2144</v>
      </c>
      <c r="O49" s="38">
        <f>('Raw Data'!F51+Bill!$O$2)*Bill!$AD49</f>
        <v>492.9</v>
      </c>
      <c r="P49" s="38">
        <f>('Raw Data'!F51+Bill!$P$2)*Bill!$AE49</f>
        <v>328</v>
      </c>
      <c r="Q49" s="38">
        <f>Bill!$Z49*('Raw Data'!$E51+$Q$2)</f>
        <v>0</v>
      </c>
      <c r="R49" s="38">
        <f>('Raw Data'!F51+Bill!$R$2)*Bill!$AF49</f>
        <v>0</v>
      </c>
      <c r="S49" s="48">
        <f>('Raw Data'!G51/100)*Bill!$AG49</f>
        <v>922.5</v>
      </c>
      <c r="T49" s="38">
        <f>SUM(Bill!$L49:$R49)</f>
        <v>7926.9</v>
      </c>
      <c r="U49" s="49">
        <v>7927.0</v>
      </c>
      <c r="V49" s="50"/>
      <c r="W49" s="38">
        <f>Bill!$U49-Bill!$T49</f>
        <v>0.1</v>
      </c>
      <c r="Y49" s="37">
        <f>'Raw Data'!D51</f>
        <v>45607</v>
      </c>
      <c r="Z49" s="41">
        <v>0.0</v>
      </c>
      <c r="AA49" s="47">
        <v>11.0</v>
      </c>
      <c r="AB49" s="47">
        <v>18.0</v>
      </c>
      <c r="AC49" s="47">
        <v>8.0</v>
      </c>
      <c r="AD49" s="47">
        <v>3.1</v>
      </c>
      <c r="AE49" s="47">
        <v>2.0</v>
      </c>
      <c r="AF49" s="47">
        <v>0.0</v>
      </c>
      <c r="AG49" s="47">
        <v>150.0</v>
      </c>
    </row>
    <row r="50" ht="15.75" customHeight="1">
      <c r="A50" s="35">
        <f>Bill!$Y50</f>
        <v>45608</v>
      </c>
      <c r="B50" s="43">
        <f>'Raw Data'!E52+Bill!$L$2</f>
        <v>166</v>
      </c>
      <c r="C50" s="43">
        <f>'Raw Data'!E52+Bill!$M$2</f>
        <v>171</v>
      </c>
      <c r="D50" s="43">
        <f>('Raw Data'!$F52*2)-10</f>
        <v>262</v>
      </c>
      <c r="E50" s="43">
        <f>'Raw Data'!F52+Bill!$O$2</f>
        <v>156</v>
      </c>
      <c r="F50" s="43">
        <f>'Raw Data'!F52+Bill!$P$2</f>
        <v>161</v>
      </c>
      <c r="G50" s="43"/>
      <c r="H50" s="43">
        <f>('Raw Data'!F52+Bill!$R$2)</f>
        <v>156</v>
      </c>
      <c r="I50" s="36">
        <f>'Raw Data'!G52/100</f>
        <v>6.15</v>
      </c>
      <c r="K50" s="37">
        <f>Bill!$Y50</f>
        <v>45608</v>
      </c>
      <c r="L50" s="38">
        <f>Bill!$AA50*('Raw Data'!$E52+$L$2)</f>
        <v>747</v>
      </c>
      <c r="M50" s="38">
        <f>Bill!$AB50*('Raw Data'!$E52+$M$2)</f>
        <v>0</v>
      </c>
      <c r="N50" s="38">
        <f>(('Raw Data'!$F52 * 2)-10)*Bill!$AC50</f>
        <v>1310</v>
      </c>
      <c r="O50" s="38">
        <f>('Raw Data'!F52+Bill!$O$2)*Bill!$AD50</f>
        <v>0</v>
      </c>
      <c r="P50" s="38">
        <f>('Raw Data'!F52+Bill!$P$2)*Bill!$AE50</f>
        <v>483</v>
      </c>
      <c r="Q50" s="38">
        <f>Bill!$Z50*('Raw Data'!$E52+$Q$2)</f>
        <v>0</v>
      </c>
      <c r="R50" s="38">
        <f>('Raw Data'!F52+Bill!$R$2)*Bill!$AF50</f>
        <v>0</v>
      </c>
      <c r="S50" s="48">
        <f>('Raw Data'!G52/100)*Bill!$AG50</f>
        <v>0</v>
      </c>
      <c r="T50" s="38">
        <f>SUM(Bill!$L50:$R50)</f>
        <v>2540</v>
      </c>
      <c r="U50" s="49">
        <v>2562.0</v>
      </c>
      <c r="V50" s="50"/>
      <c r="W50" s="38">
        <f>Bill!$U50-Bill!$T50</f>
        <v>22</v>
      </c>
      <c r="Y50" s="37">
        <f>'Raw Data'!D52</f>
        <v>45608</v>
      </c>
      <c r="Z50" s="41">
        <v>0.0</v>
      </c>
      <c r="AA50" s="47">
        <v>4.5</v>
      </c>
      <c r="AB50" s="47">
        <v>0.0</v>
      </c>
      <c r="AC50" s="47">
        <v>5.0</v>
      </c>
      <c r="AD50" s="47">
        <v>0.0</v>
      </c>
      <c r="AE50" s="47">
        <v>3.0</v>
      </c>
      <c r="AF50" s="47">
        <v>0.0</v>
      </c>
      <c r="AG50" s="47">
        <v>0.0</v>
      </c>
    </row>
    <row r="51" ht="15.75" customHeight="1">
      <c r="A51" s="35">
        <f>Bill!$Y51</f>
        <v>45609</v>
      </c>
      <c r="B51" s="43">
        <f>'Raw Data'!E53+Bill!$L$2</f>
        <v>162</v>
      </c>
      <c r="C51" s="43">
        <f>'Raw Data'!E53+Bill!$M$2</f>
        <v>167</v>
      </c>
      <c r="D51" s="43">
        <f>('Raw Data'!$F53*2)-10</f>
        <v>250</v>
      </c>
      <c r="E51" s="43">
        <f>'Raw Data'!F53+Bill!$O$2</f>
        <v>150</v>
      </c>
      <c r="F51" s="43">
        <f>'Raw Data'!F53+Bill!$P$2</f>
        <v>155</v>
      </c>
      <c r="G51" s="43"/>
      <c r="H51" s="43">
        <f>('Raw Data'!F53+Bill!$R$2)</f>
        <v>150</v>
      </c>
      <c r="I51" s="36">
        <f>'Raw Data'!G53/100</f>
        <v>6</v>
      </c>
      <c r="K51" s="37">
        <f>Bill!$Y51</f>
        <v>45609</v>
      </c>
      <c r="L51" s="38">
        <f>Bill!$AA51*('Raw Data'!$E53+$L$2)</f>
        <v>1684.8</v>
      </c>
      <c r="M51" s="38">
        <f>Bill!$AB51*('Raw Data'!$E53+$M$2)</f>
        <v>2004</v>
      </c>
      <c r="N51" s="38">
        <f>(('Raw Data'!$F53 * 2)-10)*Bill!$AC51</f>
        <v>2000</v>
      </c>
      <c r="O51" s="38">
        <f>('Raw Data'!F53+Bill!$O$2)*Bill!$AD51</f>
        <v>0</v>
      </c>
      <c r="P51" s="38">
        <f>('Raw Data'!F53+Bill!$P$2)*Bill!$AE51</f>
        <v>465</v>
      </c>
      <c r="Q51" s="38">
        <f>Bill!$Z51*('Raw Data'!$E53+$Q$2)</f>
        <v>0</v>
      </c>
      <c r="R51" s="38">
        <f>('Raw Data'!F53+Bill!$R$2)*Bill!$AF51</f>
        <v>0</v>
      </c>
      <c r="S51" s="48">
        <f>('Raw Data'!G53/100)*Bill!$AG51</f>
        <v>1260</v>
      </c>
      <c r="T51" s="38">
        <f>SUM(Bill!$L51:$R51)</f>
        <v>6153.8</v>
      </c>
      <c r="U51" s="49">
        <v>6153.0</v>
      </c>
      <c r="V51" s="50"/>
      <c r="W51" s="38">
        <f>Bill!$U51-Bill!$T51</f>
        <v>-0.8</v>
      </c>
      <c r="Y51" s="37">
        <f>'Raw Data'!D53</f>
        <v>45609</v>
      </c>
      <c r="Z51" s="41">
        <v>0.0</v>
      </c>
      <c r="AA51" s="47">
        <v>10.4</v>
      </c>
      <c r="AB51" s="47">
        <v>12.0</v>
      </c>
      <c r="AC51" s="47">
        <v>8.0</v>
      </c>
      <c r="AD51" s="47">
        <v>0.0</v>
      </c>
      <c r="AE51" s="47">
        <v>3.0</v>
      </c>
      <c r="AF51" s="47">
        <v>0.0</v>
      </c>
      <c r="AG51" s="47">
        <v>210.0</v>
      </c>
    </row>
    <row r="52" ht="15.75" customHeight="1">
      <c r="A52" s="35">
        <f>Bill!$Y52</f>
        <v>45610</v>
      </c>
      <c r="B52" s="43">
        <f>'Raw Data'!E54+Bill!$L$2</f>
        <v>158</v>
      </c>
      <c r="C52" s="43">
        <f>'Raw Data'!E54+Bill!$M$2</f>
        <v>163</v>
      </c>
      <c r="D52" s="43">
        <f>('Raw Data'!$F54*2)-10</f>
        <v>238</v>
      </c>
      <c r="E52" s="43">
        <f>'Raw Data'!F54+Bill!$O$2</f>
        <v>144</v>
      </c>
      <c r="F52" s="43">
        <f>'Raw Data'!F54+Bill!$P$2</f>
        <v>149</v>
      </c>
      <c r="G52" s="43"/>
      <c r="H52" s="43">
        <f>('Raw Data'!F54+Bill!$R$2)</f>
        <v>144</v>
      </c>
      <c r="I52" s="36">
        <f>'Raw Data'!G54/100</f>
        <v>6</v>
      </c>
      <c r="K52" s="37">
        <f>Bill!$Y52</f>
        <v>45610</v>
      </c>
      <c r="L52" s="38">
        <f>Bill!$AA52*('Raw Data'!$E54+$L$2)</f>
        <v>900.6</v>
      </c>
      <c r="M52" s="38">
        <f>Bill!$AB52*('Raw Data'!$E54+$M$2)</f>
        <v>1972.3</v>
      </c>
      <c r="N52" s="38">
        <f>(('Raw Data'!$F54 * 2)-10)*Bill!$AC52</f>
        <v>2380</v>
      </c>
      <c r="O52" s="38">
        <f>('Raw Data'!F54+Bill!$O$2)*Bill!$AD52</f>
        <v>0</v>
      </c>
      <c r="P52" s="38">
        <f>('Raw Data'!F54+Bill!$P$2)*Bill!$AE52</f>
        <v>298</v>
      </c>
      <c r="Q52" s="38">
        <f>Bill!$Z52*('Raw Data'!$E54+$Q$2)</f>
        <v>0</v>
      </c>
      <c r="R52" s="38">
        <f>('Raw Data'!F54+Bill!$R$2)*Bill!$AF52</f>
        <v>0</v>
      </c>
      <c r="S52" s="48">
        <f>('Raw Data'!G54/100)*Bill!$AG52</f>
        <v>0</v>
      </c>
      <c r="T52" s="38">
        <f>SUM(Bill!$L52:$R52)</f>
        <v>5550.9</v>
      </c>
      <c r="U52" s="49">
        <v>5551.0</v>
      </c>
      <c r="V52" s="50"/>
      <c r="W52" s="38">
        <f>Bill!$U52-Bill!$T52</f>
        <v>0.1</v>
      </c>
      <c r="Y52" s="37">
        <f>'Raw Data'!D54</f>
        <v>45610</v>
      </c>
      <c r="Z52" s="41">
        <v>0.0</v>
      </c>
      <c r="AA52" s="47">
        <v>5.7</v>
      </c>
      <c r="AB52" s="47">
        <v>12.1</v>
      </c>
      <c r="AC52" s="47">
        <v>10.0</v>
      </c>
      <c r="AD52" s="47">
        <v>0.0</v>
      </c>
      <c r="AE52" s="47">
        <v>2.0</v>
      </c>
      <c r="AF52" s="47">
        <v>0.0</v>
      </c>
      <c r="AG52" s="47">
        <v>0.0</v>
      </c>
    </row>
    <row r="53" ht="15.75" customHeight="1">
      <c r="A53" s="35">
        <f>Bill!$Y53</f>
        <v>45611</v>
      </c>
      <c r="B53" s="43">
        <f>'Raw Data'!E55+Bill!$L$2</f>
        <v>156</v>
      </c>
      <c r="C53" s="43">
        <f>'Raw Data'!E55+Bill!$M$2</f>
        <v>161</v>
      </c>
      <c r="D53" s="43">
        <f>('Raw Data'!$F55*2)-10</f>
        <v>224</v>
      </c>
      <c r="E53" s="43">
        <f>'Raw Data'!F55+Bill!$O$2</f>
        <v>137</v>
      </c>
      <c r="F53" s="43">
        <f>'Raw Data'!F55+Bill!$P$2</f>
        <v>142</v>
      </c>
      <c r="G53" s="43"/>
      <c r="H53" s="43">
        <f>('Raw Data'!F55+Bill!$R$2)</f>
        <v>137</v>
      </c>
      <c r="I53" s="36">
        <f>'Raw Data'!G55/100</f>
        <v>6</v>
      </c>
      <c r="K53" s="37">
        <f>Bill!$Y53</f>
        <v>45611</v>
      </c>
      <c r="L53" s="38">
        <f>Bill!$AA53*('Raw Data'!$E55+$L$2)</f>
        <v>670.8</v>
      </c>
      <c r="M53" s="38">
        <f>Bill!$AB53*('Raw Data'!$E55+$M$2)</f>
        <v>2415</v>
      </c>
      <c r="N53" s="38">
        <f>(('Raw Data'!$F55 * 2)-10)*Bill!$AC53</f>
        <v>1792</v>
      </c>
      <c r="O53" s="38">
        <f>('Raw Data'!F55+Bill!$O$2)*Bill!$AD53</f>
        <v>0</v>
      </c>
      <c r="P53" s="38">
        <f>('Raw Data'!F55+Bill!$P$2)*Bill!$AE53</f>
        <v>426</v>
      </c>
      <c r="Q53" s="38">
        <f>Bill!$Z53*('Raw Data'!$E55+$Q$2)</f>
        <v>0</v>
      </c>
      <c r="R53" s="38">
        <f>('Raw Data'!F55+Bill!$R$2)*Bill!$AF53</f>
        <v>0</v>
      </c>
      <c r="S53" s="48">
        <f>('Raw Data'!G55/100)*Bill!$AG53</f>
        <v>0</v>
      </c>
      <c r="T53" s="38">
        <f>SUM(Bill!$L53:$R53)</f>
        <v>5303.8</v>
      </c>
      <c r="U53" s="49">
        <v>5304.0</v>
      </c>
      <c r="V53" s="50"/>
      <c r="W53" s="38">
        <f>Bill!$U53-Bill!$T53</f>
        <v>0.2</v>
      </c>
      <c r="Y53" s="37">
        <f>'Raw Data'!D55</f>
        <v>45611</v>
      </c>
      <c r="Z53" s="41">
        <v>0.0</v>
      </c>
      <c r="AA53" s="47">
        <v>4.3</v>
      </c>
      <c r="AB53" s="47">
        <v>15.0</v>
      </c>
      <c r="AC53" s="47">
        <v>8.0</v>
      </c>
      <c r="AD53" s="47">
        <v>0.0</v>
      </c>
      <c r="AE53" s="47">
        <v>3.0</v>
      </c>
      <c r="AF53" s="47">
        <v>0.0</v>
      </c>
      <c r="AG53" s="47">
        <v>0.0</v>
      </c>
    </row>
    <row r="54" ht="15.75" customHeight="1">
      <c r="A54" s="35">
        <f>Bill!$Y54</f>
        <v>45612</v>
      </c>
      <c r="B54" s="43">
        <f>'Raw Data'!E56+Bill!$L$2</f>
        <v>156</v>
      </c>
      <c r="C54" s="43">
        <f>'Raw Data'!E56+Bill!$M$2</f>
        <v>161</v>
      </c>
      <c r="D54" s="43">
        <f>('Raw Data'!$F56*2)-10</f>
        <v>224</v>
      </c>
      <c r="E54" s="43">
        <f>'Raw Data'!F56+Bill!$O$2</f>
        <v>137</v>
      </c>
      <c r="F54" s="43">
        <f>'Raw Data'!F56+Bill!$P$2</f>
        <v>142</v>
      </c>
      <c r="G54" s="43"/>
      <c r="H54" s="43">
        <f>('Raw Data'!F56+Bill!$R$2)</f>
        <v>137</v>
      </c>
      <c r="I54" s="36">
        <f>'Raw Data'!G56/100</f>
        <v>6</v>
      </c>
      <c r="K54" s="37">
        <f>Bill!$Y54</f>
        <v>45612</v>
      </c>
      <c r="L54" s="38">
        <f>Bill!$AA54*('Raw Data'!$E56+$L$2)</f>
        <v>1661.4</v>
      </c>
      <c r="M54" s="38">
        <f>Bill!$AB54*('Raw Data'!$E56+$M$2)</f>
        <v>2415</v>
      </c>
      <c r="N54" s="38">
        <f>(('Raw Data'!$F56 * 2)-10)*Bill!$AC54</f>
        <v>1120</v>
      </c>
      <c r="O54" s="38">
        <f>('Raw Data'!F56+Bill!$O$2)*Bill!$AD54</f>
        <v>137</v>
      </c>
      <c r="P54" s="38">
        <f>('Raw Data'!F56+Bill!$P$2)*Bill!$AE54</f>
        <v>0</v>
      </c>
      <c r="Q54" s="38">
        <f>Bill!$Z54*('Raw Data'!$E56+$Q$2)</f>
        <v>0</v>
      </c>
      <c r="R54" s="38">
        <f>('Raw Data'!F56+Bill!$R$2)*Bill!$AF54</f>
        <v>0</v>
      </c>
      <c r="S54" s="48">
        <f>('Raw Data'!G56/100)*Bill!$AG54</f>
        <v>1260</v>
      </c>
      <c r="T54" s="38">
        <f>SUM(Bill!$L54:$R54)</f>
        <v>5333.4</v>
      </c>
      <c r="U54" s="49">
        <v>5333.0</v>
      </c>
      <c r="V54" s="50"/>
      <c r="W54" s="38">
        <f>Bill!$U54-Bill!$T54</f>
        <v>-0.4</v>
      </c>
      <c r="Y54" s="37">
        <f>'Raw Data'!D56</f>
        <v>45612</v>
      </c>
      <c r="Z54" s="41">
        <v>0.0</v>
      </c>
      <c r="AA54" s="47">
        <v>10.65</v>
      </c>
      <c r="AB54" s="47">
        <v>15.0</v>
      </c>
      <c r="AC54" s="47">
        <v>5.0</v>
      </c>
      <c r="AD54" s="47">
        <v>1.0</v>
      </c>
      <c r="AE54" s="47">
        <v>0.0</v>
      </c>
      <c r="AF54" s="47">
        <v>0.0</v>
      </c>
      <c r="AG54" s="47">
        <v>210.0</v>
      </c>
    </row>
    <row r="55" ht="15.75" customHeight="1">
      <c r="A55" s="35">
        <f>Bill!$Y55</f>
        <v>45613</v>
      </c>
      <c r="B55" s="43">
        <f>'Raw Data'!E57+Bill!$L$2</f>
        <v>156</v>
      </c>
      <c r="C55" s="43">
        <f>'Raw Data'!E57+Bill!$M$2</f>
        <v>161</v>
      </c>
      <c r="D55" s="43">
        <f>('Raw Data'!$F57*2)-10</f>
        <v>224</v>
      </c>
      <c r="E55" s="43">
        <f>'Raw Data'!F57+Bill!$O$2</f>
        <v>137</v>
      </c>
      <c r="F55" s="43">
        <f>'Raw Data'!F57+Bill!$P$2</f>
        <v>142</v>
      </c>
      <c r="G55" s="43"/>
      <c r="H55" s="43">
        <f>('Raw Data'!F57+Bill!$R$2)</f>
        <v>137</v>
      </c>
      <c r="I55" s="36">
        <f>'Raw Data'!G57/100</f>
        <v>6.1</v>
      </c>
      <c r="K55" s="37">
        <f>Bill!$Y55</f>
        <v>45613</v>
      </c>
      <c r="L55" s="38">
        <f>Bill!$AA55*('Raw Data'!$E57+$L$2)</f>
        <v>2043.6</v>
      </c>
      <c r="M55" s="38">
        <f>Bill!$AB55*('Raw Data'!$E57+$M$2)</f>
        <v>2415</v>
      </c>
      <c r="N55" s="38">
        <f>(('Raw Data'!$F57 * 2)-10)*Bill!$AC55</f>
        <v>1792</v>
      </c>
      <c r="O55" s="38">
        <f>('Raw Data'!F57+Bill!$O$2)*Bill!$AD55</f>
        <v>0</v>
      </c>
      <c r="P55" s="38">
        <f>('Raw Data'!F57+Bill!$P$2)*Bill!$AE55</f>
        <v>426</v>
      </c>
      <c r="Q55" s="38">
        <f>Bill!$Z55*('Raw Data'!$E57+$Q$2)</f>
        <v>0</v>
      </c>
      <c r="R55" s="38">
        <f>('Raw Data'!F57+Bill!$R$2)*Bill!$AF55</f>
        <v>0</v>
      </c>
      <c r="S55" s="48">
        <f>('Raw Data'!G57/100)*Bill!$AG55</f>
        <v>0</v>
      </c>
      <c r="T55" s="38">
        <f>SUM(Bill!$L55:$R55)</f>
        <v>6676.6</v>
      </c>
      <c r="U55" s="49">
        <v>6674.0</v>
      </c>
      <c r="V55" s="50"/>
      <c r="W55" s="38">
        <f>Bill!$U55-Bill!$T55</f>
        <v>-2.6</v>
      </c>
      <c r="Y55" s="37">
        <f>'Raw Data'!D57</f>
        <v>45613</v>
      </c>
      <c r="Z55" s="41">
        <v>0.0</v>
      </c>
      <c r="AA55" s="47">
        <v>13.1</v>
      </c>
      <c r="AB55" s="47">
        <v>15.0</v>
      </c>
      <c r="AC55" s="47">
        <v>8.0</v>
      </c>
      <c r="AD55" s="47">
        <v>0.0</v>
      </c>
      <c r="AE55" s="47">
        <v>3.0</v>
      </c>
      <c r="AF55" s="47">
        <v>0.0</v>
      </c>
      <c r="AG55" s="47">
        <v>0.0</v>
      </c>
    </row>
    <row r="56" ht="15.75" customHeight="1">
      <c r="A56" s="35">
        <f>Bill!$Y56</f>
        <v>45614</v>
      </c>
      <c r="B56" s="43">
        <f>'Raw Data'!E58+Bill!$L$2</f>
        <v>156</v>
      </c>
      <c r="C56" s="43">
        <f>'Raw Data'!E58+Bill!$M$2</f>
        <v>161</v>
      </c>
      <c r="D56" s="43">
        <f>('Raw Data'!$F58*2)-10</f>
        <v>224</v>
      </c>
      <c r="E56" s="43">
        <f>'Raw Data'!F58+Bill!$O$2</f>
        <v>137</v>
      </c>
      <c r="F56" s="43">
        <f>'Raw Data'!F58+Bill!$P$2</f>
        <v>142</v>
      </c>
      <c r="G56" s="43"/>
      <c r="H56" s="43">
        <f>('Raw Data'!F58+Bill!$R$2)</f>
        <v>137</v>
      </c>
      <c r="I56" s="36">
        <f>'Raw Data'!G58/100</f>
        <v>6.1</v>
      </c>
      <c r="K56" s="37">
        <f>Bill!$Y56</f>
        <v>45614</v>
      </c>
      <c r="L56" s="38">
        <f>Bill!$AA56*('Raw Data'!$E58+$L$2)</f>
        <v>764.4</v>
      </c>
      <c r="M56" s="38">
        <f>Bill!$AB56*('Raw Data'!$E58+$M$2)</f>
        <v>1964.2</v>
      </c>
      <c r="N56" s="38">
        <f>(('Raw Data'!$F58 * 2)-10)*Bill!$AC56</f>
        <v>1120</v>
      </c>
      <c r="O56" s="38">
        <f>('Raw Data'!F58+Bill!$O$2)*Bill!$AD56</f>
        <v>164.4</v>
      </c>
      <c r="P56" s="38">
        <f>('Raw Data'!F58+Bill!$P$2)*Bill!$AE56</f>
        <v>0</v>
      </c>
      <c r="Q56" s="38">
        <f>Bill!$Z56*('Raw Data'!$E58+$Q$2)</f>
        <v>0</v>
      </c>
      <c r="R56" s="38">
        <f>('Raw Data'!F58+Bill!$R$2)*Bill!$AF56</f>
        <v>404.15</v>
      </c>
      <c r="S56" s="48">
        <f>('Raw Data'!G58/100)*Bill!$AG56</f>
        <v>0</v>
      </c>
      <c r="T56" s="38">
        <f>SUM(Bill!$L56:$R56)</f>
        <v>4417.15</v>
      </c>
      <c r="U56" s="49">
        <v>4418.0</v>
      </c>
      <c r="V56" s="50"/>
      <c r="W56" s="38">
        <f>Bill!$U56-Bill!$T56</f>
        <v>0.85</v>
      </c>
      <c r="Y56" s="37">
        <f>'Raw Data'!D58</f>
        <v>45614</v>
      </c>
      <c r="Z56" s="41">
        <v>0.0</v>
      </c>
      <c r="AA56" s="47">
        <v>4.9</v>
      </c>
      <c r="AB56" s="47">
        <v>12.2</v>
      </c>
      <c r="AC56" s="47">
        <v>5.0</v>
      </c>
      <c r="AD56" s="47">
        <v>1.2</v>
      </c>
      <c r="AE56" s="47">
        <v>0.0</v>
      </c>
      <c r="AF56" s="47">
        <v>2.95</v>
      </c>
      <c r="AG56" s="47">
        <v>0.0</v>
      </c>
    </row>
    <row r="57" ht="15.75" customHeight="1">
      <c r="A57" s="35">
        <f>Bill!$Y57</f>
        <v>45615</v>
      </c>
      <c r="B57" s="43">
        <f>'Raw Data'!E59+Bill!$L$2</f>
        <v>156</v>
      </c>
      <c r="C57" s="43">
        <f>'Raw Data'!E59+Bill!$M$2</f>
        <v>161</v>
      </c>
      <c r="D57" s="43">
        <f>('Raw Data'!$F59*2)-10</f>
        <v>220</v>
      </c>
      <c r="E57" s="43">
        <f>'Raw Data'!F59+Bill!$O$2</f>
        <v>135</v>
      </c>
      <c r="F57" s="43">
        <f>'Raw Data'!F59+Bill!$P$2</f>
        <v>140</v>
      </c>
      <c r="G57" s="43"/>
      <c r="H57" s="43">
        <f>('Raw Data'!F59+Bill!$R$2)</f>
        <v>135</v>
      </c>
      <c r="I57" s="36">
        <f>'Raw Data'!G59/100</f>
        <v>6.3</v>
      </c>
      <c r="K57" s="37">
        <f>Bill!$Y57</f>
        <v>45615</v>
      </c>
      <c r="L57" s="38">
        <f>Bill!$AA57*('Raw Data'!$E59+$L$2)</f>
        <v>0</v>
      </c>
      <c r="M57" s="38">
        <f>Bill!$AB57*('Raw Data'!$E59+$M$2)</f>
        <v>483</v>
      </c>
      <c r="N57" s="38">
        <f>(('Raw Data'!$F59 * 2)-10)*Bill!$AC57</f>
        <v>1320</v>
      </c>
      <c r="O57" s="38">
        <f>('Raw Data'!F59+Bill!$O$2)*Bill!$AD57</f>
        <v>0</v>
      </c>
      <c r="P57" s="38">
        <f>('Raw Data'!F59+Bill!$P$2)*Bill!$AE57</f>
        <v>420</v>
      </c>
      <c r="Q57" s="38">
        <f>Bill!$Z57*('Raw Data'!$E59+$Q$2)</f>
        <v>0</v>
      </c>
      <c r="R57" s="38">
        <f>('Raw Data'!F59+Bill!$R$2)*Bill!$AF57</f>
        <v>0</v>
      </c>
      <c r="S57" s="48">
        <f>('Raw Data'!G59/100)*Bill!$AG57</f>
        <v>945</v>
      </c>
      <c r="T57" s="38">
        <f>SUM(Bill!$L57:$R57)</f>
        <v>2223</v>
      </c>
      <c r="U57" s="49">
        <v>2223.0</v>
      </c>
      <c r="V57" s="50"/>
      <c r="W57" s="38">
        <f>Bill!$U57-Bill!$T57</f>
        <v>0</v>
      </c>
      <c r="Y57" s="37">
        <f>'Raw Data'!D59</f>
        <v>45615</v>
      </c>
      <c r="Z57" s="41">
        <v>0.0</v>
      </c>
      <c r="AA57" s="47">
        <v>0.0</v>
      </c>
      <c r="AB57" s="47">
        <v>3.0</v>
      </c>
      <c r="AC57" s="47">
        <v>6.0</v>
      </c>
      <c r="AD57" s="47">
        <v>0.0</v>
      </c>
      <c r="AE57" s="47">
        <v>3.0</v>
      </c>
      <c r="AF57" s="47">
        <v>0.0</v>
      </c>
      <c r="AG57" s="47">
        <v>150.0</v>
      </c>
    </row>
    <row r="58" ht="15.75" customHeight="1">
      <c r="A58" s="35">
        <f>Bill!$Y58</f>
        <v>45616</v>
      </c>
      <c r="B58" s="43">
        <f>'Raw Data'!E60+Bill!$L$2</f>
        <v>152</v>
      </c>
      <c r="C58" s="43">
        <f>'Raw Data'!E60+Bill!$M$2</f>
        <v>157</v>
      </c>
      <c r="D58" s="43">
        <f>('Raw Data'!$F60*2)-10</f>
        <v>220</v>
      </c>
      <c r="E58" s="43">
        <f>'Raw Data'!F60+Bill!$O$2</f>
        <v>135</v>
      </c>
      <c r="F58" s="43">
        <f>'Raw Data'!F60+Bill!$P$2</f>
        <v>140</v>
      </c>
      <c r="G58" s="43"/>
      <c r="H58" s="43">
        <f>('Raw Data'!F60+Bill!$R$2)</f>
        <v>135</v>
      </c>
      <c r="I58" s="36">
        <f>'Raw Data'!G60/100</f>
        <v>6.3</v>
      </c>
      <c r="K58" s="37">
        <f>Bill!$Y58</f>
        <v>45616</v>
      </c>
      <c r="L58" s="38">
        <f>Bill!$AA58*('Raw Data'!$E60+$L$2)</f>
        <v>1580.8</v>
      </c>
      <c r="M58" s="38">
        <f>Bill!$AB58*('Raw Data'!$E60+$M$2)</f>
        <v>2355</v>
      </c>
      <c r="N58" s="38">
        <f>(('Raw Data'!$F60 * 2)-10)*Bill!$AC58</f>
        <v>1760</v>
      </c>
      <c r="O58" s="38">
        <f>('Raw Data'!F60+Bill!$O$2)*Bill!$AD58</f>
        <v>148.5</v>
      </c>
      <c r="P58" s="38">
        <f>('Raw Data'!F60+Bill!$P$2)*Bill!$AE58</f>
        <v>0</v>
      </c>
      <c r="Q58" s="38">
        <f>Bill!$Z58*('Raw Data'!$E60+$Q$2)</f>
        <v>0</v>
      </c>
      <c r="R58" s="38">
        <f>('Raw Data'!F60+Bill!$R$2)*Bill!$AF58</f>
        <v>0</v>
      </c>
      <c r="S58" s="48">
        <f>('Raw Data'!G60/100)*Bill!$AG58</f>
        <v>0</v>
      </c>
      <c r="T58" s="38">
        <f>SUM(Bill!$L58:$R58)</f>
        <v>5844.3</v>
      </c>
      <c r="U58" s="49">
        <v>5844.0</v>
      </c>
      <c r="V58" s="50"/>
      <c r="W58" s="38">
        <f>Bill!$U58-Bill!$T58</f>
        <v>-0.3</v>
      </c>
      <c r="Y58" s="37">
        <f>'Raw Data'!D60</f>
        <v>45616</v>
      </c>
      <c r="Z58" s="41">
        <v>0.0</v>
      </c>
      <c r="AA58" s="47">
        <v>10.4</v>
      </c>
      <c r="AB58" s="47">
        <v>15.0</v>
      </c>
      <c r="AC58" s="47">
        <v>8.0</v>
      </c>
      <c r="AD58" s="47">
        <v>1.1</v>
      </c>
      <c r="AE58" s="47">
        <v>0.0</v>
      </c>
      <c r="AF58" s="47">
        <v>0.0</v>
      </c>
      <c r="AG58" s="47">
        <v>0.0</v>
      </c>
    </row>
    <row r="59" ht="15.75" customHeight="1">
      <c r="A59" s="35">
        <f>Bill!$Y59</f>
        <v>45617</v>
      </c>
      <c r="B59" s="43">
        <f>'Raw Data'!E61+Bill!$L$2</f>
        <v>152</v>
      </c>
      <c r="C59" s="43">
        <f>'Raw Data'!E61+Bill!$M$2</f>
        <v>157</v>
      </c>
      <c r="D59" s="43">
        <f>('Raw Data'!$F61*2)-10</f>
        <v>220</v>
      </c>
      <c r="E59" s="43">
        <f>'Raw Data'!F61+Bill!$O$2</f>
        <v>135</v>
      </c>
      <c r="F59" s="43">
        <f>'Raw Data'!F61+Bill!$P$2</f>
        <v>140</v>
      </c>
      <c r="G59" s="43"/>
      <c r="H59" s="43">
        <f>('Raw Data'!F61+Bill!$R$2)</f>
        <v>135</v>
      </c>
      <c r="I59" s="36">
        <f>'Raw Data'!G61/100</f>
        <v>6.3</v>
      </c>
      <c r="K59" s="37">
        <f>Bill!$Y59</f>
        <v>45617</v>
      </c>
      <c r="L59" s="38">
        <f>Bill!$AA59*('Raw Data'!$E61+$L$2)</f>
        <v>1672</v>
      </c>
      <c r="M59" s="38">
        <f>Bill!$AB59*('Raw Data'!$E61+$M$2)</f>
        <v>1256</v>
      </c>
      <c r="N59" s="38">
        <f>(('Raw Data'!$F61 * 2)-10)*Bill!$AC59</f>
        <v>0</v>
      </c>
      <c r="O59" s="38">
        <f>('Raw Data'!F61+Bill!$O$2)*Bill!$AD59</f>
        <v>0</v>
      </c>
      <c r="P59" s="38">
        <f>('Raw Data'!F61+Bill!$P$2)*Bill!$AE59</f>
        <v>420</v>
      </c>
      <c r="Q59" s="38">
        <f>Bill!$Z59*('Raw Data'!$E61+$Q$2)</f>
        <v>0</v>
      </c>
      <c r="R59" s="38">
        <f>('Raw Data'!F61+Bill!$R$2)*Bill!$AF59</f>
        <v>0</v>
      </c>
      <c r="S59" s="48">
        <f>('Raw Data'!G61/100)*Bill!$AG59</f>
        <v>945</v>
      </c>
      <c r="T59" s="38">
        <f>SUM(Bill!$L59:$R59)</f>
        <v>3348</v>
      </c>
      <c r="U59" s="49">
        <v>3348.0</v>
      </c>
      <c r="V59" s="50"/>
      <c r="W59" s="38">
        <f>Bill!$U59-Bill!$T59</f>
        <v>0</v>
      </c>
      <c r="Y59" s="37">
        <f>'Raw Data'!D61</f>
        <v>45617</v>
      </c>
      <c r="Z59" s="41">
        <v>0.0</v>
      </c>
      <c r="AA59" s="47">
        <v>11.0</v>
      </c>
      <c r="AB59" s="47">
        <v>8.0</v>
      </c>
      <c r="AC59" s="47">
        <v>0.0</v>
      </c>
      <c r="AD59" s="47">
        <v>0.0</v>
      </c>
      <c r="AE59" s="47">
        <v>3.0</v>
      </c>
      <c r="AF59" s="47">
        <v>0.0</v>
      </c>
      <c r="AG59" s="47">
        <v>150.0</v>
      </c>
    </row>
    <row r="60" ht="15.75" customHeight="1">
      <c r="A60" s="35">
        <f>Bill!$Y60</f>
        <v>45618</v>
      </c>
      <c r="B60" s="43">
        <f>'Raw Data'!E62+Bill!$L$2</f>
        <v>150</v>
      </c>
      <c r="C60" s="43">
        <f>'Raw Data'!E62+Bill!$M$2</f>
        <v>155</v>
      </c>
      <c r="D60" s="43">
        <f>('Raw Data'!$F62*2)-10</f>
        <v>212</v>
      </c>
      <c r="E60" s="43">
        <f>'Raw Data'!F62+Bill!$O$2</f>
        <v>131</v>
      </c>
      <c r="F60" s="43">
        <f>'Raw Data'!F62+Bill!$P$2</f>
        <v>136</v>
      </c>
      <c r="G60" s="43"/>
      <c r="H60" s="43">
        <f>('Raw Data'!F62+Bill!$R$2)</f>
        <v>131</v>
      </c>
      <c r="I60" s="36">
        <f>'Raw Data'!G62/100</f>
        <v>6.3</v>
      </c>
      <c r="K60" s="37">
        <f>Bill!$Y60</f>
        <v>45618</v>
      </c>
      <c r="L60" s="38">
        <f>Bill!$AA60*('Raw Data'!$E62+$L$2)</f>
        <v>645</v>
      </c>
      <c r="M60" s="38">
        <f>Bill!$AB60*('Raw Data'!$E62+$M$2)</f>
        <v>2325</v>
      </c>
      <c r="N60" s="38">
        <f>(('Raw Data'!$F62 * 2)-10)*Bill!$AC60</f>
        <v>848</v>
      </c>
      <c r="O60" s="38">
        <f>('Raw Data'!F62+Bill!$O$2)*Bill!$AD60</f>
        <v>0</v>
      </c>
      <c r="P60" s="38">
        <f>('Raw Data'!F62+Bill!$P$2)*Bill!$AE60</f>
        <v>0</v>
      </c>
      <c r="Q60" s="38">
        <f>Bill!$Z60*('Raw Data'!$E62+$Q$2)</f>
        <v>0</v>
      </c>
      <c r="R60" s="38">
        <f>('Raw Data'!F62+Bill!$R$2)*Bill!$AF60</f>
        <v>0</v>
      </c>
      <c r="S60" s="48">
        <f>('Raw Data'!G62/100)*Bill!$AG60</f>
        <v>0</v>
      </c>
      <c r="T60" s="38">
        <f>SUM(Bill!$L60:$R60)</f>
        <v>3818</v>
      </c>
      <c r="U60" s="49">
        <v>3818.0</v>
      </c>
      <c r="V60" s="50"/>
      <c r="W60" s="38">
        <f>Bill!$U60-Bill!$T60</f>
        <v>0</v>
      </c>
      <c r="Y60" s="37">
        <f>'Raw Data'!D62</f>
        <v>45618</v>
      </c>
      <c r="Z60" s="41">
        <v>0.0</v>
      </c>
      <c r="AA60" s="47">
        <v>4.3</v>
      </c>
      <c r="AB60" s="47">
        <v>15.0</v>
      </c>
      <c r="AC60" s="47">
        <v>4.0</v>
      </c>
      <c r="AD60" s="47">
        <v>0.0</v>
      </c>
      <c r="AE60" s="47">
        <v>0.0</v>
      </c>
      <c r="AF60" s="47">
        <v>0.0</v>
      </c>
      <c r="AG60" s="47">
        <v>0.0</v>
      </c>
    </row>
    <row r="61" ht="15.75" customHeight="1">
      <c r="A61" s="35">
        <f>Bill!$Y61</f>
        <v>45619</v>
      </c>
      <c r="B61" s="43">
        <f>'Raw Data'!E63+Bill!$L$2</f>
        <v>150</v>
      </c>
      <c r="C61" s="43">
        <f>'Raw Data'!E63+Bill!$M$2</f>
        <v>155</v>
      </c>
      <c r="D61" s="43">
        <f>('Raw Data'!$F63*2)-10</f>
        <v>216</v>
      </c>
      <c r="E61" s="43">
        <f>'Raw Data'!F63+Bill!$O$2</f>
        <v>133</v>
      </c>
      <c r="F61" s="43">
        <f>'Raw Data'!F63+Bill!$P$2</f>
        <v>138</v>
      </c>
      <c r="G61" s="43"/>
      <c r="H61" s="43">
        <f>('Raw Data'!F63+Bill!$R$2)</f>
        <v>133</v>
      </c>
      <c r="I61" s="36">
        <f>'Raw Data'!G63/100</f>
        <v>6.3</v>
      </c>
      <c r="K61" s="37">
        <f>Bill!$Y61</f>
        <v>45619</v>
      </c>
      <c r="L61" s="38">
        <f>Bill!$AA61*('Raw Data'!$E63+$L$2)</f>
        <v>2640</v>
      </c>
      <c r="M61" s="38">
        <f>Bill!$AB61*('Raw Data'!$E63+$M$2)</f>
        <v>3875</v>
      </c>
      <c r="N61" s="38">
        <f>(('Raw Data'!$F63 * 2)-10)*Bill!$AC61</f>
        <v>2160</v>
      </c>
      <c r="O61" s="38">
        <f>('Raw Data'!F63+Bill!$O$2)*Bill!$AD61</f>
        <v>412.3</v>
      </c>
      <c r="P61" s="38">
        <f>('Raw Data'!F63+Bill!$P$2)*Bill!$AE61</f>
        <v>414</v>
      </c>
      <c r="Q61" s="38">
        <f>Bill!$Z61*('Raw Data'!$E63+$Q$2)</f>
        <v>0</v>
      </c>
      <c r="R61" s="38">
        <f>('Raw Data'!F63+Bill!$R$2)*Bill!$AF61</f>
        <v>505.4</v>
      </c>
      <c r="S61" s="48">
        <f>('Raw Data'!G63/100)*Bill!$AG61</f>
        <v>0</v>
      </c>
      <c r="T61" s="38">
        <f>SUM(Bill!$L61:$R61)</f>
        <v>10006.7</v>
      </c>
      <c r="U61" s="49">
        <v>10006.0</v>
      </c>
      <c r="V61" s="50"/>
      <c r="W61" s="38">
        <f>Bill!$U61-Bill!$T61</f>
        <v>-0.7</v>
      </c>
      <c r="Y61" s="37">
        <f>'Raw Data'!D63</f>
        <v>45619</v>
      </c>
      <c r="Z61" s="41">
        <v>0.0</v>
      </c>
      <c r="AA61" s="47">
        <v>17.6</v>
      </c>
      <c r="AB61" s="47">
        <v>25.0</v>
      </c>
      <c r="AC61" s="47">
        <v>10.0</v>
      </c>
      <c r="AD61" s="47">
        <v>3.1</v>
      </c>
      <c r="AE61" s="47">
        <v>3.0</v>
      </c>
      <c r="AF61" s="47">
        <v>3.8</v>
      </c>
      <c r="AG61" s="47">
        <v>0.0</v>
      </c>
    </row>
    <row r="62" ht="15.75" customHeight="1">
      <c r="A62" s="35">
        <f>Bill!$Y62</f>
        <v>45620</v>
      </c>
      <c r="B62" s="43">
        <f>'Raw Data'!E64+Bill!$L$2</f>
        <v>150</v>
      </c>
      <c r="C62" s="43">
        <f>'Raw Data'!E64+Bill!$M$2</f>
        <v>155</v>
      </c>
      <c r="D62" s="43">
        <f>('Raw Data'!$F64*2)-10</f>
        <v>220</v>
      </c>
      <c r="E62" s="43">
        <f>'Raw Data'!F64+Bill!$O$2</f>
        <v>135</v>
      </c>
      <c r="F62" s="43">
        <f>'Raw Data'!F64+Bill!$P$2</f>
        <v>140</v>
      </c>
      <c r="G62" s="43"/>
      <c r="H62" s="43">
        <f>('Raw Data'!F64+Bill!$R$2)</f>
        <v>135</v>
      </c>
      <c r="I62" s="36">
        <f>'Raw Data'!G64/100</f>
        <v>6.4</v>
      </c>
      <c r="K62" s="37">
        <f>Bill!$Y62</f>
        <v>45620</v>
      </c>
      <c r="L62" s="38">
        <f>Bill!$AA62*('Raw Data'!$E64+$L$2)</f>
        <v>1785</v>
      </c>
      <c r="M62" s="38">
        <f>Bill!$AB62*('Raw Data'!$E64+$M$2)</f>
        <v>2325</v>
      </c>
      <c r="N62" s="38">
        <f>(('Raw Data'!$F64 * 2)-10)*Bill!$AC62</f>
        <v>2200</v>
      </c>
      <c r="O62" s="38">
        <f>('Raw Data'!F64+Bill!$O$2)*Bill!$AD62</f>
        <v>0</v>
      </c>
      <c r="P62" s="38">
        <f>('Raw Data'!F64+Bill!$P$2)*Bill!$AE62</f>
        <v>420</v>
      </c>
      <c r="Q62" s="38">
        <f>Bill!$Z62*('Raw Data'!$E64+$Q$2)</f>
        <v>0</v>
      </c>
      <c r="R62" s="38">
        <f>('Raw Data'!F64+Bill!$R$2)*Bill!$AF62</f>
        <v>0</v>
      </c>
      <c r="S62" s="48">
        <f>('Raw Data'!G64/100)*Bill!$AG62</f>
        <v>1344</v>
      </c>
      <c r="T62" s="38">
        <f>SUM(Bill!$L62:$R62)</f>
        <v>6730</v>
      </c>
      <c r="U62" s="49">
        <v>6730.0</v>
      </c>
      <c r="V62" s="50"/>
      <c r="W62" s="38">
        <f>Bill!$U62-Bill!$T62</f>
        <v>0</v>
      </c>
      <c r="Y62" s="37">
        <f>'Raw Data'!D64</f>
        <v>45620</v>
      </c>
      <c r="Z62" s="41">
        <v>0.0</v>
      </c>
      <c r="AA62" s="47">
        <v>11.9</v>
      </c>
      <c r="AB62" s="47">
        <v>15.0</v>
      </c>
      <c r="AC62" s="47">
        <v>10.0</v>
      </c>
      <c r="AD62" s="47">
        <v>0.0</v>
      </c>
      <c r="AE62" s="47">
        <v>3.0</v>
      </c>
      <c r="AF62" s="47">
        <v>0.0</v>
      </c>
      <c r="AG62" s="47">
        <v>210.0</v>
      </c>
    </row>
    <row r="63" ht="15.75" customHeight="1">
      <c r="A63" s="35">
        <f>Bill!$Y63</f>
        <v>45621</v>
      </c>
      <c r="B63" s="43">
        <f>'Raw Data'!E65+Bill!$L$2</f>
        <v>150</v>
      </c>
      <c r="C63" s="43">
        <f>'Raw Data'!E65+Bill!$M$2</f>
        <v>155</v>
      </c>
      <c r="D63" s="43">
        <f>('Raw Data'!$F65*2)-10</f>
        <v>220</v>
      </c>
      <c r="E63" s="43">
        <f>'Raw Data'!F65+Bill!$O$2</f>
        <v>135</v>
      </c>
      <c r="F63" s="43">
        <f>'Raw Data'!F65+Bill!$P$2</f>
        <v>140</v>
      </c>
      <c r="G63" s="43"/>
      <c r="H63" s="43">
        <f>('Raw Data'!F65+Bill!$R$2)</f>
        <v>135</v>
      </c>
      <c r="I63" s="36">
        <f>'Raw Data'!G65/100</f>
        <v>6.45</v>
      </c>
      <c r="K63" s="37">
        <f>Bill!$Y63</f>
        <v>45621</v>
      </c>
      <c r="L63" s="38">
        <f>Bill!$AA63*('Raw Data'!$E65+$L$2)</f>
        <v>1440</v>
      </c>
      <c r="M63" s="38">
        <f>Bill!$AB63*('Raw Data'!$E65+$M$2)</f>
        <v>1581</v>
      </c>
      <c r="N63" s="38">
        <f>(('Raw Data'!$F65 * 2)-10)*Bill!$AC63</f>
        <v>1320</v>
      </c>
      <c r="O63" s="38">
        <f>('Raw Data'!F65+Bill!$O$2)*Bill!$AD63</f>
        <v>0</v>
      </c>
      <c r="P63" s="38">
        <f>('Raw Data'!F65+Bill!$P$2)*Bill!$AE63</f>
        <v>0</v>
      </c>
      <c r="Q63" s="38">
        <f>Bill!$Z63*('Raw Data'!$E65+$Q$2)</f>
        <v>0</v>
      </c>
      <c r="R63" s="38">
        <f>('Raw Data'!F65+Bill!$R$2)*Bill!$AF63</f>
        <v>0</v>
      </c>
      <c r="S63" s="48">
        <f>('Raw Data'!G65/100)*Bill!$AG63</f>
        <v>0</v>
      </c>
      <c r="T63" s="38">
        <f>SUM(Bill!$L63:$R63)</f>
        <v>4341</v>
      </c>
      <c r="U63" s="49">
        <v>4341.0</v>
      </c>
      <c r="V63" s="50"/>
      <c r="W63" s="38">
        <f>Bill!$U63-Bill!$T63</f>
        <v>0</v>
      </c>
      <c r="Y63" s="37">
        <f>'Raw Data'!D65</f>
        <v>45621</v>
      </c>
      <c r="Z63" s="41">
        <v>0.0</v>
      </c>
      <c r="AA63" s="47">
        <v>9.6</v>
      </c>
      <c r="AB63" s="47">
        <v>10.2</v>
      </c>
      <c r="AC63" s="47">
        <v>6.0</v>
      </c>
      <c r="AD63" s="47"/>
      <c r="AE63" s="47">
        <v>0.0</v>
      </c>
      <c r="AF63" s="47">
        <v>0.0</v>
      </c>
      <c r="AG63" s="47">
        <v>0.0</v>
      </c>
    </row>
    <row r="64" ht="15.75" customHeight="1">
      <c r="A64" s="35">
        <f>Bill!$Y64</f>
        <v>45622</v>
      </c>
      <c r="B64" s="43">
        <f>'Raw Data'!E66+Bill!$L$2</f>
        <v>148</v>
      </c>
      <c r="C64" s="43">
        <f>'Raw Data'!E66+Bill!$M$2</f>
        <v>153</v>
      </c>
      <c r="D64" s="43">
        <f>('Raw Data'!$F66*2)-10</f>
        <v>220</v>
      </c>
      <c r="E64" s="43">
        <f>'Raw Data'!F66+Bill!$O$2</f>
        <v>135</v>
      </c>
      <c r="F64" s="43">
        <f>'Raw Data'!F66+Bill!$P$2</f>
        <v>140</v>
      </c>
      <c r="G64" s="43"/>
      <c r="H64" s="43">
        <f>('Raw Data'!F66+Bill!$R$2)</f>
        <v>135</v>
      </c>
      <c r="I64" s="36">
        <f>'Raw Data'!G66/100</f>
        <v>6.51</v>
      </c>
      <c r="K64" s="37">
        <f>Bill!$Y64</f>
        <v>45622</v>
      </c>
      <c r="L64" s="38">
        <f>Bill!$AA64*('Raw Data'!$E66+$L$2)</f>
        <v>836.2</v>
      </c>
      <c r="M64" s="38">
        <f>Bill!$AB64*('Raw Data'!$E66+$M$2)</f>
        <v>765</v>
      </c>
      <c r="N64" s="38">
        <f>(('Raw Data'!$F66 * 2)-10)*Bill!$AC64</f>
        <v>1100</v>
      </c>
      <c r="O64" s="38">
        <f>('Raw Data'!F66+Bill!$O$2)*Bill!$AD64</f>
        <v>0</v>
      </c>
      <c r="P64" s="38">
        <f>('Raw Data'!F66+Bill!$P$2)*Bill!$AE64</f>
        <v>0</v>
      </c>
      <c r="Q64" s="38">
        <f>Bill!$Z64*('Raw Data'!$E66+$Q$2)</f>
        <v>0</v>
      </c>
      <c r="R64" s="38">
        <f>('Raw Data'!F66+Bill!$R$2)*Bill!$AF64</f>
        <v>0</v>
      </c>
      <c r="S64" s="48">
        <f>('Raw Data'!G66/100)*Bill!$AG64</f>
        <v>0</v>
      </c>
      <c r="T64" s="38">
        <f>SUM(Bill!$L64:$R64)</f>
        <v>2701.2</v>
      </c>
      <c r="U64" s="49">
        <v>2701.0</v>
      </c>
      <c r="V64" s="50"/>
      <c r="W64" s="38">
        <f>Bill!$U64-Bill!$T64</f>
        <v>-0.2</v>
      </c>
      <c r="Y64" s="37">
        <f>'Raw Data'!D66</f>
        <v>45622</v>
      </c>
      <c r="Z64" s="41">
        <v>0.0</v>
      </c>
      <c r="AA64" s="47">
        <v>5.65</v>
      </c>
      <c r="AB64" s="47">
        <v>5.0</v>
      </c>
      <c r="AC64" s="47">
        <v>5.0</v>
      </c>
      <c r="AD64" s="47">
        <v>0.0</v>
      </c>
      <c r="AE64" s="47">
        <v>0.0</v>
      </c>
      <c r="AF64" s="47">
        <v>0.0</v>
      </c>
      <c r="AG64" s="47">
        <v>0.0</v>
      </c>
    </row>
    <row r="65" ht="15.75" customHeight="1">
      <c r="A65" s="35">
        <f>Bill!$Y65</f>
        <v>45623</v>
      </c>
      <c r="B65" s="43">
        <f>'Raw Data'!E67+Bill!$L$2</f>
        <v>146</v>
      </c>
      <c r="C65" s="43">
        <f>'Raw Data'!E67+Bill!$M$2</f>
        <v>151</v>
      </c>
      <c r="D65" s="43">
        <f>('Raw Data'!$F67*2)-10</f>
        <v>216</v>
      </c>
      <c r="E65" s="43">
        <f>'Raw Data'!F67+Bill!$O$2</f>
        <v>133</v>
      </c>
      <c r="F65" s="43">
        <f>'Raw Data'!F67+Bill!$P$2</f>
        <v>138</v>
      </c>
      <c r="G65" s="43"/>
      <c r="H65" s="43">
        <f>('Raw Data'!F67+Bill!$R$2)</f>
        <v>133</v>
      </c>
      <c r="I65" s="36">
        <f>'Raw Data'!G67/100</f>
        <v>6.51</v>
      </c>
      <c r="K65" s="37">
        <f>Bill!$Y65</f>
        <v>45623</v>
      </c>
      <c r="L65" s="38">
        <f>Bill!$AA65*('Raw Data'!$E67+$L$2)</f>
        <v>1839.6</v>
      </c>
      <c r="M65" s="38">
        <f>Bill!$AB65*('Raw Data'!$E67+$M$2)</f>
        <v>1464.7</v>
      </c>
      <c r="N65" s="38">
        <f>(('Raw Data'!$F67 * 2)-10)*Bill!$AC65</f>
        <v>1728</v>
      </c>
      <c r="O65" s="38">
        <f>('Raw Data'!F67+Bill!$O$2)*Bill!$AD65</f>
        <v>305.9</v>
      </c>
      <c r="P65" s="38">
        <f>('Raw Data'!F67+Bill!$P$2)*Bill!$AE65</f>
        <v>414</v>
      </c>
      <c r="Q65" s="38">
        <f>Bill!$Z65*('Raw Data'!$E67+$Q$2)</f>
        <v>0</v>
      </c>
      <c r="R65" s="38">
        <f>('Raw Data'!F67+Bill!$R$2)*Bill!$AF65</f>
        <v>0</v>
      </c>
      <c r="S65" s="48">
        <f>('Raw Data'!G67/100)*Bill!$AG65</f>
        <v>0</v>
      </c>
      <c r="T65" s="38">
        <f>SUM(Bill!$L65:$R65)</f>
        <v>5752.2</v>
      </c>
      <c r="U65" s="49">
        <v>5752.0</v>
      </c>
      <c r="V65" s="50"/>
      <c r="W65" s="38">
        <f>Bill!$U65-Bill!$T65</f>
        <v>-0.2</v>
      </c>
      <c r="Y65" s="37">
        <f>'Raw Data'!D67</f>
        <v>45623</v>
      </c>
      <c r="Z65" s="41">
        <v>0.0</v>
      </c>
      <c r="AA65" s="47">
        <v>12.6</v>
      </c>
      <c r="AB65" s="47">
        <v>9.7</v>
      </c>
      <c r="AC65" s="47">
        <v>8.0</v>
      </c>
      <c r="AD65" s="47">
        <v>2.3</v>
      </c>
      <c r="AE65" s="47">
        <v>3.0</v>
      </c>
      <c r="AF65" s="47">
        <v>0.0</v>
      </c>
      <c r="AG65" s="47">
        <v>0.0</v>
      </c>
    </row>
    <row r="66" ht="15.75" customHeight="1">
      <c r="A66" s="35">
        <f>Bill!$Y66</f>
        <v>45624</v>
      </c>
      <c r="B66" s="43">
        <f>'Raw Data'!E68+Bill!$L$2</f>
        <v>144</v>
      </c>
      <c r="C66" s="43">
        <f>'Raw Data'!E68+Bill!$M$2</f>
        <v>149</v>
      </c>
      <c r="D66" s="43">
        <f>('Raw Data'!$F68*2)-10</f>
        <v>212</v>
      </c>
      <c r="E66" s="43">
        <f>'Raw Data'!F68+Bill!$O$2</f>
        <v>131</v>
      </c>
      <c r="F66" s="43">
        <f>'Raw Data'!F68+Bill!$P$2</f>
        <v>136</v>
      </c>
      <c r="G66" s="43"/>
      <c r="H66" s="43">
        <f>('Raw Data'!F68+Bill!$R$2)</f>
        <v>131</v>
      </c>
      <c r="I66" s="36">
        <f>'Raw Data'!G68/100</f>
        <v>6.51</v>
      </c>
      <c r="K66" s="37">
        <f>Bill!$Y66</f>
        <v>45624</v>
      </c>
      <c r="L66" s="38">
        <f>Bill!$AA66*('Raw Data'!$E68+$L$2)</f>
        <v>712.8</v>
      </c>
      <c r="M66" s="38">
        <f>Bill!$AB66*('Raw Data'!$E68+$M$2)</f>
        <v>1192</v>
      </c>
      <c r="N66" s="38">
        <f>(('Raw Data'!$F68 * 2)-10)*Bill!$AC66</f>
        <v>848</v>
      </c>
      <c r="O66" s="38">
        <f>('Raw Data'!F68+Bill!$O$2)*Bill!$AD66</f>
        <v>0</v>
      </c>
      <c r="P66" s="38">
        <f>('Raw Data'!F68+Bill!$P$2)*Bill!$AE66</f>
        <v>0</v>
      </c>
      <c r="Q66" s="38">
        <f>Bill!$Z66*('Raw Data'!$E68+$Q$2)</f>
        <v>0</v>
      </c>
      <c r="R66" s="38">
        <f>('Raw Data'!F68+Bill!$R$2)*Bill!$AF66</f>
        <v>0</v>
      </c>
      <c r="S66" s="48">
        <f>('Raw Data'!G68/100)*Bill!$AG66</f>
        <v>1367.1</v>
      </c>
      <c r="T66" s="38">
        <f>SUM(Bill!$L66:$R66)</f>
        <v>2752.8</v>
      </c>
      <c r="U66" s="49">
        <v>2753.0</v>
      </c>
      <c r="V66" s="50"/>
      <c r="W66" s="38">
        <f>Bill!$U66-Bill!$T66</f>
        <v>0.2</v>
      </c>
      <c r="Y66" s="37">
        <f>'Raw Data'!D68</f>
        <v>45624</v>
      </c>
      <c r="Z66" s="41">
        <v>0.0</v>
      </c>
      <c r="AA66" s="47">
        <v>4.95</v>
      </c>
      <c r="AB66" s="47">
        <v>8.0</v>
      </c>
      <c r="AC66" s="47">
        <v>4.0</v>
      </c>
      <c r="AD66" s="47">
        <v>0.0</v>
      </c>
      <c r="AE66" s="47">
        <v>0.0</v>
      </c>
      <c r="AF66" s="47">
        <v>0.0</v>
      </c>
      <c r="AG66" s="47">
        <v>210.0</v>
      </c>
    </row>
    <row r="67" ht="15.75" customHeight="1">
      <c r="A67" s="35">
        <f>Bill!$Y67</f>
        <v>45625</v>
      </c>
      <c r="B67" s="43">
        <f>'Raw Data'!E69+Bill!$L$2</f>
        <v>144</v>
      </c>
      <c r="C67" s="43">
        <f>'Raw Data'!E69+Bill!$M$2</f>
        <v>149</v>
      </c>
      <c r="D67" s="43">
        <f>('Raw Data'!$F69*2)-10</f>
        <v>212</v>
      </c>
      <c r="E67" s="43">
        <f>'Raw Data'!F69+Bill!$O$2</f>
        <v>131</v>
      </c>
      <c r="F67" s="43">
        <f>'Raw Data'!F69+Bill!$P$2</f>
        <v>136</v>
      </c>
      <c r="G67" s="43"/>
      <c r="H67" s="43">
        <f>('Raw Data'!F69+Bill!$R$2)</f>
        <v>131</v>
      </c>
      <c r="I67" s="36">
        <f>'Raw Data'!G69/100</f>
        <v>6.55</v>
      </c>
      <c r="K67" s="37">
        <f>Bill!$Y67</f>
        <v>45625</v>
      </c>
      <c r="L67" s="38">
        <f>Bill!$AA67*('Raw Data'!$E69+$L$2)</f>
        <v>849.6</v>
      </c>
      <c r="M67" s="38">
        <f>Bill!$AB67*('Raw Data'!$E69+$M$2)</f>
        <v>1788</v>
      </c>
      <c r="N67" s="38">
        <f>(('Raw Data'!$F69 * 2)-10)*Bill!$AC67</f>
        <v>1060</v>
      </c>
      <c r="O67" s="38">
        <f>('Raw Data'!F69+Bill!$O$2)*Bill!$AD67</f>
        <v>262</v>
      </c>
      <c r="P67" s="38">
        <f>('Raw Data'!F69+Bill!$P$2)*Bill!$AE67</f>
        <v>408</v>
      </c>
      <c r="Q67" s="38">
        <f>Bill!$Z67*('Raw Data'!$E69+$Q$2)</f>
        <v>0</v>
      </c>
      <c r="R67" s="38">
        <f>('Raw Data'!F69+Bill!$R$2)*Bill!$AF67</f>
        <v>0</v>
      </c>
      <c r="S67" s="48">
        <f>('Raw Data'!G69/100)*Bill!$AG67</f>
        <v>0</v>
      </c>
      <c r="T67" s="38">
        <f>SUM(Bill!$L67:$R67)</f>
        <v>4367.6</v>
      </c>
      <c r="U67" s="49">
        <v>4368.0</v>
      </c>
      <c r="V67" s="50"/>
      <c r="W67" s="38">
        <f>Bill!$U67-Bill!$T67</f>
        <v>0.4</v>
      </c>
      <c r="Y67" s="37">
        <f>'Raw Data'!D69</f>
        <v>45625</v>
      </c>
      <c r="Z67" s="41">
        <v>0.0</v>
      </c>
      <c r="AA67" s="47">
        <v>5.9</v>
      </c>
      <c r="AB67" s="47">
        <v>12.0</v>
      </c>
      <c r="AC67" s="47">
        <v>5.0</v>
      </c>
      <c r="AD67" s="47">
        <v>2.0</v>
      </c>
      <c r="AE67" s="47">
        <v>3.0</v>
      </c>
      <c r="AF67" s="47">
        <v>0.0</v>
      </c>
      <c r="AG67" s="47">
        <v>0.0</v>
      </c>
    </row>
    <row r="68" ht="15.75" customHeight="1">
      <c r="A68" s="35">
        <f>Bill!$Y68</f>
        <v>45626</v>
      </c>
      <c r="B68" s="43">
        <f>'Raw Data'!E70+Bill!$L$2</f>
        <v>146</v>
      </c>
      <c r="C68" s="43">
        <f>'Raw Data'!E70+Bill!$M$2</f>
        <v>151</v>
      </c>
      <c r="D68" s="43">
        <f>('Raw Data'!$F70*2)-10</f>
        <v>212</v>
      </c>
      <c r="E68" s="43">
        <f>'Raw Data'!F70+Bill!$O$2</f>
        <v>131</v>
      </c>
      <c r="F68" s="43">
        <f>'Raw Data'!F70+Bill!$P$2</f>
        <v>136</v>
      </c>
      <c r="G68" s="43"/>
      <c r="H68" s="43">
        <f>('Raw Data'!F70+Bill!$R$2)</f>
        <v>131</v>
      </c>
      <c r="I68" s="36">
        <f>'Raw Data'!G70/100</f>
        <v>6.55</v>
      </c>
      <c r="K68" s="37">
        <f>Bill!$Y68</f>
        <v>45626</v>
      </c>
      <c r="L68" s="38">
        <f>Bill!$AA68*('Raw Data'!$E70+$L$2)</f>
        <v>1401.6</v>
      </c>
      <c r="M68" s="38">
        <f>Bill!$AB68*('Raw Data'!$E70+$M$2)</f>
        <v>2748.2</v>
      </c>
      <c r="N68" s="38">
        <f>(('Raw Data'!$F70 * 2)-10)*Bill!$AC68</f>
        <v>1060</v>
      </c>
      <c r="O68" s="38">
        <f>('Raw Data'!F70+Bill!$O$2)*Bill!$AD68</f>
        <v>0</v>
      </c>
      <c r="P68" s="38">
        <f>('Raw Data'!F70+Bill!$P$2)*Bill!$AE68</f>
        <v>0</v>
      </c>
      <c r="Q68" s="38">
        <f>Bill!$Z68*('Raw Data'!$E70+$Q$2)</f>
        <v>0</v>
      </c>
      <c r="R68" s="38">
        <f>('Raw Data'!F70+Bill!$R$2)*Bill!$AF68</f>
        <v>0</v>
      </c>
      <c r="S68" s="48">
        <f>('Raw Data'!G70/100)*Bill!$AG68</f>
        <v>0</v>
      </c>
      <c r="T68" s="38">
        <f>SUM(Bill!$L68:$R68)</f>
        <v>5209.8</v>
      </c>
      <c r="U68" s="49">
        <v>5208.0</v>
      </c>
      <c r="V68" s="50"/>
      <c r="W68" s="38">
        <f>Bill!$U68-Bill!$T68</f>
        <v>-1.8</v>
      </c>
      <c r="Y68" s="37">
        <f>'Raw Data'!D70</f>
        <v>45626</v>
      </c>
      <c r="Z68" s="41">
        <v>0.0</v>
      </c>
      <c r="AA68" s="47">
        <v>9.6</v>
      </c>
      <c r="AB68" s="47">
        <v>18.2</v>
      </c>
      <c r="AC68" s="47">
        <v>5.0</v>
      </c>
      <c r="AD68" s="47">
        <v>0.0</v>
      </c>
      <c r="AE68" s="47">
        <v>0.0</v>
      </c>
      <c r="AF68" s="47">
        <v>0.0</v>
      </c>
      <c r="AG68" s="47">
        <v>0.0</v>
      </c>
    </row>
    <row r="69" ht="15.75" customHeight="1">
      <c r="A69" s="35">
        <f>Bill!$Y69</f>
        <v>45627</v>
      </c>
      <c r="B69" s="43">
        <f>'Raw Data'!E71+Bill!$L$2</f>
        <v>148</v>
      </c>
      <c r="C69" s="43">
        <f>'Raw Data'!E71+Bill!$M$2</f>
        <v>153</v>
      </c>
      <c r="D69" s="43">
        <f>('Raw Data'!$F71*2)-10</f>
        <v>212</v>
      </c>
      <c r="E69" s="43">
        <f>'Raw Data'!F71+Bill!$O$2</f>
        <v>131</v>
      </c>
      <c r="F69" s="43">
        <f>'Raw Data'!F71+Bill!$P$2</f>
        <v>136</v>
      </c>
      <c r="G69" s="43"/>
      <c r="H69" s="43">
        <f>('Raw Data'!F71+Bill!$R$2)</f>
        <v>131</v>
      </c>
      <c r="I69" s="36">
        <f>'Raw Data'!G71/100</f>
        <v>6.6</v>
      </c>
      <c r="K69" s="37">
        <f>Bill!$Y69</f>
        <v>45627</v>
      </c>
      <c r="L69" s="38">
        <f>Bill!$AA69*('Raw Data'!$E71+$L$2)</f>
        <v>2382.8</v>
      </c>
      <c r="M69" s="38">
        <f>Bill!$AB69*('Raw Data'!$E71+$M$2)</f>
        <v>3060</v>
      </c>
      <c r="N69" s="38">
        <f>(('Raw Data'!$F71 * 2)-10)*Bill!$AC69</f>
        <v>2544</v>
      </c>
      <c r="O69" s="38">
        <f>('Raw Data'!F71+Bill!$O$2)*Bill!$AD69</f>
        <v>288.2</v>
      </c>
      <c r="P69" s="38">
        <f>('Raw Data'!F71+Bill!$P$2)*Bill!$AE69</f>
        <v>408</v>
      </c>
      <c r="Q69" s="38">
        <f>Bill!$Z69*('Raw Data'!$E71+$Q$2)</f>
        <v>0</v>
      </c>
      <c r="R69" s="38">
        <f>('Raw Data'!F71+Bill!$R$2)*Bill!$AF69</f>
        <v>478.15</v>
      </c>
      <c r="S69" s="48">
        <f>('Raw Data'!G71/100)*Bill!$AG69</f>
        <v>1386</v>
      </c>
      <c r="T69" s="38">
        <f>SUM(Bill!$L69:$R69)</f>
        <v>9161.15</v>
      </c>
      <c r="U69" s="49">
        <v>9161.0</v>
      </c>
      <c r="V69" s="50"/>
      <c r="W69" s="38">
        <f>Bill!$U69-Bill!$T69</f>
        <v>-0.15</v>
      </c>
      <c r="Y69" s="37">
        <f>'Raw Data'!D71</f>
        <v>45627</v>
      </c>
      <c r="Z69" s="41">
        <v>0.0</v>
      </c>
      <c r="AA69" s="47">
        <v>16.1</v>
      </c>
      <c r="AB69" s="47">
        <v>20.0</v>
      </c>
      <c r="AC69" s="47">
        <v>12.0</v>
      </c>
      <c r="AD69" s="47">
        <v>2.2</v>
      </c>
      <c r="AE69" s="47">
        <v>3.0</v>
      </c>
      <c r="AF69" s="47">
        <v>3.65</v>
      </c>
      <c r="AG69" s="47">
        <v>210.0</v>
      </c>
    </row>
    <row r="70" ht="15.75" customHeight="1">
      <c r="A70" s="35">
        <f>Bill!$Y70</f>
        <v>45628</v>
      </c>
      <c r="B70" s="43">
        <f>'Raw Data'!E72+Bill!$L$2</f>
        <v>148</v>
      </c>
      <c r="C70" s="43">
        <f>'Raw Data'!E72+Bill!$M$2</f>
        <v>153</v>
      </c>
      <c r="D70" s="43">
        <f>('Raw Data'!$F72*2)-10</f>
        <v>212</v>
      </c>
      <c r="E70" s="43">
        <f>'Raw Data'!F72+Bill!$O$2</f>
        <v>131</v>
      </c>
      <c r="F70" s="43">
        <f>'Raw Data'!F72+Bill!$P$2</f>
        <v>136</v>
      </c>
      <c r="G70" s="43"/>
      <c r="H70" s="43">
        <f>('Raw Data'!F72+Bill!$R$2)</f>
        <v>131</v>
      </c>
      <c r="I70" s="36">
        <f>'Raw Data'!G72/100</f>
        <v>6.65</v>
      </c>
      <c r="K70" s="37">
        <f>Bill!$Y70</f>
        <v>45628</v>
      </c>
      <c r="L70" s="38">
        <f>Bill!$AA70*('Raw Data'!$E72+$L$2)</f>
        <v>1302.4</v>
      </c>
      <c r="M70" s="38">
        <f>Bill!$AB70*('Raw Data'!$E72+$M$2)</f>
        <v>2295</v>
      </c>
      <c r="N70" s="38">
        <f>(('Raw Data'!$F72 * 2)-10)*Bill!$AC70</f>
        <v>1696</v>
      </c>
      <c r="O70" s="38">
        <f>('Raw Data'!F72+Bill!$O$2)*Bill!$AD70</f>
        <v>131</v>
      </c>
      <c r="P70" s="38">
        <f>('Raw Data'!F72+Bill!$P$2)*Bill!$AE70</f>
        <v>0</v>
      </c>
      <c r="Q70" s="38">
        <f>Bill!$Z70*('Raw Data'!$E72+$Q$2)</f>
        <v>0</v>
      </c>
      <c r="R70" s="38">
        <f>('Raw Data'!F72+Bill!$R$2)*Bill!$AF70</f>
        <v>0</v>
      </c>
      <c r="S70" s="48">
        <f>('Raw Data'!G72/100)*Bill!$AG70</f>
        <v>0</v>
      </c>
      <c r="T70" s="38">
        <f>SUM(Bill!$L70:$R70)</f>
        <v>5424.4</v>
      </c>
      <c r="U70" s="49">
        <v>5424.0</v>
      </c>
      <c r="V70" s="50"/>
      <c r="W70" s="38">
        <f>Bill!$U70-Bill!$T70</f>
        <v>-0.4</v>
      </c>
      <c r="Y70" s="37">
        <f>'Raw Data'!D72</f>
        <v>45628</v>
      </c>
      <c r="Z70" s="41">
        <v>0.0</v>
      </c>
      <c r="AA70" s="47">
        <v>8.8</v>
      </c>
      <c r="AB70" s="47">
        <v>15.0</v>
      </c>
      <c r="AC70" s="47">
        <v>8.0</v>
      </c>
      <c r="AD70" s="47">
        <v>1.0</v>
      </c>
      <c r="AE70" s="47">
        <v>0.0</v>
      </c>
      <c r="AF70" s="47">
        <v>0.0</v>
      </c>
      <c r="AG70" s="47">
        <v>0.0</v>
      </c>
    </row>
    <row r="71" ht="15.75" customHeight="1">
      <c r="A71" s="35">
        <f>Bill!$Y71</f>
        <v>45629</v>
      </c>
      <c r="B71" s="43">
        <f>'Raw Data'!E73+Bill!$L$2</f>
        <v>148</v>
      </c>
      <c r="C71" s="43">
        <f>'Raw Data'!E73+Bill!$M$2</f>
        <v>153</v>
      </c>
      <c r="D71" s="43">
        <f>('Raw Data'!$F73*2)-10</f>
        <v>204</v>
      </c>
      <c r="E71" s="43">
        <f>'Raw Data'!F73+Bill!$O$2</f>
        <v>127</v>
      </c>
      <c r="F71" s="43">
        <f>'Raw Data'!F73+Bill!$P$2</f>
        <v>132</v>
      </c>
      <c r="G71" s="43"/>
      <c r="H71" s="43">
        <f>('Raw Data'!F73+Bill!$R$2)</f>
        <v>127</v>
      </c>
      <c r="I71" s="36">
        <f>'Raw Data'!G73/100</f>
        <v>6.75</v>
      </c>
      <c r="K71" s="37">
        <f>Bill!$Y71</f>
        <v>45629</v>
      </c>
      <c r="L71" s="38">
        <f>Bill!$AA71*('Raw Data'!$E73+$L$2)</f>
        <v>725.2</v>
      </c>
      <c r="M71" s="38">
        <f>Bill!$AB71*('Raw Data'!$E73+$M$2)</f>
        <v>1530</v>
      </c>
      <c r="N71" s="38">
        <f>(('Raw Data'!$F73 * 2)-10)*Bill!$AC71</f>
        <v>816</v>
      </c>
      <c r="O71" s="38">
        <f>('Raw Data'!F73+Bill!$O$2)*Bill!$AD71</f>
        <v>0</v>
      </c>
      <c r="P71" s="38">
        <f>('Raw Data'!F73+Bill!$P$2)*Bill!$AE71</f>
        <v>0</v>
      </c>
      <c r="Q71" s="38">
        <f>Bill!$Z71*('Raw Data'!$E73+$Q$2)</f>
        <v>0</v>
      </c>
      <c r="R71" s="38">
        <f>('Raw Data'!F73+Bill!$R$2)*Bill!$AF71</f>
        <v>0</v>
      </c>
      <c r="S71" s="48">
        <f>('Raw Data'!G73/100)*Bill!$AG71</f>
        <v>0</v>
      </c>
      <c r="T71" s="38">
        <f>SUM(Bill!$L71:$R71)</f>
        <v>3071.2</v>
      </c>
      <c r="U71" s="49">
        <v>3071.0</v>
      </c>
      <c r="V71" s="50"/>
      <c r="W71" s="38">
        <f>Bill!$U71-Bill!$T71</f>
        <v>-0.2</v>
      </c>
      <c r="Y71" s="37">
        <f>'Raw Data'!D73</f>
        <v>45629</v>
      </c>
      <c r="Z71" s="41">
        <v>0.0</v>
      </c>
      <c r="AA71" s="47">
        <v>4.9</v>
      </c>
      <c r="AB71" s="47">
        <v>10.0</v>
      </c>
      <c r="AC71" s="47">
        <v>4.0</v>
      </c>
      <c r="AD71" s="47">
        <v>0.0</v>
      </c>
      <c r="AE71" s="47">
        <v>0.0</v>
      </c>
      <c r="AF71" s="47">
        <v>0.0</v>
      </c>
      <c r="AG71" s="47">
        <v>0.0</v>
      </c>
    </row>
    <row r="72" ht="15.75" customHeight="1">
      <c r="A72" s="35">
        <f>Bill!$Y72</f>
        <v>45630</v>
      </c>
      <c r="B72" s="43">
        <f>'Raw Data'!E74+Bill!$L$2</f>
        <v>148</v>
      </c>
      <c r="C72" s="43">
        <f>'Raw Data'!E74+Bill!$M$2</f>
        <v>153</v>
      </c>
      <c r="D72" s="43">
        <f>('Raw Data'!$F74*2)-10</f>
        <v>204</v>
      </c>
      <c r="E72" s="43">
        <f>'Raw Data'!F74+Bill!$O$2</f>
        <v>127</v>
      </c>
      <c r="F72" s="43">
        <f>'Raw Data'!F74+Bill!$P$2</f>
        <v>132</v>
      </c>
      <c r="G72" s="43"/>
      <c r="H72" s="43">
        <f>('Raw Data'!F74+Bill!$R$2)</f>
        <v>127</v>
      </c>
      <c r="I72" s="36">
        <f>'Raw Data'!G74/100</f>
        <v>6.75</v>
      </c>
      <c r="K72" s="37">
        <f>Bill!$Y72</f>
        <v>45630</v>
      </c>
      <c r="L72" s="38">
        <f>Bill!$AA72*('Raw Data'!$E74+$L$2)</f>
        <v>1583.6</v>
      </c>
      <c r="M72" s="38">
        <f>Bill!$AB72*('Raw Data'!$E74+$M$2)</f>
        <v>1224</v>
      </c>
      <c r="N72" s="38">
        <f>(('Raw Data'!$F74 * 2)-10)*Bill!$AC72</f>
        <v>1224</v>
      </c>
      <c r="O72" s="38">
        <f>('Raw Data'!F74+Bill!$O$2)*Bill!$AD72</f>
        <v>127</v>
      </c>
      <c r="P72" s="38">
        <f>('Raw Data'!F74+Bill!$P$2)*Bill!$AE72</f>
        <v>0</v>
      </c>
      <c r="Q72" s="38">
        <f>Bill!$Z72*('Raw Data'!$E74+$Q$2)</f>
        <v>0</v>
      </c>
      <c r="R72" s="38">
        <f>('Raw Data'!F74+Bill!$R$2)*Bill!$AF72</f>
        <v>0</v>
      </c>
      <c r="S72" s="48">
        <f>('Raw Data'!G74/100)*Bill!$AG72</f>
        <v>0</v>
      </c>
      <c r="T72" s="38">
        <f>SUM(Bill!$L72:$R72)</f>
        <v>4158.6</v>
      </c>
      <c r="U72" s="49">
        <v>4159.0</v>
      </c>
      <c r="V72" s="50"/>
      <c r="W72" s="38">
        <f>Bill!$U72-Bill!$T72</f>
        <v>0.4</v>
      </c>
      <c r="Y72" s="37">
        <f>'Raw Data'!D74</f>
        <v>45630</v>
      </c>
      <c r="Z72" s="41">
        <v>0.0</v>
      </c>
      <c r="AA72" s="47">
        <v>10.7</v>
      </c>
      <c r="AB72" s="47">
        <v>8.0</v>
      </c>
      <c r="AC72" s="47">
        <v>6.0</v>
      </c>
      <c r="AD72" s="47">
        <v>1.0</v>
      </c>
      <c r="AE72" s="47">
        <v>0.0</v>
      </c>
      <c r="AF72" s="47">
        <v>0.0</v>
      </c>
      <c r="AG72" s="47">
        <v>0.0</v>
      </c>
    </row>
    <row r="73" ht="15.75" customHeight="1">
      <c r="A73" s="35">
        <f>Bill!$Y73</f>
        <v>45631</v>
      </c>
      <c r="B73" s="43">
        <f>'Raw Data'!E75+Bill!$L$2</f>
        <v>148</v>
      </c>
      <c r="C73" s="43">
        <f>'Raw Data'!E75+Bill!$M$2</f>
        <v>153</v>
      </c>
      <c r="D73" s="43">
        <f>('Raw Data'!$F75*2)-10</f>
        <v>204</v>
      </c>
      <c r="E73" s="43">
        <f>'Raw Data'!F75+Bill!$O$2</f>
        <v>127</v>
      </c>
      <c r="F73" s="43">
        <f>'Raw Data'!F75+Bill!$P$2</f>
        <v>132</v>
      </c>
      <c r="G73" s="43"/>
      <c r="H73" s="43">
        <f>('Raw Data'!F75+Bill!$R$2)</f>
        <v>127</v>
      </c>
      <c r="I73" s="36">
        <f>'Raw Data'!G75/100</f>
        <v>6.75</v>
      </c>
      <c r="K73" s="37">
        <f>Bill!$Y73</f>
        <v>45631</v>
      </c>
      <c r="L73" s="38">
        <f>Bill!$AA73*('Raw Data'!$E75+$L$2)</f>
        <v>1213.6</v>
      </c>
      <c r="M73" s="38">
        <f>Bill!$AB73*('Raw Data'!$E75+$M$2)</f>
        <v>765</v>
      </c>
      <c r="N73" s="38">
        <f>(('Raw Data'!$F75 * 2)-10)*Bill!$AC73</f>
        <v>816</v>
      </c>
      <c r="O73" s="38">
        <f>('Raw Data'!F75+Bill!$O$2)*Bill!$AD73</f>
        <v>292.1</v>
      </c>
      <c r="P73" s="38">
        <f>('Raw Data'!F75+Bill!$P$2)*Bill!$AE73</f>
        <v>0</v>
      </c>
      <c r="Q73" s="38">
        <f>Bill!$Z73*('Raw Data'!$E75+$Q$2)</f>
        <v>0</v>
      </c>
      <c r="R73" s="38">
        <f>('Raw Data'!F75+Bill!$R$2)*Bill!$AF73</f>
        <v>0</v>
      </c>
      <c r="S73" s="48">
        <f>('Raw Data'!G75/100)*Bill!$AG73</f>
        <v>1417.5</v>
      </c>
      <c r="T73" s="38">
        <f>SUM(Bill!$L73:$R73)</f>
        <v>3086.7</v>
      </c>
      <c r="U73" s="49">
        <v>3086.0</v>
      </c>
      <c r="V73" s="50"/>
      <c r="W73" s="38">
        <f>Bill!$U73-Bill!$T73</f>
        <v>-0.7</v>
      </c>
      <c r="Y73" s="37">
        <f>'Raw Data'!D75</f>
        <v>45631</v>
      </c>
      <c r="Z73" s="41">
        <v>0.0</v>
      </c>
      <c r="AA73" s="47">
        <v>8.2</v>
      </c>
      <c r="AB73" s="47">
        <v>5.0</v>
      </c>
      <c r="AC73" s="47">
        <v>4.0</v>
      </c>
      <c r="AD73" s="47">
        <v>2.3</v>
      </c>
      <c r="AE73" s="47">
        <v>0.0</v>
      </c>
      <c r="AF73" s="47">
        <v>0.0</v>
      </c>
      <c r="AG73" s="47">
        <v>210.0</v>
      </c>
    </row>
    <row r="74" ht="15.75" customHeight="1">
      <c r="A74" s="35">
        <f>Bill!$Y74</f>
        <v>45632</v>
      </c>
      <c r="B74" s="43">
        <f>'Raw Data'!E76+Bill!$L$2</f>
        <v>148</v>
      </c>
      <c r="C74" s="43">
        <f>'Raw Data'!E76+Bill!$M$2</f>
        <v>153</v>
      </c>
      <c r="D74" s="43">
        <f>('Raw Data'!$F76*2)-10</f>
        <v>200</v>
      </c>
      <c r="E74" s="43">
        <f>'Raw Data'!F76+Bill!$O$2</f>
        <v>125</v>
      </c>
      <c r="F74" s="43">
        <f>'Raw Data'!F76+Bill!$P$2</f>
        <v>130</v>
      </c>
      <c r="G74" s="43"/>
      <c r="H74" s="43">
        <f>('Raw Data'!F76+Bill!$R$2)</f>
        <v>125</v>
      </c>
      <c r="I74" s="36">
        <f>'Raw Data'!G76/100</f>
        <v>6.75</v>
      </c>
      <c r="K74" s="37">
        <f>Bill!$Y74</f>
        <v>45632</v>
      </c>
      <c r="L74" s="38">
        <f>Bill!$AA74*('Raw Data'!$E76+$L$2)</f>
        <v>651.2</v>
      </c>
      <c r="M74" s="38">
        <f>Bill!$AB74*('Raw Data'!$E76+$M$2)</f>
        <v>1836</v>
      </c>
      <c r="N74" s="38">
        <f>(('Raw Data'!$F76 * 2)-10)*Bill!$AC74</f>
        <v>1000</v>
      </c>
      <c r="O74" s="38">
        <f>('Raw Data'!F76+Bill!$O$2)*Bill!$AD74</f>
        <v>0</v>
      </c>
      <c r="P74" s="38">
        <f>('Raw Data'!F76+Bill!$P$2)*Bill!$AE74</f>
        <v>390</v>
      </c>
      <c r="Q74" s="38">
        <f>Bill!$Z74*('Raw Data'!$E76+$Q$2)</f>
        <v>0</v>
      </c>
      <c r="R74" s="38">
        <f>('Raw Data'!F76+Bill!$R$2)*Bill!$AF74</f>
        <v>125</v>
      </c>
      <c r="S74" s="48">
        <f>('Raw Data'!G76/100)*Bill!$AG74</f>
        <v>0</v>
      </c>
      <c r="T74" s="38">
        <f>SUM(Bill!$L74:$R74)</f>
        <v>4002.2</v>
      </c>
      <c r="U74" s="49">
        <v>4009.0</v>
      </c>
      <c r="V74" s="50"/>
      <c r="W74" s="38">
        <f>Bill!$U74-Bill!$T74</f>
        <v>6.8</v>
      </c>
      <c r="Y74" s="37">
        <f>'Raw Data'!D76</f>
        <v>45632</v>
      </c>
      <c r="Z74" s="41">
        <v>0.0</v>
      </c>
      <c r="AA74" s="47">
        <v>4.4</v>
      </c>
      <c r="AB74" s="47">
        <v>12.0</v>
      </c>
      <c r="AC74" s="47">
        <v>5.0</v>
      </c>
      <c r="AD74" s="47"/>
      <c r="AE74" s="47">
        <v>3.0</v>
      </c>
      <c r="AF74" s="47">
        <v>1.0</v>
      </c>
      <c r="AG74" s="47"/>
    </row>
    <row r="75" ht="15.75" customHeight="1">
      <c r="A75" s="35">
        <f>Bill!$Y75</f>
        <v>45633</v>
      </c>
      <c r="B75" s="43">
        <f>'Raw Data'!E77+Bill!$L$2</f>
        <v>146</v>
      </c>
      <c r="C75" s="43">
        <f>'Raw Data'!E77+Bill!$M$2</f>
        <v>151</v>
      </c>
      <c r="D75" s="43">
        <f>('Raw Data'!$F77*2)-10</f>
        <v>190</v>
      </c>
      <c r="E75" s="43">
        <f>'Raw Data'!F77+Bill!$O$2</f>
        <v>120</v>
      </c>
      <c r="F75" s="43">
        <f>'Raw Data'!F77+Bill!$P$2</f>
        <v>125</v>
      </c>
      <c r="G75" s="43"/>
      <c r="H75" s="43">
        <f>('Raw Data'!F77+Bill!$R$2)</f>
        <v>120</v>
      </c>
      <c r="I75" s="36">
        <f>'Raw Data'!G77/100</f>
        <v>6.75</v>
      </c>
      <c r="K75" s="37">
        <f>Bill!$Y75</f>
        <v>45633</v>
      </c>
      <c r="L75" s="38">
        <f>Bill!$AA75*('Raw Data'!$E77+$L$2)</f>
        <v>1693.6</v>
      </c>
      <c r="M75" s="38">
        <f>Bill!$AB75*('Raw Data'!$E77+$M$2)</f>
        <v>2265</v>
      </c>
      <c r="N75" s="38">
        <f>(('Raw Data'!$F77 * 2)-10)*Bill!$AC75</f>
        <v>1520</v>
      </c>
      <c r="O75" s="38">
        <f>('Raw Data'!F77+Bill!$O$2)*Bill!$AD75</f>
        <v>240</v>
      </c>
      <c r="P75" s="38">
        <f>('Raw Data'!F77+Bill!$P$2)*Bill!$AE75</f>
        <v>625</v>
      </c>
      <c r="Q75" s="38">
        <f>Bill!$Z75*('Raw Data'!$E77+$Q$2)</f>
        <v>0</v>
      </c>
      <c r="R75" s="38">
        <f>('Raw Data'!F77+Bill!$R$2)*Bill!$AF75</f>
        <v>0</v>
      </c>
      <c r="S75" s="48">
        <f>('Raw Data'!G77/100)*Bill!$AG75</f>
        <v>1012.5</v>
      </c>
      <c r="T75" s="38">
        <f>SUM(Bill!$L75:$R75)</f>
        <v>6343.6</v>
      </c>
      <c r="U75" s="49">
        <v>6343.0</v>
      </c>
      <c r="V75" s="50"/>
      <c r="W75" s="38">
        <f>Bill!$U75-Bill!$T75</f>
        <v>-0.6</v>
      </c>
      <c r="Y75" s="37">
        <f>'Raw Data'!D77</f>
        <v>45633</v>
      </c>
      <c r="Z75" s="41">
        <v>0.0</v>
      </c>
      <c r="AA75" s="47">
        <v>11.6</v>
      </c>
      <c r="AB75" s="47">
        <v>15.0</v>
      </c>
      <c r="AC75" s="47">
        <v>8.0</v>
      </c>
      <c r="AD75" s="47">
        <v>2.0</v>
      </c>
      <c r="AE75" s="47">
        <v>5.0</v>
      </c>
      <c r="AF75" s="47">
        <v>0.0</v>
      </c>
      <c r="AG75" s="47">
        <v>150.0</v>
      </c>
    </row>
    <row r="76" ht="15.75" customHeight="1">
      <c r="A76" s="35">
        <f>Bill!$Y76</f>
        <v>45634</v>
      </c>
      <c r="B76" s="43">
        <f>'Raw Data'!E78+Bill!$L$2</f>
        <v>148</v>
      </c>
      <c r="C76" s="43">
        <f>'Raw Data'!E78+Bill!$M$2</f>
        <v>153</v>
      </c>
      <c r="D76" s="43">
        <f>('Raw Data'!$F78*2)-10</f>
        <v>194</v>
      </c>
      <c r="E76" s="43">
        <f>'Raw Data'!F78+Bill!$O$2</f>
        <v>122</v>
      </c>
      <c r="F76" s="43">
        <f>'Raw Data'!F78+Bill!$P$2</f>
        <v>127</v>
      </c>
      <c r="G76" s="43"/>
      <c r="H76" s="43">
        <f>('Raw Data'!F78+Bill!$R$2)</f>
        <v>122</v>
      </c>
      <c r="I76" s="36">
        <f>'Raw Data'!G78/100</f>
        <v>6.75</v>
      </c>
      <c r="K76" s="37">
        <f>Bill!$Y76</f>
        <v>45634</v>
      </c>
      <c r="L76" s="38">
        <f>Bill!$AA76*('Raw Data'!$E78+$L$2)</f>
        <v>1628</v>
      </c>
      <c r="M76" s="38">
        <f>Bill!$AB76*('Raw Data'!$E78+$M$2)</f>
        <v>2295</v>
      </c>
      <c r="N76" s="38">
        <f>(('Raw Data'!$F78 * 2)-10)*Bill!$AC76</f>
        <v>1552</v>
      </c>
      <c r="O76" s="38">
        <f>('Raw Data'!F78+Bill!$O$2)*Bill!$AD76</f>
        <v>122</v>
      </c>
      <c r="P76" s="38">
        <f>('Raw Data'!F78+Bill!$P$2)*Bill!$AE76</f>
        <v>0</v>
      </c>
      <c r="Q76" s="38">
        <f>Bill!$Z76*('Raw Data'!$E78+$Q$2)</f>
        <v>0</v>
      </c>
      <c r="R76" s="38">
        <f>('Raw Data'!F78+Bill!$R$2)*Bill!$AF76</f>
        <v>384.3</v>
      </c>
      <c r="S76" s="48">
        <f>('Raw Data'!G78/100)*Bill!$AG76</f>
        <v>0</v>
      </c>
      <c r="T76" s="38">
        <f>SUM(Bill!$L76:$R76)</f>
        <v>5981.3</v>
      </c>
      <c r="U76" s="49">
        <v>5929.0</v>
      </c>
      <c r="V76" s="50"/>
      <c r="W76" s="38">
        <f>Bill!$U76-Bill!$T76</f>
        <v>-52.3</v>
      </c>
      <c r="Y76" s="37">
        <f>'Raw Data'!D78</f>
        <v>45634</v>
      </c>
      <c r="Z76" s="41">
        <v>0.0</v>
      </c>
      <c r="AA76" s="47">
        <v>11.0</v>
      </c>
      <c r="AB76" s="47">
        <v>15.0</v>
      </c>
      <c r="AC76" s="47">
        <v>8.0</v>
      </c>
      <c r="AD76" s="47">
        <v>1.0</v>
      </c>
      <c r="AE76" s="47">
        <v>0.0</v>
      </c>
      <c r="AF76" s="47">
        <v>3.15</v>
      </c>
      <c r="AG76" s="47">
        <v>0.0</v>
      </c>
    </row>
    <row r="77" ht="15.75" customHeight="1">
      <c r="A77" s="35">
        <f>Bill!$Y77</f>
        <v>45635</v>
      </c>
      <c r="B77" s="43">
        <f>'Raw Data'!E79+Bill!$L$2</f>
        <v>146</v>
      </c>
      <c r="C77" s="43">
        <f>'Raw Data'!E79+Bill!$M$2</f>
        <v>151</v>
      </c>
      <c r="D77" s="43">
        <f>('Raw Data'!$F79*2)-10</f>
        <v>194</v>
      </c>
      <c r="E77" s="43">
        <f>'Raw Data'!F79+Bill!$O$2</f>
        <v>122</v>
      </c>
      <c r="F77" s="43">
        <f>'Raw Data'!F79+Bill!$P$2</f>
        <v>127</v>
      </c>
      <c r="G77" s="43"/>
      <c r="H77" s="43">
        <f>('Raw Data'!F79+Bill!$R$2)</f>
        <v>122</v>
      </c>
      <c r="I77" s="36">
        <f>'Raw Data'!G79/100</f>
        <v>6.75</v>
      </c>
      <c r="K77" s="37">
        <f>Bill!$Y77</f>
        <v>45635</v>
      </c>
      <c r="L77" s="38">
        <f>Bill!$AA77*('Raw Data'!$E79+$L$2)</f>
        <v>700.8</v>
      </c>
      <c r="M77" s="38">
        <f>Bill!$AB77*('Raw Data'!$E79+$M$2)</f>
        <v>1208</v>
      </c>
      <c r="N77" s="38">
        <f>(('Raw Data'!$F79 * 2)-10)*Bill!$AC77</f>
        <v>1552</v>
      </c>
      <c r="O77" s="38">
        <f>('Raw Data'!F79+Bill!$O$2)*Bill!$AD77</f>
        <v>0</v>
      </c>
      <c r="P77" s="38">
        <f>('Raw Data'!F79+Bill!$P$2)*Bill!$AE77</f>
        <v>381</v>
      </c>
      <c r="Q77" s="38">
        <f>Bill!$Z77*('Raw Data'!$E79+$Q$2)</f>
        <v>0</v>
      </c>
      <c r="R77" s="38">
        <f>('Raw Data'!F79+Bill!$R$2)*Bill!$AF77</f>
        <v>0</v>
      </c>
      <c r="S77" s="48">
        <f>('Raw Data'!G79/100)*Bill!$AG77</f>
        <v>0</v>
      </c>
      <c r="T77" s="38">
        <f>SUM(Bill!$L77:$R77)</f>
        <v>3841.8</v>
      </c>
      <c r="U77" s="49">
        <v>3841.0</v>
      </c>
      <c r="V77" s="50"/>
      <c r="W77" s="38">
        <f>Bill!$U77-Bill!$T77</f>
        <v>-0.8</v>
      </c>
      <c r="Y77" s="37">
        <f>'Raw Data'!D79</f>
        <v>45635</v>
      </c>
      <c r="Z77" s="41">
        <v>0.0</v>
      </c>
      <c r="AA77" s="47">
        <v>4.8</v>
      </c>
      <c r="AB77" s="47">
        <v>8.0</v>
      </c>
      <c r="AC77" s="47">
        <v>8.0</v>
      </c>
      <c r="AD77" s="47">
        <v>0.0</v>
      </c>
      <c r="AE77" s="47">
        <v>3.0</v>
      </c>
      <c r="AF77" s="47">
        <v>0.0</v>
      </c>
      <c r="AG77" s="47">
        <v>0.0</v>
      </c>
    </row>
    <row r="78" ht="15.75" customHeight="1">
      <c r="A78" s="35">
        <f>Bill!$Y78</f>
        <v>45636</v>
      </c>
      <c r="B78" s="43">
        <f>'Raw Data'!E80+Bill!$L$2</f>
        <v>146</v>
      </c>
      <c r="C78" s="43">
        <f>'Raw Data'!E80+Bill!$M$2</f>
        <v>151</v>
      </c>
      <c r="D78" s="43">
        <f>('Raw Data'!$F80*2)-10</f>
        <v>194</v>
      </c>
      <c r="E78" s="43">
        <f>'Raw Data'!F80+Bill!$O$2</f>
        <v>122</v>
      </c>
      <c r="F78" s="43">
        <f>'Raw Data'!F80+Bill!$P$2</f>
        <v>127</v>
      </c>
      <c r="G78" s="43"/>
      <c r="H78" s="43">
        <f>('Raw Data'!F80+Bill!$R$2)</f>
        <v>122</v>
      </c>
      <c r="I78" s="36">
        <f>'Raw Data'!G80/100</f>
        <v>6.75</v>
      </c>
      <c r="K78" s="37">
        <f>Bill!$Y78</f>
        <v>45636</v>
      </c>
      <c r="L78" s="38">
        <f>Bill!$AA78*('Raw Data'!$E80+$L$2)</f>
        <v>0</v>
      </c>
      <c r="M78" s="38">
        <f>Bill!$AB78*('Raw Data'!$E80+$M$2)</f>
        <v>498.3</v>
      </c>
      <c r="N78" s="38">
        <f>(('Raw Data'!$F80 * 2)-10)*Bill!$AC78</f>
        <v>1164</v>
      </c>
      <c r="O78" s="38">
        <f>('Raw Data'!F80+Bill!$O$2)*Bill!$AD78</f>
        <v>0</v>
      </c>
      <c r="P78" s="38">
        <f>('Raw Data'!F80+Bill!$P$2)*Bill!$AE78</f>
        <v>381</v>
      </c>
      <c r="Q78" s="38">
        <f>Bill!$Z78*('Raw Data'!$E80+$Q$2)</f>
        <v>0</v>
      </c>
      <c r="R78" s="38">
        <f>('Raw Data'!F80+Bill!$R$2)*Bill!$AF78</f>
        <v>0</v>
      </c>
      <c r="S78" s="48">
        <f>('Raw Data'!G80/100)*Bill!$AG78</f>
        <v>0</v>
      </c>
      <c r="T78" s="38">
        <f>SUM(Bill!$L78:$R78)</f>
        <v>2043.3</v>
      </c>
      <c r="U78" s="49">
        <v>2043.0</v>
      </c>
      <c r="V78" s="50"/>
      <c r="W78" s="38">
        <f>Bill!$U78-Bill!$T78</f>
        <v>-0.3</v>
      </c>
      <c r="Y78" s="37">
        <f>'Raw Data'!D80</f>
        <v>45636</v>
      </c>
      <c r="Z78" s="41">
        <v>0.0</v>
      </c>
      <c r="AA78" s="47">
        <v>0.0</v>
      </c>
      <c r="AB78" s="47">
        <v>3.3</v>
      </c>
      <c r="AC78" s="47">
        <v>6.0</v>
      </c>
      <c r="AD78" s="47">
        <v>0.0</v>
      </c>
      <c r="AE78" s="47">
        <v>3.0</v>
      </c>
      <c r="AF78" s="47">
        <v>0.0</v>
      </c>
      <c r="AG78" s="47">
        <v>0.0</v>
      </c>
    </row>
    <row r="79" ht="15.75" customHeight="1">
      <c r="A79" s="35">
        <f>Bill!$Y79</f>
        <v>45637</v>
      </c>
      <c r="B79" s="43">
        <f>'Raw Data'!E81+Bill!$L$2</f>
        <v>144</v>
      </c>
      <c r="C79" s="43">
        <f>'Raw Data'!E81+Bill!$M$2</f>
        <v>149</v>
      </c>
      <c r="D79" s="43">
        <f>('Raw Data'!$F81*2)-10</f>
        <v>194</v>
      </c>
      <c r="E79" s="43">
        <f>'Raw Data'!F81+Bill!$O$2</f>
        <v>122</v>
      </c>
      <c r="F79" s="43">
        <f>'Raw Data'!F81+Bill!$P$2</f>
        <v>127</v>
      </c>
      <c r="G79" s="43"/>
      <c r="H79" s="43">
        <f>('Raw Data'!F81+Bill!$R$2)</f>
        <v>122</v>
      </c>
      <c r="I79" s="36">
        <f>'Raw Data'!G81/100</f>
        <v>6.75</v>
      </c>
      <c r="K79" s="37">
        <f>Bill!$Y79</f>
        <v>45637</v>
      </c>
      <c r="L79" s="38">
        <f>Bill!$AA79*('Raw Data'!$E81+$L$2)</f>
        <v>1468.8</v>
      </c>
      <c r="M79" s="38">
        <f>Bill!$AB79*('Raw Data'!$E81+$M$2)</f>
        <v>2235</v>
      </c>
      <c r="N79" s="38">
        <f>(('Raw Data'!$F81 * 2)-10)*Bill!$AC79</f>
        <v>1164</v>
      </c>
      <c r="O79" s="38">
        <f>('Raw Data'!F81+Bill!$O$2)*Bill!$AD79</f>
        <v>256.2</v>
      </c>
      <c r="P79" s="38">
        <f>('Raw Data'!F81+Bill!$P$2)*Bill!$AE79</f>
        <v>254</v>
      </c>
      <c r="Q79" s="38">
        <f>Bill!$Z79*('Raw Data'!$E81+$Q$2)</f>
        <v>0</v>
      </c>
      <c r="R79" s="38">
        <f>('Raw Data'!F81+Bill!$R$2)*Bill!$AF79</f>
        <v>0</v>
      </c>
      <c r="S79" s="48">
        <f>('Raw Data'!G81/100)*Bill!$AG79</f>
        <v>0</v>
      </c>
      <c r="T79" s="38">
        <f>SUM(Bill!$L79:$R79)</f>
        <v>5378</v>
      </c>
      <c r="U79" s="49">
        <v>5388.0</v>
      </c>
      <c r="V79" s="50"/>
      <c r="W79" s="38">
        <f>Bill!$U79-Bill!$T79</f>
        <v>10</v>
      </c>
      <c r="Y79" s="37">
        <f>'Raw Data'!D81</f>
        <v>45637</v>
      </c>
      <c r="Z79" s="41">
        <v>0.0</v>
      </c>
      <c r="AA79" s="47">
        <v>10.2</v>
      </c>
      <c r="AB79" s="47">
        <v>15.0</v>
      </c>
      <c r="AC79" s="47">
        <v>6.0</v>
      </c>
      <c r="AD79" s="47">
        <v>2.1</v>
      </c>
      <c r="AE79" s="47">
        <v>2.0</v>
      </c>
      <c r="AF79" s="47">
        <v>0.0</v>
      </c>
      <c r="AG79" s="47">
        <v>0.0</v>
      </c>
    </row>
    <row r="80" ht="15.75" customHeight="1">
      <c r="A80" s="35">
        <f>Bill!$Y80</f>
        <v>45638</v>
      </c>
      <c r="B80" s="43">
        <f>'Raw Data'!E82+Bill!$L$2</f>
        <v>144</v>
      </c>
      <c r="C80" s="43">
        <f>'Raw Data'!E82+Bill!$M$2</f>
        <v>149</v>
      </c>
      <c r="D80" s="43">
        <f>('Raw Data'!$F82*2)-10</f>
        <v>198</v>
      </c>
      <c r="E80" s="43">
        <f>'Raw Data'!F82+Bill!$O$2</f>
        <v>124</v>
      </c>
      <c r="F80" s="43">
        <f>'Raw Data'!F82+Bill!$P$2</f>
        <v>129</v>
      </c>
      <c r="G80" s="43"/>
      <c r="H80" s="43">
        <f>('Raw Data'!F82+Bill!$R$2)</f>
        <v>124</v>
      </c>
      <c r="I80" s="36">
        <f>'Raw Data'!G82/100</f>
        <v>6.75</v>
      </c>
      <c r="K80" s="37">
        <f>Bill!$Y80</f>
        <v>45638</v>
      </c>
      <c r="L80" s="38">
        <f>Bill!$AA80*('Raw Data'!$E82+$L$2)</f>
        <v>0</v>
      </c>
      <c r="M80" s="38">
        <f>Bill!$AB80*('Raw Data'!$E82+$M$2)</f>
        <v>1490</v>
      </c>
      <c r="N80" s="38">
        <f>(('Raw Data'!$F82 * 2)-10)*Bill!$AC80</f>
        <v>1584</v>
      </c>
      <c r="O80" s="38">
        <f>('Raw Data'!F82+Bill!$O$2)*Bill!$AD80</f>
        <v>0</v>
      </c>
      <c r="P80" s="38">
        <f>('Raw Data'!F82+Bill!$P$2)*Bill!$AE80</f>
        <v>0</v>
      </c>
      <c r="Q80" s="38">
        <f>Bill!$Z80*('Raw Data'!$E82+$Q$2)</f>
        <v>0</v>
      </c>
      <c r="R80" s="38">
        <f>('Raw Data'!F82+Bill!$R$2)*Bill!$AF80</f>
        <v>0</v>
      </c>
      <c r="S80" s="48">
        <f>('Raw Data'!G82/100)*Bill!$AG80</f>
        <v>0</v>
      </c>
      <c r="T80" s="38">
        <f>SUM(Bill!$L80:$R80)</f>
        <v>3074</v>
      </c>
      <c r="U80" s="49">
        <v>3074.0</v>
      </c>
      <c r="V80" s="50"/>
      <c r="W80" s="38">
        <f>Bill!$U80-Bill!$T80</f>
        <v>0</v>
      </c>
      <c r="Y80" s="37">
        <f>'Raw Data'!D82</f>
        <v>45638</v>
      </c>
      <c r="Z80" s="41">
        <v>0.0</v>
      </c>
      <c r="AA80" s="47">
        <v>0.0</v>
      </c>
      <c r="AB80" s="47">
        <v>10.0</v>
      </c>
      <c r="AC80" s="47">
        <v>8.0</v>
      </c>
      <c r="AD80" s="47">
        <v>0.0</v>
      </c>
      <c r="AE80" s="47">
        <v>0.0</v>
      </c>
      <c r="AF80" s="47">
        <v>0.0</v>
      </c>
      <c r="AG80" s="47">
        <v>0.0</v>
      </c>
    </row>
    <row r="81" ht="15.75" customHeight="1">
      <c r="A81" s="35">
        <f>Bill!$Y81</f>
        <v>45639</v>
      </c>
      <c r="B81" s="43">
        <f>'Raw Data'!E83+Bill!$L$2</f>
        <v>146</v>
      </c>
      <c r="C81" s="43">
        <f>'Raw Data'!E83+Bill!$M$2</f>
        <v>151</v>
      </c>
      <c r="D81" s="43">
        <f>('Raw Data'!$F83*2)-10</f>
        <v>212</v>
      </c>
      <c r="E81" s="43">
        <f>'Raw Data'!F83+Bill!$O$2</f>
        <v>131</v>
      </c>
      <c r="F81" s="43">
        <f>'Raw Data'!F83+Bill!$P$2</f>
        <v>136</v>
      </c>
      <c r="G81" s="43"/>
      <c r="H81" s="43">
        <f>('Raw Data'!F83+Bill!$R$2)</f>
        <v>131</v>
      </c>
      <c r="I81" s="36">
        <f>'Raw Data'!G83/100</f>
        <v>6.75</v>
      </c>
      <c r="K81" s="37">
        <f>Bill!$Y81</f>
        <v>45639</v>
      </c>
      <c r="L81" s="38">
        <f>Bill!$AA81*('Raw Data'!$E83+$L$2)</f>
        <v>1562.2</v>
      </c>
      <c r="M81" s="38">
        <f>Bill!$AB81*('Raw Data'!$E83+$M$2)</f>
        <v>1510</v>
      </c>
      <c r="N81" s="38">
        <f>(('Raw Data'!$F83 * 2)-10)*Bill!$AC81</f>
        <v>636</v>
      </c>
      <c r="O81" s="38">
        <f>('Raw Data'!F83+Bill!$O$2)*Bill!$AD81</f>
        <v>0</v>
      </c>
      <c r="P81" s="38">
        <f>('Raw Data'!F83+Bill!$P$2)*Bill!$AE81</f>
        <v>0</v>
      </c>
      <c r="Q81" s="38">
        <f>Bill!$Z81*('Raw Data'!$E83+$Q$2)</f>
        <v>0</v>
      </c>
      <c r="R81" s="38">
        <f>('Raw Data'!F83+Bill!$R$2)*Bill!$AF81</f>
        <v>0</v>
      </c>
      <c r="S81" s="48">
        <f>('Raw Data'!G83/100)*Bill!$AG81</f>
        <v>0</v>
      </c>
      <c r="T81" s="38">
        <f>SUM(Bill!$L81:$R81)</f>
        <v>3708.2</v>
      </c>
      <c r="U81" s="49">
        <v>3708.0</v>
      </c>
      <c r="V81" s="50"/>
      <c r="W81" s="38">
        <f>Bill!$U81-Bill!$T81</f>
        <v>-0.2</v>
      </c>
      <c r="Y81" s="37">
        <f>'Raw Data'!D83</f>
        <v>45639</v>
      </c>
      <c r="Z81" s="41">
        <v>0.0</v>
      </c>
      <c r="AA81" s="47">
        <v>10.7</v>
      </c>
      <c r="AB81" s="47">
        <v>10.0</v>
      </c>
      <c r="AC81" s="47">
        <v>3.0</v>
      </c>
      <c r="AD81" s="47">
        <v>0.0</v>
      </c>
      <c r="AE81" s="47">
        <v>0.0</v>
      </c>
      <c r="AF81" s="47">
        <v>0.0</v>
      </c>
      <c r="AG81" s="47">
        <v>0.0</v>
      </c>
    </row>
    <row r="82" ht="15.75" customHeight="1">
      <c r="A82" s="35">
        <f>Bill!$Y82</f>
        <v>45640</v>
      </c>
      <c r="B82" s="43">
        <f>'Raw Data'!E84+Bill!$L$2</f>
        <v>148</v>
      </c>
      <c r="C82" s="43">
        <f>'Raw Data'!E84+Bill!$M$2</f>
        <v>153</v>
      </c>
      <c r="D82" s="43">
        <f>('Raw Data'!$F84*2)-10</f>
        <v>236</v>
      </c>
      <c r="E82" s="43">
        <f>'Raw Data'!F84+Bill!$O$2</f>
        <v>143</v>
      </c>
      <c r="F82" s="43">
        <f>'Raw Data'!F84+Bill!$P$2</f>
        <v>148</v>
      </c>
      <c r="G82" s="43"/>
      <c r="H82" s="43">
        <f>('Raw Data'!F84+Bill!$R$2)</f>
        <v>143</v>
      </c>
      <c r="I82" s="36">
        <f>'Raw Data'!G84/100</f>
        <v>6.75</v>
      </c>
      <c r="K82" s="37">
        <f>Bill!$Y82</f>
        <v>45640</v>
      </c>
      <c r="L82" s="38">
        <f>Bill!$AA82*('Raw Data'!$E84+$L$2)</f>
        <v>1832.24</v>
      </c>
      <c r="M82" s="38">
        <f>Bill!$AB82*('Raw Data'!$E84+$M$2)</f>
        <v>2340.9</v>
      </c>
      <c r="N82" s="38">
        <f>(('Raw Data'!$F84 * 2)-10)*Bill!$AC82</f>
        <v>1180</v>
      </c>
      <c r="O82" s="38">
        <f>('Raw Data'!F84+Bill!$O$2)*Bill!$AD82</f>
        <v>328.9</v>
      </c>
      <c r="P82" s="38">
        <f>('Raw Data'!F84+Bill!$P$2)*Bill!$AE82</f>
        <v>444</v>
      </c>
      <c r="Q82" s="38">
        <f>Bill!$Z82*('Raw Data'!$E84+$Q$2)</f>
        <v>0</v>
      </c>
      <c r="R82" s="38">
        <f>('Raw Data'!F84+Bill!$R$2)*Bill!$AF82</f>
        <v>0</v>
      </c>
      <c r="S82" s="48">
        <f>('Raw Data'!G84/100)*Bill!$AG82</f>
        <v>0</v>
      </c>
      <c r="T82" s="38">
        <f>SUM(Bill!$L82:$R82)</f>
        <v>6126.04</v>
      </c>
      <c r="U82" s="49">
        <v>6121.0</v>
      </c>
      <c r="V82" s="50"/>
      <c r="W82" s="38">
        <f>Bill!$U82-Bill!$T82</f>
        <v>-5.04</v>
      </c>
      <c r="Y82" s="37">
        <f>'Raw Data'!D84</f>
        <v>45640</v>
      </c>
      <c r="Z82" s="41">
        <v>0.0</v>
      </c>
      <c r="AA82" s="47">
        <v>12.38</v>
      </c>
      <c r="AB82" s="47">
        <v>15.3</v>
      </c>
      <c r="AC82" s="47">
        <v>5.0</v>
      </c>
      <c r="AD82" s="47">
        <v>2.3</v>
      </c>
      <c r="AE82" s="47">
        <v>3.0</v>
      </c>
      <c r="AF82" s="47">
        <v>0.0</v>
      </c>
      <c r="AG82" s="47">
        <v>0.0</v>
      </c>
    </row>
    <row r="83" ht="15.75" customHeight="1">
      <c r="A83" s="35">
        <f>Bill!$Y83</f>
        <v>45641</v>
      </c>
      <c r="B83" s="43">
        <f>'Raw Data'!E85+Bill!$L$2</f>
        <v>150</v>
      </c>
      <c r="C83" s="43">
        <f>'Raw Data'!E85+Bill!$M$2</f>
        <v>155</v>
      </c>
      <c r="D83" s="43">
        <f>('Raw Data'!$F85*2)-10</f>
        <v>236</v>
      </c>
      <c r="E83" s="43">
        <f>'Raw Data'!F85+Bill!$O$2</f>
        <v>143</v>
      </c>
      <c r="F83" s="43">
        <f>'Raw Data'!F85+Bill!$P$2</f>
        <v>148</v>
      </c>
      <c r="G83" s="43"/>
      <c r="H83" s="43">
        <f>('Raw Data'!F85+Bill!$R$2)</f>
        <v>143</v>
      </c>
      <c r="I83" s="36">
        <f>'Raw Data'!G85/100</f>
        <v>6.75</v>
      </c>
      <c r="K83" s="37">
        <f>Bill!$Y83</f>
        <v>45641</v>
      </c>
      <c r="L83" s="38">
        <f>Bill!$AA83*('Raw Data'!$E85+$L$2)</f>
        <v>1125</v>
      </c>
      <c r="M83" s="38">
        <f>Bill!$AB83*('Raw Data'!$E85+$M$2)</f>
        <v>930</v>
      </c>
      <c r="N83" s="38">
        <f>(('Raw Data'!$F85 * 2)-10)*Bill!$AC83</f>
        <v>1180</v>
      </c>
      <c r="O83" s="38">
        <f>('Raw Data'!F85+Bill!$O$2)*Bill!$AD83</f>
        <v>337.48</v>
      </c>
      <c r="P83" s="38">
        <f>('Raw Data'!F85+Bill!$P$2)*Bill!$AE83</f>
        <v>296</v>
      </c>
      <c r="Q83" s="38">
        <f>Bill!$Z83*('Raw Data'!$E85+$Q$2)</f>
        <v>0</v>
      </c>
      <c r="R83" s="38">
        <f>('Raw Data'!F85+Bill!$R$2)*Bill!$AF83</f>
        <v>464.75</v>
      </c>
      <c r="S83" s="48">
        <f>('Raw Data'!G85/100)*Bill!$AG83</f>
        <v>0</v>
      </c>
      <c r="T83" s="38">
        <f>SUM(Bill!$L83:$R83)</f>
        <v>4333.23</v>
      </c>
      <c r="U83" s="49">
        <v>4363.0</v>
      </c>
      <c r="V83" s="50"/>
      <c r="W83" s="38">
        <f>Bill!$U83-Bill!$T83</f>
        <v>29.77</v>
      </c>
      <c r="Y83" s="37">
        <f>'Raw Data'!D85</f>
        <v>45641</v>
      </c>
      <c r="Z83" s="41">
        <v>0.0</v>
      </c>
      <c r="AA83" s="47">
        <v>7.5</v>
      </c>
      <c r="AB83" s="47">
        <v>6.0</v>
      </c>
      <c r="AC83" s="47">
        <v>5.0</v>
      </c>
      <c r="AD83" s="47">
        <v>2.36</v>
      </c>
      <c r="AE83" s="47">
        <v>2.0</v>
      </c>
      <c r="AF83" s="47">
        <v>3.25</v>
      </c>
      <c r="AG83" s="47">
        <v>0.0</v>
      </c>
    </row>
    <row r="84" ht="15.75" customHeight="1">
      <c r="A84" s="35">
        <f>Bill!$Y84</f>
        <v>45642</v>
      </c>
      <c r="B84" s="43">
        <f>'Raw Data'!E86+Bill!$L$2</f>
        <v>150</v>
      </c>
      <c r="C84" s="43">
        <f>'Raw Data'!E86+Bill!$M$2</f>
        <v>155</v>
      </c>
      <c r="D84" s="43">
        <f>('Raw Data'!$F86*2)-10</f>
        <v>236</v>
      </c>
      <c r="E84" s="43">
        <f>'Raw Data'!F86+Bill!$O$2</f>
        <v>143</v>
      </c>
      <c r="F84" s="43">
        <f>'Raw Data'!F86+Bill!$P$2</f>
        <v>148</v>
      </c>
      <c r="G84" s="43"/>
      <c r="H84" s="43">
        <f>('Raw Data'!F86+Bill!$R$2)</f>
        <v>143</v>
      </c>
      <c r="I84" s="36">
        <f>'Raw Data'!G86/100</f>
        <v>6.65</v>
      </c>
      <c r="K84" s="37">
        <f>Bill!$Y84</f>
        <v>45642</v>
      </c>
      <c r="L84" s="38">
        <f>Bill!$AA84*('Raw Data'!$E86+$L$2)</f>
        <v>0</v>
      </c>
      <c r="M84" s="38">
        <f>Bill!$AB84*('Raw Data'!$E86+$M$2)</f>
        <v>2325</v>
      </c>
      <c r="N84" s="38">
        <f>(('Raw Data'!$F86 * 2)-10)*Bill!$AC84</f>
        <v>1416</v>
      </c>
      <c r="O84" s="38">
        <f>('Raw Data'!F86+Bill!$O$2)*Bill!$AD84</f>
        <v>314.6</v>
      </c>
      <c r="P84" s="38">
        <f>('Raw Data'!F86+Bill!$P$2)*Bill!$AE84</f>
        <v>296</v>
      </c>
      <c r="Q84" s="38">
        <f>Bill!$Z84*('Raw Data'!$E86+$Q$2)</f>
        <v>0</v>
      </c>
      <c r="R84" s="38">
        <f>('Raw Data'!F86+Bill!$R$2)*Bill!$AF84</f>
        <v>0</v>
      </c>
      <c r="S84" s="48">
        <f>('Raw Data'!G86/100)*Bill!$AG84</f>
        <v>0</v>
      </c>
      <c r="T84" s="38">
        <f>SUM(Bill!$L84:$R84)</f>
        <v>4351.6</v>
      </c>
      <c r="U84" s="49">
        <v>4361.0</v>
      </c>
      <c r="V84" s="50"/>
      <c r="W84" s="38">
        <f>Bill!$U84-Bill!$T84</f>
        <v>9.4</v>
      </c>
      <c r="Y84" s="37">
        <f>'Raw Data'!D86</f>
        <v>45642</v>
      </c>
      <c r="Z84" s="41">
        <v>0.0</v>
      </c>
      <c r="AA84" s="47">
        <v>0.0</v>
      </c>
      <c r="AB84" s="47">
        <v>15.0</v>
      </c>
      <c r="AC84" s="47">
        <v>6.0</v>
      </c>
      <c r="AD84" s="47">
        <v>2.2</v>
      </c>
      <c r="AE84" s="47">
        <v>2.0</v>
      </c>
      <c r="AF84" s="47">
        <v>0.0</v>
      </c>
      <c r="AG84" s="47">
        <v>0.0</v>
      </c>
    </row>
    <row r="85" ht="15.75" customHeight="1">
      <c r="A85" s="35">
        <f>Bill!$Y85</f>
        <v>45643</v>
      </c>
      <c r="B85" s="43">
        <f>'Raw Data'!E87+Bill!$L$2</f>
        <v>152</v>
      </c>
      <c r="C85" s="43">
        <f>'Raw Data'!E87+Bill!$M$2</f>
        <v>157</v>
      </c>
      <c r="D85" s="43">
        <f>('Raw Data'!$F87*2)-10</f>
        <v>232</v>
      </c>
      <c r="E85" s="43">
        <f>'Raw Data'!F87+Bill!$O$2</f>
        <v>141</v>
      </c>
      <c r="F85" s="43">
        <f>'Raw Data'!F87+Bill!$P$2</f>
        <v>146</v>
      </c>
      <c r="G85" s="43"/>
      <c r="H85" s="43">
        <f>('Raw Data'!F87+Bill!$R$2)</f>
        <v>141</v>
      </c>
      <c r="I85" s="36">
        <f>'Raw Data'!G87/100</f>
        <v>6.55</v>
      </c>
      <c r="K85" s="37">
        <f>Bill!$Y85</f>
        <v>45643</v>
      </c>
      <c r="L85" s="38">
        <f>Bill!$AA85*('Raw Data'!$E87+$L$2)</f>
        <v>775.2</v>
      </c>
      <c r="M85" s="38">
        <f>Bill!$AB85*('Raw Data'!$E87+$M$2)</f>
        <v>785</v>
      </c>
      <c r="N85" s="38">
        <f>(('Raw Data'!$F87 * 2)-10)*Bill!$AC85</f>
        <v>696</v>
      </c>
      <c r="O85" s="38">
        <f>('Raw Data'!F87+Bill!$O$2)*Bill!$AD85</f>
        <v>0</v>
      </c>
      <c r="P85" s="38">
        <f>('Raw Data'!F87+Bill!$P$2)*Bill!$AE85</f>
        <v>0</v>
      </c>
      <c r="Q85" s="38">
        <f>Bill!$Z85*('Raw Data'!$E87+$Q$2)</f>
        <v>0</v>
      </c>
      <c r="R85" s="38">
        <f>('Raw Data'!F87+Bill!$R$2)*Bill!$AF85</f>
        <v>0</v>
      </c>
      <c r="S85" s="48">
        <f>('Raw Data'!G87/100)*Bill!$AG85</f>
        <v>0</v>
      </c>
      <c r="T85" s="38">
        <f>SUM(Bill!$L85:$R85)</f>
        <v>2256.2</v>
      </c>
      <c r="U85" s="49">
        <v>2256.0</v>
      </c>
      <c r="V85" s="50"/>
      <c r="W85" s="38">
        <f>Bill!$U85-Bill!$T85</f>
        <v>-0.2</v>
      </c>
      <c r="Y85" s="37">
        <f>'Raw Data'!D87</f>
        <v>45643</v>
      </c>
      <c r="Z85" s="41">
        <v>0.0</v>
      </c>
      <c r="AA85" s="47">
        <v>5.1</v>
      </c>
      <c r="AB85" s="47">
        <v>5.0</v>
      </c>
      <c r="AC85" s="47">
        <v>3.0</v>
      </c>
      <c r="AD85" s="47">
        <v>0.0</v>
      </c>
      <c r="AE85" s="47">
        <v>0.0</v>
      </c>
      <c r="AF85" s="47">
        <v>0.0</v>
      </c>
      <c r="AG85" s="47">
        <v>0.0</v>
      </c>
    </row>
    <row r="86" ht="15.75" customHeight="1">
      <c r="A86" s="35">
        <f>Bill!$Y86</f>
        <v>45644</v>
      </c>
      <c r="B86" s="43">
        <f>'Raw Data'!E88+Bill!$L$2</f>
        <v>152</v>
      </c>
      <c r="C86" s="43">
        <f>'Raw Data'!E88+Bill!$M$2</f>
        <v>157</v>
      </c>
      <c r="D86" s="43">
        <f>('Raw Data'!$F88*2)-10</f>
        <v>216</v>
      </c>
      <c r="E86" s="43">
        <f>'Raw Data'!F88+Bill!$O$2</f>
        <v>133</v>
      </c>
      <c r="F86" s="43">
        <f>'Raw Data'!F88+Bill!$P$2</f>
        <v>138</v>
      </c>
      <c r="G86" s="43"/>
      <c r="H86" s="43">
        <f>('Raw Data'!F88+Bill!$R$2)</f>
        <v>133</v>
      </c>
      <c r="I86" s="36">
        <f>'Raw Data'!G88/100</f>
        <v>6.45</v>
      </c>
      <c r="K86" s="37">
        <f>Bill!$Y86</f>
        <v>45644</v>
      </c>
      <c r="L86" s="38">
        <f>Bill!$AA86*('Raw Data'!$E88+$L$2)</f>
        <v>2348.4</v>
      </c>
      <c r="M86" s="38">
        <f>Bill!$AB86*('Raw Data'!$E88+$M$2)</f>
        <v>2826</v>
      </c>
      <c r="N86" s="38">
        <f>(('Raw Data'!$F88 * 2)-10)*Bill!$AC86</f>
        <v>1728</v>
      </c>
      <c r="O86" s="38">
        <f>('Raw Data'!F88+Bill!$O$2)*Bill!$AD86</f>
        <v>0</v>
      </c>
      <c r="P86" s="38">
        <f>('Raw Data'!F88+Bill!$P$2)*Bill!$AE86</f>
        <v>276</v>
      </c>
      <c r="Q86" s="38">
        <f>Bill!$Z86*('Raw Data'!$E88+$Q$2)</f>
        <v>0</v>
      </c>
      <c r="R86" s="38">
        <f>('Raw Data'!F88+Bill!$R$2)*Bill!$AF86</f>
        <v>0</v>
      </c>
      <c r="S86" s="48">
        <f>('Raw Data'!G88/100)*Bill!$AG86</f>
        <v>0</v>
      </c>
      <c r="T86" s="38">
        <f>SUM(Bill!$L86:$R86)</f>
        <v>7178.4</v>
      </c>
      <c r="U86" s="49">
        <v>7188.0</v>
      </c>
      <c r="V86" s="50"/>
      <c r="W86" s="38">
        <f>Bill!$U86-Bill!$T86</f>
        <v>9.6</v>
      </c>
      <c r="Y86" s="37">
        <f>'Raw Data'!D88</f>
        <v>45644</v>
      </c>
      <c r="Z86" s="41">
        <v>0.0</v>
      </c>
      <c r="AA86" s="47">
        <v>15.45</v>
      </c>
      <c r="AB86" s="47">
        <v>18.0</v>
      </c>
      <c r="AC86" s="47">
        <v>8.0</v>
      </c>
      <c r="AD86" s="47">
        <v>0.0</v>
      </c>
      <c r="AE86" s="47">
        <v>2.0</v>
      </c>
      <c r="AF86" s="47">
        <v>0.0</v>
      </c>
      <c r="AG86" s="47">
        <v>0.0</v>
      </c>
    </row>
    <row r="87" ht="15.75" customHeight="1">
      <c r="A87" s="35">
        <f>Bill!$Y87</f>
        <v>45645</v>
      </c>
      <c r="B87" s="43">
        <f>'Raw Data'!E89+Bill!$L$2</f>
        <v>152</v>
      </c>
      <c r="C87" s="43">
        <f>'Raw Data'!E89+Bill!$M$2</f>
        <v>157</v>
      </c>
      <c r="D87" s="43">
        <f>('Raw Data'!$F89*2)-10</f>
        <v>208</v>
      </c>
      <c r="E87" s="43">
        <f>'Raw Data'!F89+Bill!$O$2</f>
        <v>129</v>
      </c>
      <c r="F87" s="43">
        <f>'Raw Data'!F89+Bill!$P$2</f>
        <v>134</v>
      </c>
      <c r="G87" s="43"/>
      <c r="H87" s="43">
        <f>('Raw Data'!F89+Bill!$R$2)</f>
        <v>129</v>
      </c>
      <c r="I87" s="36">
        <f>'Raw Data'!G89/100</f>
        <v>6.35</v>
      </c>
      <c r="K87" s="37">
        <f>Bill!$Y87</f>
        <v>45645</v>
      </c>
      <c r="L87" s="38">
        <f>Bill!$AA87*('Raw Data'!$E89+$L$2)</f>
        <v>0</v>
      </c>
      <c r="M87" s="38">
        <f>Bill!$AB87*('Raw Data'!$E89+$M$2)</f>
        <v>1256</v>
      </c>
      <c r="N87" s="38">
        <f>(('Raw Data'!$F89 * 2)-10)*Bill!$AC87</f>
        <v>1040</v>
      </c>
      <c r="O87" s="38">
        <f>('Raw Data'!F89+Bill!$O$2)*Bill!$AD87</f>
        <v>283.8</v>
      </c>
      <c r="P87" s="38">
        <f>('Raw Data'!F89+Bill!$P$2)*Bill!$AE87</f>
        <v>0</v>
      </c>
      <c r="Q87" s="38">
        <f>Bill!$Z87*('Raw Data'!$E89+$Q$2)</f>
        <v>0</v>
      </c>
      <c r="R87" s="38">
        <f>('Raw Data'!F89+Bill!$R$2)*Bill!$AF87</f>
        <v>0</v>
      </c>
      <c r="S87" s="48">
        <f>('Raw Data'!G89/100)*Bill!$AG87</f>
        <v>0</v>
      </c>
      <c r="T87" s="38">
        <f>SUM(Bill!$L87:$R87)</f>
        <v>2579.8</v>
      </c>
      <c r="U87" s="49">
        <v>2580.0</v>
      </c>
      <c r="V87" s="50"/>
      <c r="W87" s="38">
        <f>Bill!$U87-Bill!$T87</f>
        <v>0.2</v>
      </c>
      <c r="Y87" s="37">
        <f>'Raw Data'!D89</f>
        <v>45645</v>
      </c>
      <c r="Z87" s="41">
        <v>0.0</v>
      </c>
      <c r="AA87" s="47">
        <v>0.0</v>
      </c>
      <c r="AB87" s="47">
        <v>8.0</v>
      </c>
      <c r="AC87" s="47">
        <v>5.0</v>
      </c>
      <c r="AD87" s="47">
        <v>2.2</v>
      </c>
      <c r="AE87" s="47">
        <v>0.0</v>
      </c>
      <c r="AF87" s="47">
        <v>0.0</v>
      </c>
      <c r="AG87" s="47">
        <v>0.0</v>
      </c>
    </row>
    <row r="88" ht="15.75" customHeight="1">
      <c r="A88" s="35">
        <f>Bill!$Y88</f>
        <v>45646</v>
      </c>
      <c r="B88" s="43">
        <f>'Raw Data'!E90+Bill!$L$2</f>
        <v>152</v>
      </c>
      <c r="C88" s="43">
        <f>'Raw Data'!E90+Bill!$M$2</f>
        <v>157</v>
      </c>
      <c r="D88" s="43">
        <f>('Raw Data'!$F90*2)-10</f>
        <v>208</v>
      </c>
      <c r="E88" s="43">
        <f>'Raw Data'!F90+Bill!$O$2</f>
        <v>129</v>
      </c>
      <c r="F88" s="43">
        <f>'Raw Data'!F90+Bill!$P$2</f>
        <v>134</v>
      </c>
      <c r="G88" s="43"/>
      <c r="H88" s="43">
        <f>('Raw Data'!F90+Bill!$R$2)</f>
        <v>129</v>
      </c>
      <c r="I88" s="36">
        <f>'Raw Data'!G90/100</f>
        <v>6.25</v>
      </c>
      <c r="K88" s="37">
        <f>Bill!$Y88</f>
        <v>45646</v>
      </c>
      <c r="L88" s="38">
        <f>Bill!$AA88*('Raw Data'!$E90+$L$2)</f>
        <v>1428.8</v>
      </c>
      <c r="M88" s="38">
        <f>Bill!$AB88*('Raw Data'!$E90+$M$2)</f>
        <v>2355</v>
      </c>
      <c r="N88" s="38">
        <f>(('Raw Data'!$F90 * 2)-10)*Bill!$AC88</f>
        <v>1248</v>
      </c>
      <c r="O88" s="38">
        <f>('Raw Data'!F90+Bill!$O$2)*Bill!$AD88</f>
        <v>258</v>
      </c>
      <c r="P88" s="38">
        <f>('Raw Data'!F90+Bill!$P$2)*Bill!$AE88</f>
        <v>268</v>
      </c>
      <c r="Q88" s="38">
        <f>Bill!$Z88*('Raw Data'!$E90+$Q$2)</f>
        <v>0</v>
      </c>
      <c r="R88" s="38">
        <f>('Raw Data'!F90+Bill!$R$2)*Bill!$AF88</f>
        <v>0</v>
      </c>
      <c r="S88" s="48">
        <f>('Raw Data'!G90/100)*Bill!$AG88</f>
        <v>0</v>
      </c>
      <c r="T88" s="38">
        <f>SUM(Bill!$L88:$R88)</f>
        <v>5557.8</v>
      </c>
      <c r="U88" s="49">
        <v>5520.0</v>
      </c>
      <c r="V88" s="50"/>
      <c r="W88" s="38">
        <f>Bill!$U88-Bill!$T88</f>
        <v>-37.8</v>
      </c>
      <c r="Y88" s="37">
        <f>'Raw Data'!D90</f>
        <v>45646</v>
      </c>
      <c r="Z88" s="41">
        <v>0.0</v>
      </c>
      <c r="AA88" s="47">
        <v>9.4</v>
      </c>
      <c r="AB88" s="47">
        <v>15.0</v>
      </c>
      <c r="AC88" s="47">
        <v>6.0</v>
      </c>
      <c r="AD88" s="47">
        <v>2.0</v>
      </c>
      <c r="AE88" s="47">
        <v>2.0</v>
      </c>
      <c r="AF88" s="47">
        <v>0.0</v>
      </c>
      <c r="AG88" s="47">
        <v>0.0</v>
      </c>
    </row>
    <row r="89" ht="15.75" customHeight="1">
      <c r="A89" s="35">
        <f>Bill!$Y89</f>
        <v>45647</v>
      </c>
      <c r="B89" s="43">
        <f>'Raw Data'!E91+Bill!$L$2</f>
        <v>152</v>
      </c>
      <c r="C89" s="43">
        <f>'Raw Data'!E91+Bill!$M$2</f>
        <v>157</v>
      </c>
      <c r="D89" s="43">
        <f>('Raw Data'!$F91*2)-10</f>
        <v>212</v>
      </c>
      <c r="E89" s="43">
        <f>'Raw Data'!F91+Bill!$O$2</f>
        <v>131</v>
      </c>
      <c r="F89" s="43">
        <f>'Raw Data'!F91+Bill!$P$2</f>
        <v>136</v>
      </c>
      <c r="G89" s="43"/>
      <c r="H89" s="43">
        <f>('Raw Data'!F91+Bill!$R$2)</f>
        <v>131</v>
      </c>
      <c r="I89" s="36">
        <f>'Raw Data'!G91/100</f>
        <v>6.25</v>
      </c>
      <c r="K89" s="37">
        <f>Bill!$Y89</f>
        <v>45647</v>
      </c>
      <c r="L89" s="38">
        <f>Bill!$AA89*('Raw Data'!$E91+$L$2)</f>
        <v>2888</v>
      </c>
      <c r="M89" s="38">
        <f>Bill!$AB89*('Raw Data'!$E91+$M$2)</f>
        <v>2378.55</v>
      </c>
      <c r="N89" s="38">
        <f>(('Raw Data'!$F91 * 2)-10)*Bill!$AC89</f>
        <v>1060</v>
      </c>
      <c r="O89" s="38">
        <f>('Raw Data'!F91+Bill!$O$2)*Bill!$AD89</f>
        <v>0</v>
      </c>
      <c r="P89" s="38">
        <f>('Raw Data'!F91+Bill!$P$2)*Bill!$AE89</f>
        <v>272</v>
      </c>
      <c r="Q89" s="38">
        <f>Bill!$Z89*('Raw Data'!$E91+$Q$2)</f>
        <v>0</v>
      </c>
      <c r="R89" s="38">
        <f>('Raw Data'!F91+Bill!$R$2)*Bill!$AF89</f>
        <v>0</v>
      </c>
      <c r="S89" s="48">
        <f>('Raw Data'!G91/100)*Bill!$AG89</f>
        <v>0</v>
      </c>
      <c r="T89" s="38">
        <f>SUM(Bill!$L89:$R89)</f>
        <v>6598.55</v>
      </c>
      <c r="U89" s="49">
        <v>6609.0</v>
      </c>
      <c r="V89" s="50"/>
      <c r="W89" s="38">
        <f>Bill!$U89-Bill!$T89</f>
        <v>10.45</v>
      </c>
      <c r="Y89" s="37">
        <f>'Raw Data'!D91</f>
        <v>45647</v>
      </c>
      <c r="Z89" s="41">
        <v>0.0</v>
      </c>
      <c r="AA89" s="47">
        <v>19.0</v>
      </c>
      <c r="AB89" s="47">
        <v>15.15</v>
      </c>
      <c r="AC89" s="47">
        <v>5.0</v>
      </c>
      <c r="AD89" s="47">
        <v>0.0</v>
      </c>
      <c r="AE89" s="47">
        <v>2.0</v>
      </c>
      <c r="AF89" s="47">
        <v>0.0</v>
      </c>
      <c r="AG89" s="47">
        <v>0.0</v>
      </c>
    </row>
    <row r="90" ht="15.75" customHeight="1">
      <c r="A90" s="35">
        <f>Bill!$Y90</f>
        <v>45648</v>
      </c>
      <c r="B90" s="43">
        <f>'Raw Data'!E92+Bill!$L$2</f>
        <v>152</v>
      </c>
      <c r="C90" s="43">
        <f>'Raw Data'!E92+Bill!$M$2</f>
        <v>157</v>
      </c>
      <c r="D90" s="43">
        <f>('Raw Data'!$F92*2)-10</f>
        <v>212</v>
      </c>
      <c r="E90" s="43">
        <f>'Raw Data'!F92+Bill!$O$2</f>
        <v>131</v>
      </c>
      <c r="F90" s="43">
        <f>'Raw Data'!F92+Bill!$P$2</f>
        <v>136</v>
      </c>
      <c r="G90" s="43"/>
      <c r="H90" s="43">
        <f>('Raw Data'!F92+Bill!$R$2)</f>
        <v>131</v>
      </c>
      <c r="I90" s="36">
        <f>'Raw Data'!G92/100</f>
        <v>6.2</v>
      </c>
      <c r="K90" s="37">
        <f>Bill!$Y90</f>
        <v>45648</v>
      </c>
      <c r="L90" s="38">
        <f>Bill!$AA90*('Raw Data'!$E92+$L$2)</f>
        <v>2629.6</v>
      </c>
      <c r="M90" s="38">
        <f>Bill!$AB90*('Raw Data'!$E92+$M$2)</f>
        <v>2355</v>
      </c>
      <c r="N90" s="38">
        <f>(('Raw Data'!$F92 * 2)-10)*Bill!$AC90</f>
        <v>1272</v>
      </c>
      <c r="O90" s="38">
        <f>('Raw Data'!F92+Bill!$O$2)*Bill!$AD90</f>
        <v>248.9</v>
      </c>
      <c r="P90" s="38">
        <f>('Raw Data'!F92+Bill!$P$2)*Bill!$AE90</f>
        <v>0</v>
      </c>
      <c r="Q90" s="38">
        <f>Bill!$Z90*('Raw Data'!$E92+$Q$2)</f>
        <v>0</v>
      </c>
      <c r="R90" s="38">
        <f>('Raw Data'!F92+Bill!$R$2)*Bill!$AF90</f>
        <v>484.7</v>
      </c>
      <c r="S90" s="48">
        <f>('Raw Data'!G92/100)*Bill!$AG90</f>
        <v>0</v>
      </c>
      <c r="T90" s="38">
        <f>SUM(Bill!$L90:$R90)</f>
        <v>6990.2</v>
      </c>
      <c r="U90" s="49">
        <v>6990.0</v>
      </c>
      <c r="V90" s="50"/>
      <c r="W90" s="38">
        <f>Bill!$U90-Bill!$T90</f>
        <v>-0.2</v>
      </c>
      <c r="Y90" s="37">
        <f>'Raw Data'!D92</f>
        <v>45648</v>
      </c>
      <c r="Z90" s="41">
        <v>0.0</v>
      </c>
      <c r="AA90" s="47">
        <v>17.3</v>
      </c>
      <c r="AB90" s="47">
        <v>15.0</v>
      </c>
      <c r="AC90" s="47">
        <v>6.0</v>
      </c>
      <c r="AD90" s="47">
        <v>1.9</v>
      </c>
      <c r="AE90" s="47">
        <v>0.0</v>
      </c>
      <c r="AF90" s="47">
        <v>3.7</v>
      </c>
      <c r="AG90" s="47">
        <v>0.0</v>
      </c>
    </row>
    <row r="91" ht="15.75" customHeight="1">
      <c r="A91" s="35">
        <f>Bill!$Y91</f>
        <v>45649</v>
      </c>
      <c r="B91" s="43">
        <f>'Raw Data'!E93+Bill!$L$2</f>
        <v>152</v>
      </c>
      <c r="C91" s="43">
        <f>'Raw Data'!E93+Bill!$M$2</f>
        <v>157</v>
      </c>
      <c r="D91" s="43">
        <f>('Raw Data'!$F93*2)-10</f>
        <v>212</v>
      </c>
      <c r="E91" s="43">
        <f>'Raw Data'!F93+Bill!$O$2</f>
        <v>131</v>
      </c>
      <c r="F91" s="43">
        <f>'Raw Data'!F93+Bill!$P$2</f>
        <v>136</v>
      </c>
      <c r="G91" s="43"/>
      <c r="H91" s="43">
        <f>('Raw Data'!F93+Bill!$R$2)</f>
        <v>131</v>
      </c>
      <c r="I91" s="36">
        <f>'Raw Data'!G93/100</f>
        <v>6.2</v>
      </c>
      <c r="K91" s="37">
        <f>Bill!$Y91</f>
        <v>45649</v>
      </c>
      <c r="L91" s="38">
        <f>Bill!$AA91*('Raw Data'!$E93+$L$2)</f>
        <v>1520</v>
      </c>
      <c r="M91" s="38">
        <f>Bill!$AB91*('Raw Data'!$E93+$M$2)</f>
        <v>2355</v>
      </c>
      <c r="N91" s="38">
        <f>(('Raw Data'!$F93 * 2)-10)*Bill!$AC91</f>
        <v>848</v>
      </c>
      <c r="O91" s="38">
        <f>('Raw Data'!F93+Bill!$O$2)*Bill!$AD91</f>
        <v>0</v>
      </c>
      <c r="P91" s="38">
        <f>('Raw Data'!F93+Bill!$P$2)*Bill!$AE91</f>
        <v>272</v>
      </c>
      <c r="Q91" s="38">
        <f>Bill!$Z91*('Raw Data'!$E93+$Q$2)</f>
        <v>0</v>
      </c>
      <c r="R91" s="38">
        <f>('Raw Data'!F93+Bill!$R$2)*Bill!$AF91</f>
        <v>0</v>
      </c>
      <c r="S91" s="48">
        <f>('Raw Data'!G93/100)*Bill!$AG91</f>
        <v>0</v>
      </c>
      <c r="T91" s="38">
        <f>SUM(Bill!$L91:$R91)</f>
        <v>4995</v>
      </c>
      <c r="U91" s="49">
        <v>5005.0</v>
      </c>
      <c r="V91" s="50"/>
      <c r="W91" s="38">
        <f>Bill!$U91-Bill!$T91</f>
        <v>10</v>
      </c>
      <c r="Y91" s="37">
        <f>'Raw Data'!D93</f>
        <v>45649</v>
      </c>
      <c r="Z91" s="41">
        <v>0.0</v>
      </c>
      <c r="AA91" s="47">
        <v>10.0</v>
      </c>
      <c r="AB91" s="47">
        <v>15.0</v>
      </c>
      <c r="AC91" s="47">
        <v>4.0</v>
      </c>
      <c r="AD91" s="47">
        <v>0.0</v>
      </c>
      <c r="AE91" s="47">
        <v>2.0</v>
      </c>
      <c r="AF91" s="47">
        <v>0.0</v>
      </c>
      <c r="AG91" s="47">
        <v>0.0</v>
      </c>
    </row>
    <row r="92" ht="15.75" customHeight="1">
      <c r="A92" s="35">
        <f>Bill!$Y92</f>
        <v>45650</v>
      </c>
      <c r="B92" s="43">
        <f>'Raw Data'!E94+Bill!$L$2</f>
        <v>152</v>
      </c>
      <c r="C92" s="43">
        <f>'Raw Data'!E94+Bill!$M$2</f>
        <v>157</v>
      </c>
      <c r="D92" s="43">
        <f>('Raw Data'!$F94*2)-10</f>
        <v>212</v>
      </c>
      <c r="E92" s="43">
        <f>'Raw Data'!F94+Bill!$O$2</f>
        <v>131</v>
      </c>
      <c r="F92" s="43">
        <f>'Raw Data'!F94+Bill!$P$2</f>
        <v>136</v>
      </c>
      <c r="G92" s="43"/>
      <c r="H92" s="43">
        <f>('Raw Data'!F94+Bill!$R$2)</f>
        <v>131</v>
      </c>
      <c r="I92" s="36">
        <f>'Raw Data'!G94/100</f>
        <v>6.2</v>
      </c>
      <c r="K92" s="37">
        <f>Bill!$Y92</f>
        <v>45650</v>
      </c>
      <c r="L92" s="38">
        <f>Bill!$AA92*('Raw Data'!$E94+$L$2)</f>
        <v>0</v>
      </c>
      <c r="M92" s="38">
        <f>Bill!$AB92*('Raw Data'!$E94+$M$2)</f>
        <v>1570</v>
      </c>
      <c r="N92" s="38">
        <f>(('Raw Data'!$F94 * 2)-10)*Bill!$AC92</f>
        <v>1696</v>
      </c>
      <c r="O92" s="38">
        <f>('Raw Data'!F94+Bill!$O$2)*Bill!$AD92</f>
        <v>262</v>
      </c>
      <c r="P92" s="38">
        <f>('Raw Data'!F94+Bill!$P$2)*Bill!$AE92</f>
        <v>272</v>
      </c>
      <c r="Q92" s="38">
        <f>Bill!$Z92*('Raw Data'!$E94+$Q$2)</f>
        <v>0</v>
      </c>
      <c r="R92" s="38">
        <f>('Raw Data'!F94+Bill!$R$2)*Bill!$AF92</f>
        <v>0</v>
      </c>
      <c r="S92" s="48">
        <f>('Raw Data'!G94/100)*Bill!$AG92</f>
        <v>1302</v>
      </c>
      <c r="T92" s="38">
        <f>SUM(Bill!$L92:$R92)</f>
        <v>3800</v>
      </c>
      <c r="U92" s="49">
        <v>3810.0</v>
      </c>
      <c r="V92" s="50"/>
      <c r="W92" s="38">
        <f>Bill!$U92-Bill!$T92</f>
        <v>10</v>
      </c>
      <c r="Y92" s="37">
        <f>'Raw Data'!D94</f>
        <v>45650</v>
      </c>
      <c r="Z92" s="41">
        <v>0.0</v>
      </c>
      <c r="AA92" s="47">
        <v>0.0</v>
      </c>
      <c r="AB92" s="47">
        <v>10.0</v>
      </c>
      <c r="AC92" s="47">
        <v>8.0</v>
      </c>
      <c r="AD92" s="47">
        <v>2.0</v>
      </c>
      <c r="AE92" s="47">
        <v>2.0</v>
      </c>
      <c r="AF92" s="47">
        <v>0.0</v>
      </c>
      <c r="AG92" s="47">
        <v>210.0</v>
      </c>
    </row>
    <row r="93" ht="15.75" customHeight="1">
      <c r="A93" s="35">
        <f>Bill!$Y93</f>
        <v>45651</v>
      </c>
      <c r="B93" s="43">
        <f>'Raw Data'!E95+Bill!$L$2</f>
        <v>152</v>
      </c>
      <c r="C93" s="43">
        <f>'Raw Data'!E95+Bill!$M$2</f>
        <v>157</v>
      </c>
      <c r="D93" s="43">
        <f>('Raw Data'!$F95*2)-10</f>
        <v>216</v>
      </c>
      <c r="E93" s="43">
        <f>'Raw Data'!F95+Bill!$O$2</f>
        <v>133</v>
      </c>
      <c r="F93" s="43">
        <f>'Raw Data'!F95+Bill!$P$2</f>
        <v>138</v>
      </c>
      <c r="G93" s="43"/>
      <c r="H93" s="43">
        <f>('Raw Data'!F95+Bill!$R$2)</f>
        <v>133</v>
      </c>
      <c r="I93" s="36">
        <f>'Raw Data'!G95/100</f>
        <v>6.3</v>
      </c>
      <c r="K93" s="37">
        <f>Bill!$Y93</f>
        <v>45651</v>
      </c>
      <c r="L93" s="38">
        <f>Bill!$AA93*('Raw Data'!$E95+$L$2)</f>
        <v>3328.8</v>
      </c>
      <c r="M93" s="38">
        <f>Bill!$AB93*('Raw Data'!$E95+$M$2)</f>
        <v>3140</v>
      </c>
      <c r="N93" s="38">
        <f>(('Raw Data'!$F95 * 2)-10)*Bill!$AC93</f>
        <v>1728</v>
      </c>
      <c r="O93" s="38">
        <f>('Raw Data'!F95+Bill!$O$2)*Bill!$AD93</f>
        <v>399</v>
      </c>
      <c r="P93" s="38">
        <f>('Raw Data'!F95+Bill!$P$2)*Bill!$AE93</f>
        <v>276</v>
      </c>
      <c r="Q93" s="38">
        <f>Bill!$Z93*('Raw Data'!$E95+$Q$2)</f>
        <v>0</v>
      </c>
      <c r="R93" s="38">
        <f>('Raw Data'!F95+Bill!$R$2)*Bill!$AF93</f>
        <v>0</v>
      </c>
      <c r="S93" s="48">
        <f>('Raw Data'!G95/100)*Bill!$AG93</f>
        <v>0</v>
      </c>
      <c r="T93" s="38">
        <f>SUM(Bill!$L93:$R93)</f>
        <v>8871.8</v>
      </c>
      <c r="U93" s="49">
        <v>8912.0</v>
      </c>
      <c r="V93" s="50"/>
      <c r="W93" s="38">
        <f>Bill!$U93-Bill!$T93</f>
        <v>40.2</v>
      </c>
      <c r="Y93" s="37">
        <f>'Raw Data'!D95</f>
        <v>45651</v>
      </c>
      <c r="Z93" s="41">
        <v>0.0</v>
      </c>
      <c r="AA93" s="47">
        <v>21.9</v>
      </c>
      <c r="AB93" s="47">
        <v>20.0</v>
      </c>
      <c r="AC93" s="47">
        <v>8.0</v>
      </c>
      <c r="AD93" s="47">
        <v>3.0</v>
      </c>
      <c r="AE93" s="47">
        <v>2.0</v>
      </c>
      <c r="AF93" s="47">
        <v>0.0</v>
      </c>
      <c r="AG93" s="47">
        <v>0.0</v>
      </c>
    </row>
    <row r="94" ht="15.75" customHeight="1">
      <c r="A94" s="35">
        <f>Bill!$Y94</f>
        <v>45652</v>
      </c>
      <c r="B94" s="43">
        <f>'Raw Data'!E96+Bill!$L$2</f>
        <v>152</v>
      </c>
      <c r="C94" s="43">
        <f>'Raw Data'!E96+Bill!$M$2</f>
        <v>157</v>
      </c>
      <c r="D94" s="43">
        <f>('Raw Data'!$F96*2)-10</f>
        <v>220</v>
      </c>
      <c r="E94" s="43">
        <f>'Raw Data'!F96+Bill!$O$2</f>
        <v>135</v>
      </c>
      <c r="F94" s="43">
        <f>'Raw Data'!F96+Bill!$P$2</f>
        <v>140</v>
      </c>
      <c r="G94" s="43"/>
      <c r="H94" s="43">
        <f>('Raw Data'!F96+Bill!$R$2)</f>
        <v>135</v>
      </c>
      <c r="I94" s="36">
        <f>'Raw Data'!G96/100</f>
        <v>6.35</v>
      </c>
      <c r="K94" s="37">
        <f>Bill!$Y94</f>
        <v>45652</v>
      </c>
      <c r="L94" s="38">
        <f>Bill!$AA94*('Raw Data'!$E96+$L$2)</f>
        <v>2462.4</v>
      </c>
      <c r="M94" s="38">
        <f>Bill!$AB94*('Raw Data'!$E96+$M$2)</f>
        <v>2355</v>
      </c>
      <c r="N94" s="38">
        <f>(('Raw Data'!$F96 * 2)-10)*Bill!$AC94</f>
        <v>1760</v>
      </c>
      <c r="O94" s="38">
        <f>('Raw Data'!F96+Bill!$O$2)*Bill!$AD94</f>
        <v>0</v>
      </c>
      <c r="P94" s="38">
        <f>('Raw Data'!F96+Bill!$P$2)*Bill!$AE94</f>
        <v>0</v>
      </c>
      <c r="Q94" s="38">
        <f>Bill!$Z94*('Raw Data'!$E96+$Q$2)</f>
        <v>0</v>
      </c>
      <c r="R94" s="38">
        <f>('Raw Data'!F96+Bill!$R$2)*Bill!$AF94</f>
        <v>0</v>
      </c>
      <c r="S94" s="48">
        <f>('Raw Data'!G96/100)*Bill!$AG94</f>
        <v>0</v>
      </c>
      <c r="T94" s="38">
        <f>SUM(Bill!$L94:$R94)</f>
        <v>6577.4</v>
      </c>
      <c r="U94" s="49">
        <v>6577.0</v>
      </c>
      <c r="V94" s="50"/>
      <c r="W94" s="38">
        <f>Bill!$U94-Bill!$T94</f>
        <v>-0.4</v>
      </c>
      <c r="Y94" s="37">
        <f>'Raw Data'!D96</f>
        <v>45652</v>
      </c>
      <c r="Z94" s="41">
        <v>0.0</v>
      </c>
      <c r="AA94" s="47">
        <v>16.2</v>
      </c>
      <c r="AB94" s="47">
        <v>15.0</v>
      </c>
      <c r="AC94" s="47">
        <v>8.0</v>
      </c>
      <c r="AD94" s="47"/>
      <c r="AE94" s="47">
        <v>0.0</v>
      </c>
      <c r="AF94" s="47">
        <v>0.0</v>
      </c>
      <c r="AG94" s="47">
        <v>0.0</v>
      </c>
    </row>
    <row r="95" ht="15.75" customHeight="1">
      <c r="A95" s="35">
        <f>Bill!$Y95</f>
        <v>45653</v>
      </c>
      <c r="B95" s="43">
        <f>'Raw Data'!E97+Bill!$L$2</f>
        <v>156</v>
      </c>
      <c r="C95" s="43">
        <f>'Raw Data'!E97+Bill!$M$2</f>
        <v>161</v>
      </c>
      <c r="D95" s="43">
        <f>('Raw Data'!$F97*2)-10</f>
        <v>224</v>
      </c>
      <c r="E95" s="43">
        <f>'Raw Data'!F97+Bill!$O$2</f>
        <v>137</v>
      </c>
      <c r="F95" s="43">
        <f>'Raw Data'!F97+Bill!$P$2</f>
        <v>142</v>
      </c>
      <c r="G95" s="43"/>
      <c r="H95" s="43">
        <f>('Raw Data'!F97+Bill!$R$2)</f>
        <v>137</v>
      </c>
      <c r="I95" s="36">
        <f>'Raw Data'!G97/100</f>
        <v>6.35</v>
      </c>
      <c r="K95" s="37">
        <f>Bill!$Y95</f>
        <v>45653</v>
      </c>
      <c r="L95" s="38">
        <f>Bill!$AA95*('Raw Data'!$E97+$L$2)</f>
        <v>0</v>
      </c>
      <c r="M95" s="38">
        <f>Bill!$AB95*('Raw Data'!$E97+$M$2)</f>
        <v>483</v>
      </c>
      <c r="N95" s="38">
        <f>(('Raw Data'!$F97 * 2)-10)*Bill!$AC95</f>
        <v>1120</v>
      </c>
      <c r="O95" s="38">
        <f>('Raw Data'!F97+Bill!$O$2)*Bill!$AD95</f>
        <v>0</v>
      </c>
      <c r="P95" s="38">
        <f>('Raw Data'!F97+Bill!$P$2)*Bill!$AE95</f>
        <v>0</v>
      </c>
      <c r="Q95" s="38">
        <f>Bill!$Z95*('Raw Data'!$E97+$Q$2)</f>
        <v>0</v>
      </c>
      <c r="R95" s="38">
        <f>('Raw Data'!F97+Bill!$R$2)*Bill!$AF95</f>
        <v>0</v>
      </c>
      <c r="S95" s="48">
        <f>('Raw Data'!G97/100)*Bill!$AG95</f>
        <v>1333.5</v>
      </c>
      <c r="T95" s="38">
        <f>SUM(Bill!$L95:$R95)</f>
        <v>1603</v>
      </c>
      <c r="U95" s="49">
        <v>1603.0</v>
      </c>
      <c r="V95" s="50"/>
      <c r="W95" s="38">
        <f>Bill!$U95-Bill!$T95</f>
        <v>0</v>
      </c>
      <c r="Y95" s="37">
        <f>'Raw Data'!D97</f>
        <v>45653</v>
      </c>
      <c r="Z95" s="41">
        <v>0.0</v>
      </c>
      <c r="AA95" s="47">
        <v>0.0</v>
      </c>
      <c r="AB95" s="47">
        <v>3.0</v>
      </c>
      <c r="AC95" s="47">
        <v>5.0</v>
      </c>
      <c r="AD95" s="47">
        <v>0.0</v>
      </c>
      <c r="AE95" s="47">
        <v>0.0</v>
      </c>
      <c r="AF95" s="47">
        <v>0.0</v>
      </c>
      <c r="AG95" s="47">
        <v>210.0</v>
      </c>
    </row>
    <row r="96" ht="15.75" customHeight="1">
      <c r="A96" s="35">
        <f>Bill!$Y96</f>
        <v>45654</v>
      </c>
      <c r="B96" s="43">
        <f>'Raw Data'!E98+Bill!$L$2</f>
        <v>158</v>
      </c>
      <c r="C96" s="43">
        <f>'Raw Data'!E98+Bill!$M$2</f>
        <v>163</v>
      </c>
      <c r="D96" s="43">
        <f>('Raw Data'!$F98*2)-10</f>
        <v>224</v>
      </c>
      <c r="E96" s="43">
        <f>'Raw Data'!F98+Bill!$O$2</f>
        <v>137</v>
      </c>
      <c r="F96" s="43">
        <f>'Raw Data'!F98+Bill!$P$2</f>
        <v>142</v>
      </c>
      <c r="G96" s="43"/>
      <c r="H96" s="43">
        <f>('Raw Data'!F98+Bill!$R$2)</f>
        <v>137</v>
      </c>
      <c r="I96" s="36">
        <f>'Raw Data'!G98/100</f>
        <v>6.35</v>
      </c>
      <c r="K96" s="37">
        <f>Bill!$Y96</f>
        <v>45654</v>
      </c>
      <c r="L96" s="38">
        <f>Bill!$AA96*('Raw Data'!$E98+$L$2)</f>
        <v>0</v>
      </c>
      <c r="M96" s="38">
        <f>Bill!$AB96*('Raw Data'!$E98+$M$2)</f>
        <v>815</v>
      </c>
      <c r="N96" s="38">
        <f>(('Raw Data'!$F98 * 2)-10)*Bill!$AC96</f>
        <v>1120</v>
      </c>
      <c r="O96" s="38">
        <f>('Raw Data'!F98+Bill!$O$2)*Bill!$AD96</f>
        <v>0</v>
      </c>
      <c r="P96" s="38">
        <f>('Raw Data'!F98+Bill!$P$2)*Bill!$AE96</f>
        <v>0</v>
      </c>
      <c r="Q96" s="38">
        <f>Bill!$Z96*('Raw Data'!$E98+$Q$2)</f>
        <v>0</v>
      </c>
      <c r="R96" s="38">
        <f>('Raw Data'!F98+Bill!$R$2)*Bill!$AF96</f>
        <v>0</v>
      </c>
      <c r="S96" s="48">
        <f>('Raw Data'!G98/100)*Bill!$AG96</f>
        <v>0</v>
      </c>
      <c r="T96" s="38">
        <f>SUM(Bill!$L96:$R96)</f>
        <v>1935</v>
      </c>
      <c r="U96" s="49">
        <v>1935.0</v>
      </c>
      <c r="V96" s="50"/>
      <c r="W96" s="38">
        <f>Bill!$U96-Bill!$T96</f>
        <v>0</v>
      </c>
      <c r="Y96" s="37">
        <f>'Raw Data'!D98</f>
        <v>45654</v>
      </c>
      <c r="Z96" s="41">
        <v>0.0</v>
      </c>
      <c r="AA96" s="47">
        <v>0.0</v>
      </c>
      <c r="AB96" s="47">
        <v>5.0</v>
      </c>
      <c r="AC96" s="47">
        <v>5.0</v>
      </c>
      <c r="AD96" s="47">
        <v>0.0</v>
      </c>
      <c r="AE96" s="47">
        <v>0.0</v>
      </c>
      <c r="AF96" s="47">
        <v>0.0</v>
      </c>
      <c r="AG96" s="47">
        <v>0.0</v>
      </c>
    </row>
    <row r="97" ht="15.75" customHeight="1">
      <c r="A97" s="35">
        <f>Bill!$Y97</f>
        <v>45655</v>
      </c>
      <c r="B97" s="43">
        <f>'Raw Data'!E99+Bill!$L$2</f>
        <v>158</v>
      </c>
      <c r="C97" s="43">
        <f>'Raw Data'!E99+Bill!$M$2</f>
        <v>163</v>
      </c>
      <c r="D97" s="43">
        <f>('Raw Data'!$F99*2)-10</f>
        <v>224</v>
      </c>
      <c r="E97" s="43">
        <f>'Raw Data'!F99+Bill!$O$2</f>
        <v>137</v>
      </c>
      <c r="F97" s="43">
        <f>'Raw Data'!F99+Bill!$P$2</f>
        <v>142</v>
      </c>
      <c r="G97" s="43"/>
      <c r="H97" s="43">
        <f>('Raw Data'!F99+Bill!$R$2)</f>
        <v>137</v>
      </c>
      <c r="I97" s="36">
        <f>'Raw Data'!G99/100</f>
        <v>6.15</v>
      </c>
      <c r="K97" s="37">
        <f>Bill!$Y97</f>
        <v>45655</v>
      </c>
      <c r="L97" s="38">
        <f>Bill!$AA97*('Raw Data'!$E99+$L$2)</f>
        <v>1896</v>
      </c>
      <c r="M97" s="38">
        <f>Bill!$AB97*('Raw Data'!$E99+$M$2)</f>
        <v>1630</v>
      </c>
      <c r="N97" s="38">
        <f>(('Raw Data'!$F99 * 2)-10)*Bill!$AC97</f>
        <v>672</v>
      </c>
      <c r="O97" s="38">
        <f>('Raw Data'!F99+Bill!$O$2)*Bill!$AD97</f>
        <v>315.1</v>
      </c>
      <c r="P97" s="38">
        <f>('Raw Data'!F99+Bill!$P$2)*Bill!$AE97</f>
        <v>0</v>
      </c>
      <c r="Q97" s="38">
        <f>Bill!$Z97*('Raw Data'!$E99+$Q$2)</f>
        <v>0</v>
      </c>
      <c r="R97" s="38">
        <f>('Raw Data'!F99+Bill!$R$2)*Bill!$AF97</f>
        <v>520.6</v>
      </c>
      <c r="S97" s="48">
        <f>('Raw Data'!G99/100)*Bill!$AG97</f>
        <v>0</v>
      </c>
      <c r="T97" s="38">
        <f>SUM(Bill!$L97:$R97)</f>
        <v>5033.7</v>
      </c>
      <c r="U97" s="49">
        <v>5033.0</v>
      </c>
      <c r="V97" s="50"/>
      <c r="W97" s="38">
        <f>Bill!$U97-Bill!$T97</f>
        <v>-0.7</v>
      </c>
      <c r="Y97" s="37">
        <f>'Raw Data'!D99</f>
        <v>45655</v>
      </c>
      <c r="Z97" s="41">
        <v>0.0</v>
      </c>
      <c r="AA97" s="47">
        <v>12.0</v>
      </c>
      <c r="AB97" s="47">
        <v>10.0</v>
      </c>
      <c r="AC97" s="47">
        <v>3.0</v>
      </c>
      <c r="AD97" s="47">
        <v>2.3</v>
      </c>
      <c r="AE97" s="47">
        <v>0.0</v>
      </c>
      <c r="AF97" s="47">
        <v>3.8</v>
      </c>
      <c r="AG97" s="47">
        <v>0.0</v>
      </c>
    </row>
    <row r="98" ht="15.75" customHeight="1">
      <c r="A98" s="35">
        <f>Bill!$Y98</f>
        <v>45656</v>
      </c>
      <c r="B98" s="43">
        <f>'Raw Data'!E100+Bill!$L$2</f>
        <v>158</v>
      </c>
      <c r="C98" s="43">
        <f>'Raw Data'!E100+Bill!$M$2</f>
        <v>163</v>
      </c>
      <c r="D98" s="43">
        <f>('Raw Data'!$F100*2)-10</f>
        <v>224</v>
      </c>
      <c r="E98" s="43">
        <f>'Raw Data'!F100+Bill!$O$2</f>
        <v>137</v>
      </c>
      <c r="F98" s="43">
        <f>'Raw Data'!F100+Bill!$P$2</f>
        <v>142</v>
      </c>
      <c r="G98" s="43"/>
      <c r="H98" s="43">
        <f>('Raw Data'!F100+Bill!$R$2)</f>
        <v>137</v>
      </c>
      <c r="I98" s="36">
        <f>'Raw Data'!G100/100</f>
        <v>5.95</v>
      </c>
      <c r="K98" s="37">
        <f>Bill!$Y98</f>
        <v>45656</v>
      </c>
      <c r="L98" s="38">
        <f>Bill!$AA98*('Raw Data'!$E100+$L$2)</f>
        <v>7291.7</v>
      </c>
      <c r="M98" s="38">
        <f>Bill!$AB98*('Raw Data'!$E100+$M$2)</f>
        <v>8150</v>
      </c>
      <c r="N98" s="38">
        <f>(('Raw Data'!$F100 * 2)-10)*Bill!$AC98</f>
        <v>3360</v>
      </c>
      <c r="O98" s="38">
        <f>('Raw Data'!F100+Bill!$O$2)*Bill!$AD98</f>
        <v>753.5</v>
      </c>
      <c r="P98" s="38">
        <f>('Raw Data'!F100+Bill!$P$2)*Bill!$AE98</f>
        <v>710</v>
      </c>
      <c r="Q98" s="38">
        <f>Bill!$Z98*('Raw Data'!$E100+$Q$2)</f>
        <v>0</v>
      </c>
      <c r="R98" s="38">
        <f>('Raw Data'!F100+Bill!$R$2)*Bill!$AF98</f>
        <v>0</v>
      </c>
      <c r="S98" s="48">
        <f>('Raw Data'!G100/100)*Bill!$AG98</f>
        <v>1249.5</v>
      </c>
      <c r="T98" s="38">
        <f>SUM(Bill!$L98:$R98)</f>
        <v>20265.2</v>
      </c>
      <c r="U98" s="49">
        <v>20289.0</v>
      </c>
      <c r="V98" s="50"/>
      <c r="W98" s="38">
        <f>Bill!$U98-Bill!$T98</f>
        <v>23.8</v>
      </c>
      <c r="Y98" s="37">
        <f>'Raw Data'!D100</f>
        <v>45656</v>
      </c>
      <c r="Z98" s="41">
        <v>0.0</v>
      </c>
      <c r="AA98" s="47">
        <v>46.15</v>
      </c>
      <c r="AB98" s="47">
        <v>50.0</v>
      </c>
      <c r="AC98" s="47">
        <v>15.0</v>
      </c>
      <c r="AD98" s="47">
        <v>5.5</v>
      </c>
      <c r="AE98" s="47">
        <v>5.0</v>
      </c>
      <c r="AF98" s="47">
        <v>0.0</v>
      </c>
      <c r="AG98" s="47">
        <v>210.0</v>
      </c>
    </row>
    <row r="99" ht="15.75" customHeight="1">
      <c r="A99" s="35">
        <f>Bill!$Y99</f>
        <v>45657</v>
      </c>
      <c r="B99" s="43">
        <f>'Raw Data'!E101+Bill!$L$2</f>
        <v>158</v>
      </c>
      <c r="C99" s="43">
        <f>'Raw Data'!E101+Bill!$M$2</f>
        <v>163</v>
      </c>
      <c r="D99" s="43">
        <f>('Raw Data'!$F101*2)-10</f>
        <v>224</v>
      </c>
      <c r="E99" s="43">
        <f>'Raw Data'!F101+Bill!$O$2</f>
        <v>137</v>
      </c>
      <c r="F99" s="43">
        <f>'Raw Data'!F101+Bill!$P$2</f>
        <v>142</v>
      </c>
      <c r="G99" s="43"/>
      <c r="H99" s="43">
        <f>('Raw Data'!F101+Bill!$R$2)</f>
        <v>137</v>
      </c>
      <c r="I99" s="36">
        <f>'Raw Data'!G101/100</f>
        <v>5.75</v>
      </c>
      <c r="K99" s="37">
        <f>Bill!$Y99</f>
        <v>45657</v>
      </c>
      <c r="L99" s="38">
        <f>Bill!$AA99*('Raw Data'!$E101+$L$2)</f>
        <v>1840.7</v>
      </c>
      <c r="M99" s="38">
        <f>Bill!$AB99*('Raw Data'!$E101+$M$2)</f>
        <v>1630</v>
      </c>
      <c r="N99" s="38">
        <f>(('Raw Data'!$F101 * 2)-10)*Bill!$AC99</f>
        <v>1792</v>
      </c>
      <c r="O99" s="38">
        <f>('Raw Data'!F101+Bill!$O$2)*Bill!$AD99</f>
        <v>0</v>
      </c>
      <c r="P99" s="38">
        <f>('Raw Data'!F101+Bill!$P$2)*Bill!$AE99</f>
        <v>426</v>
      </c>
      <c r="Q99" s="38">
        <f>Bill!$Z99*('Raw Data'!$E101+$Q$2)</f>
        <v>0</v>
      </c>
      <c r="R99" s="38">
        <f>('Raw Data'!F101+Bill!$R$2)*Bill!$AF99</f>
        <v>0</v>
      </c>
      <c r="S99" s="48">
        <f>('Raw Data'!G101/100)*Bill!$AG99</f>
        <v>0</v>
      </c>
      <c r="T99" s="38">
        <f>SUM(Bill!$L99:$R99)</f>
        <v>5688.7</v>
      </c>
      <c r="U99" s="49">
        <v>5703.0</v>
      </c>
      <c r="V99" s="50"/>
      <c r="W99" s="38">
        <f>Bill!$U99-Bill!$T99</f>
        <v>14.3</v>
      </c>
      <c r="Y99" s="37">
        <f>'Raw Data'!D101</f>
        <v>45657</v>
      </c>
      <c r="Z99" s="41">
        <v>0.0</v>
      </c>
      <c r="AA99" s="47">
        <v>11.65</v>
      </c>
      <c r="AB99" s="47">
        <v>10.0</v>
      </c>
      <c r="AC99" s="47">
        <v>8.0</v>
      </c>
      <c r="AD99" s="47">
        <v>0.0</v>
      </c>
      <c r="AE99" s="47">
        <v>3.0</v>
      </c>
      <c r="AF99" s="47">
        <v>0.0</v>
      </c>
      <c r="AG99" s="47">
        <v>0.0</v>
      </c>
    </row>
    <row r="100" ht="15.75" customHeight="1">
      <c r="A100" s="35">
        <f>Bill!$Y100</f>
        <v>45658</v>
      </c>
      <c r="B100" s="43">
        <f>'Raw Data'!E102+Bill!$L$2</f>
        <v>158</v>
      </c>
      <c r="C100" s="43">
        <f>'Raw Data'!E102+Bill!$M$2</f>
        <v>163</v>
      </c>
      <c r="D100" s="43">
        <f>('Raw Data'!$F102*2)-10</f>
        <v>224</v>
      </c>
      <c r="E100" s="43">
        <f>'Raw Data'!F102+Bill!$O$2</f>
        <v>137</v>
      </c>
      <c r="F100" s="43">
        <f>'Raw Data'!F102+Bill!$P$2</f>
        <v>142</v>
      </c>
      <c r="G100" s="43"/>
      <c r="H100" s="43">
        <f>('Raw Data'!F102+Bill!$R$2)</f>
        <v>137</v>
      </c>
      <c r="I100" s="36">
        <f>'Raw Data'!G102/100</f>
        <v>5.8</v>
      </c>
      <c r="K100" s="37">
        <f>Bill!$Y100</f>
        <v>45658</v>
      </c>
      <c r="L100" s="38">
        <f>Bill!$AA100*('Raw Data'!$E102+$L$2)</f>
        <v>0</v>
      </c>
      <c r="M100" s="38">
        <f>Bill!$AB100*('Raw Data'!$E102+$M$2)</f>
        <v>0</v>
      </c>
      <c r="N100" s="38">
        <f>(('Raw Data'!$F102 * 2)-10)*Bill!$AC100</f>
        <v>0</v>
      </c>
      <c r="O100" s="38">
        <f>('Raw Data'!F102+Bill!$O$2)*Bill!$AD100</f>
        <v>0</v>
      </c>
      <c r="P100" s="38">
        <f>('Raw Data'!F102+Bill!$P$2)*Bill!$AE100</f>
        <v>0</v>
      </c>
      <c r="Q100" s="38">
        <f>Bill!$Z100*('Raw Data'!$E102+$Q$2)</f>
        <v>0</v>
      </c>
      <c r="R100" s="38">
        <f>('Raw Data'!F102+Bill!$R$2)*Bill!$AF100</f>
        <v>0</v>
      </c>
      <c r="S100" s="48">
        <f>('Raw Data'!G102/100)*Bill!$AG100</f>
        <v>0</v>
      </c>
      <c r="T100" s="38">
        <f>SUM(Bill!$L100:$R100)</f>
        <v>0</v>
      </c>
      <c r="U100" s="49">
        <v>0.0</v>
      </c>
      <c r="V100" s="50"/>
      <c r="W100" s="38">
        <f>Bill!$U100-Bill!$T100</f>
        <v>0</v>
      </c>
      <c r="Y100" s="37">
        <f>'Raw Data'!D102</f>
        <v>45658</v>
      </c>
      <c r="Z100" s="41">
        <v>0.0</v>
      </c>
      <c r="AA100" s="47">
        <v>0.0</v>
      </c>
      <c r="AB100" s="47">
        <v>0.0</v>
      </c>
      <c r="AC100" s="47">
        <v>0.0</v>
      </c>
      <c r="AD100" s="47">
        <v>0.0</v>
      </c>
      <c r="AE100" s="47">
        <v>0.0</v>
      </c>
      <c r="AF100" s="47">
        <v>0.0</v>
      </c>
      <c r="AG100" s="47">
        <v>0.0</v>
      </c>
    </row>
    <row r="101" ht="15.75" customHeight="1">
      <c r="A101" s="35">
        <f>Bill!$Y101</f>
        <v>45659</v>
      </c>
      <c r="B101" s="43">
        <f>'Raw Data'!E103+Bill!$L$2</f>
        <v>156</v>
      </c>
      <c r="C101" s="43">
        <f>'Raw Data'!E103+Bill!$M$2</f>
        <v>161</v>
      </c>
      <c r="D101" s="43">
        <f>('Raw Data'!$F103*2)-10</f>
        <v>220</v>
      </c>
      <c r="E101" s="43">
        <f>'Raw Data'!F103+Bill!$O$2</f>
        <v>135</v>
      </c>
      <c r="F101" s="43">
        <f>'Raw Data'!F103+Bill!$P$2</f>
        <v>140</v>
      </c>
      <c r="G101" s="43"/>
      <c r="H101" s="43">
        <f>('Raw Data'!F103+Bill!$R$2)</f>
        <v>135</v>
      </c>
      <c r="I101" s="36">
        <f>'Raw Data'!G103/100</f>
        <v>5.8</v>
      </c>
      <c r="K101" s="37">
        <f>Bill!$Y101</f>
        <v>45659</v>
      </c>
      <c r="L101" s="38">
        <f>Bill!$AA101*('Raw Data'!$E103+$L$2)</f>
        <v>0</v>
      </c>
      <c r="M101" s="38">
        <f>Bill!$AB101*('Raw Data'!$E103+$M$2)</f>
        <v>805</v>
      </c>
      <c r="N101" s="38">
        <f>(('Raw Data'!$F103 * 2)-10)*Bill!$AC101</f>
        <v>660</v>
      </c>
      <c r="O101" s="38">
        <f>('Raw Data'!F103+Bill!$O$2)*Bill!$AD101</f>
        <v>0</v>
      </c>
      <c r="P101" s="38">
        <f>('Raw Data'!F103+Bill!$P$2)*Bill!$AE101</f>
        <v>280</v>
      </c>
      <c r="Q101" s="38">
        <f>Bill!$Z101*('Raw Data'!$E103+$Q$2)</f>
        <v>0</v>
      </c>
      <c r="R101" s="38">
        <f>('Raw Data'!F103+Bill!$R$2)*Bill!$AF101</f>
        <v>0</v>
      </c>
      <c r="S101" s="48">
        <f>('Raw Data'!G103/100)*Bill!$AG101</f>
        <v>0</v>
      </c>
      <c r="T101" s="38">
        <f>SUM(Bill!$L101:$R101)</f>
        <v>1745</v>
      </c>
      <c r="U101" s="49">
        <v>1755.0</v>
      </c>
      <c r="V101" s="50"/>
      <c r="W101" s="38">
        <f>Bill!$U101-Bill!$T101</f>
        <v>10</v>
      </c>
      <c r="Y101" s="37">
        <f>'Raw Data'!D103</f>
        <v>45659</v>
      </c>
      <c r="Z101" s="41">
        <v>0.0</v>
      </c>
      <c r="AA101" s="47">
        <v>0.0</v>
      </c>
      <c r="AB101" s="47">
        <v>5.0</v>
      </c>
      <c r="AC101" s="47">
        <v>3.0</v>
      </c>
      <c r="AD101" s="47">
        <v>0.0</v>
      </c>
      <c r="AE101" s="47">
        <v>2.0</v>
      </c>
      <c r="AF101" s="47">
        <v>0.0</v>
      </c>
      <c r="AG101" s="47">
        <v>0.0</v>
      </c>
    </row>
    <row r="102" ht="15.75" customHeight="1">
      <c r="A102" s="35">
        <f>Bill!$Y102</f>
        <v>45660</v>
      </c>
      <c r="B102" s="43">
        <f>'Raw Data'!E104+Bill!$L$2</f>
        <v>152</v>
      </c>
      <c r="C102" s="43">
        <f>'Raw Data'!E104+Bill!$M$2</f>
        <v>157</v>
      </c>
      <c r="D102" s="43">
        <f>('Raw Data'!$F104*2)-10</f>
        <v>220</v>
      </c>
      <c r="E102" s="43">
        <f>'Raw Data'!F104+Bill!$O$2</f>
        <v>135</v>
      </c>
      <c r="F102" s="43">
        <f>'Raw Data'!F104+Bill!$P$2</f>
        <v>140</v>
      </c>
      <c r="G102" s="43"/>
      <c r="H102" s="43">
        <f>('Raw Data'!F104+Bill!$R$2)</f>
        <v>135</v>
      </c>
      <c r="I102" s="36">
        <f>'Raw Data'!G104/100</f>
        <v>5.85</v>
      </c>
      <c r="K102" s="37">
        <f>Bill!$Y102</f>
        <v>45660</v>
      </c>
      <c r="L102" s="38">
        <f>Bill!$AA102*('Raw Data'!$E104+$L$2)</f>
        <v>0</v>
      </c>
      <c r="M102" s="38">
        <f>Bill!$AB102*('Raw Data'!$E104+$M$2)</f>
        <v>2355</v>
      </c>
      <c r="N102" s="38">
        <f>(('Raw Data'!$F104 * 2)-10)*Bill!$AC102</f>
        <v>1760</v>
      </c>
      <c r="O102" s="38">
        <f>('Raw Data'!F104+Bill!$O$2)*Bill!$AD102</f>
        <v>0</v>
      </c>
      <c r="P102" s="38">
        <f>('Raw Data'!F104+Bill!$P$2)*Bill!$AE102</f>
        <v>420</v>
      </c>
      <c r="Q102" s="38">
        <f>Bill!$Z102*('Raw Data'!$E104+$Q$2)</f>
        <v>0</v>
      </c>
      <c r="R102" s="38">
        <f>('Raw Data'!F104+Bill!$R$2)*Bill!$AF102</f>
        <v>0</v>
      </c>
      <c r="S102" s="48">
        <f>('Raw Data'!G104/100)*Bill!$AG102</f>
        <v>1228.5</v>
      </c>
      <c r="T102" s="38">
        <f>SUM(Bill!$L102:$R102)</f>
        <v>4535</v>
      </c>
      <c r="U102" s="49">
        <v>4550.0</v>
      </c>
      <c r="V102" s="50"/>
      <c r="W102" s="38">
        <f>Bill!$U102-Bill!$T102</f>
        <v>15</v>
      </c>
      <c r="Y102" s="37">
        <f>'Raw Data'!D104</f>
        <v>45660</v>
      </c>
      <c r="Z102" s="41">
        <v>0.0</v>
      </c>
      <c r="AA102" s="47">
        <v>0.0</v>
      </c>
      <c r="AB102" s="47">
        <v>15.0</v>
      </c>
      <c r="AC102" s="47">
        <v>8.0</v>
      </c>
      <c r="AD102" s="47">
        <v>0.0</v>
      </c>
      <c r="AE102" s="47">
        <v>3.0</v>
      </c>
      <c r="AF102" s="47">
        <v>0.0</v>
      </c>
      <c r="AG102" s="47">
        <v>210.0</v>
      </c>
    </row>
    <row r="103" ht="15.75" customHeight="1">
      <c r="A103" s="35">
        <f>Bill!$Y103</f>
        <v>45661</v>
      </c>
      <c r="B103" s="43">
        <f>'Raw Data'!E105+Bill!$L$2</f>
        <v>152</v>
      </c>
      <c r="C103" s="43">
        <f>'Raw Data'!E105+Bill!$M$2</f>
        <v>157</v>
      </c>
      <c r="D103" s="43">
        <f>('Raw Data'!$F105*2)-10</f>
        <v>224</v>
      </c>
      <c r="E103" s="43">
        <f>'Raw Data'!F105+Bill!$O$2</f>
        <v>137</v>
      </c>
      <c r="F103" s="43">
        <f>'Raw Data'!F105+Bill!$P$2</f>
        <v>142</v>
      </c>
      <c r="G103" s="43"/>
      <c r="H103" s="43">
        <f>('Raw Data'!F105+Bill!$R$2)</f>
        <v>137</v>
      </c>
      <c r="I103" s="36">
        <f>'Raw Data'!G105/100</f>
        <v>5.85</v>
      </c>
      <c r="K103" s="37">
        <f>Bill!$Y103</f>
        <v>45661</v>
      </c>
      <c r="L103" s="38">
        <f>Bill!$AA103*('Raw Data'!$E105+$L$2)</f>
        <v>1474.4</v>
      </c>
      <c r="M103" s="38">
        <f>Bill!$AB103*('Raw Data'!$E105+$M$2)</f>
        <v>0</v>
      </c>
      <c r="N103" s="38">
        <f>(('Raw Data'!$F105 * 2)-10)*Bill!$AC103</f>
        <v>1120</v>
      </c>
      <c r="O103" s="38">
        <f>('Raw Data'!F105+Bill!$O$2)*Bill!$AD103</f>
        <v>424.7</v>
      </c>
      <c r="P103" s="38">
        <f>('Raw Data'!F105+Bill!$P$2)*Bill!$AE103</f>
        <v>0</v>
      </c>
      <c r="Q103" s="38">
        <f>Bill!$Z103*('Raw Data'!$E105+$Q$2)</f>
        <v>0</v>
      </c>
      <c r="R103" s="38">
        <f>('Raw Data'!F105+Bill!$R$2)*Bill!$AF103</f>
        <v>0</v>
      </c>
      <c r="S103" s="48">
        <f>('Raw Data'!G105/100)*Bill!$AG103</f>
        <v>0</v>
      </c>
      <c r="T103" s="38">
        <f>SUM(Bill!$L103:$R103)</f>
        <v>3019.1</v>
      </c>
      <c r="U103" s="49">
        <v>3019.0</v>
      </c>
      <c r="V103" s="50"/>
      <c r="W103" s="38">
        <f>Bill!$U103-Bill!$T103</f>
        <v>-0.1</v>
      </c>
      <c r="Y103" s="37">
        <f>'Raw Data'!D105</f>
        <v>45661</v>
      </c>
      <c r="Z103" s="41">
        <v>0.0</v>
      </c>
      <c r="AA103" s="47">
        <v>9.7</v>
      </c>
      <c r="AB103" s="47">
        <v>0.0</v>
      </c>
      <c r="AC103" s="47">
        <v>5.0</v>
      </c>
      <c r="AD103" s="47">
        <v>3.1</v>
      </c>
      <c r="AE103" s="47">
        <v>0.0</v>
      </c>
      <c r="AF103" s="47">
        <v>0.0</v>
      </c>
      <c r="AG103" s="47"/>
    </row>
    <row r="104" ht="15.75" customHeight="1">
      <c r="A104" s="35">
        <f>Bill!$Y104</f>
        <v>45662</v>
      </c>
      <c r="B104" s="43">
        <f>'Raw Data'!E106+Bill!$L$2</f>
        <v>152</v>
      </c>
      <c r="C104" s="43">
        <f>'Raw Data'!E106+Bill!$M$2</f>
        <v>157</v>
      </c>
      <c r="D104" s="43">
        <f>('Raw Data'!$F106*2)-10</f>
        <v>236</v>
      </c>
      <c r="E104" s="43">
        <f>'Raw Data'!F106+Bill!$O$2</f>
        <v>143</v>
      </c>
      <c r="F104" s="43">
        <f>'Raw Data'!F106+Bill!$P$2</f>
        <v>148</v>
      </c>
      <c r="G104" s="43"/>
      <c r="H104" s="43">
        <f>('Raw Data'!F106+Bill!$R$2)</f>
        <v>143</v>
      </c>
      <c r="I104" s="36">
        <f>'Raw Data'!G106/100</f>
        <v>5.7</v>
      </c>
      <c r="K104" s="37">
        <f>Bill!$Y104</f>
        <v>45662</v>
      </c>
      <c r="L104" s="38">
        <f>Bill!$AA104*('Raw Data'!$E106+$L$2)</f>
        <v>2705.6</v>
      </c>
      <c r="M104" s="38">
        <f>Bill!$AB104*('Raw Data'!$E106+$M$2)</f>
        <v>2370.7</v>
      </c>
      <c r="N104" s="38">
        <f>(('Raw Data'!$F106 * 2)-10)*Bill!$AC104</f>
        <v>1888</v>
      </c>
      <c r="O104" s="38">
        <f>('Raw Data'!F106+Bill!$O$2)*Bill!$AD104</f>
        <v>0</v>
      </c>
      <c r="P104" s="38">
        <f>('Raw Data'!F106+Bill!$P$2)*Bill!$AE104</f>
        <v>296</v>
      </c>
      <c r="Q104" s="38">
        <f>Bill!$Z104*('Raw Data'!$E106+$Q$2)</f>
        <v>0</v>
      </c>
      <c r="R104" s="38">
        <f>('Raw Data'!F106+Bill!$R$2)*Bill!$AF104</f>
        <v>457.6</v>
      </c>
      <c r="S104" s="48">
        <f>('Raw Data'!G106/100)*Bill!$AG104</f>
        <v>0</v>
      </c>
      <c r="T104" s="38">
        <f>SUM(Bill!$L104:$R104)</f>
        <v>7717.9</v>
      </c>
      <c r="U104" s="49">
        <v>7726.0</v>
      </c>
      <c r="V104" s="50"/>
      <c r="W104" s="38">
        <f>Bill!$U104-Bill!$T104</f>
        <v>8.1</v>
      </c>
      <c r="Y104" s="37">
        <f>'Raw Data'!D106</f>
        <v>45662</v>
      </c>
      <c r="Z104" s="41">
        <v>0.0</v>
      </c>
      <c r="AA104" s="47">
        <v>17.8</v>
      </c>
      <c r="AB104" s="47">
        <v>15.1</v>
      </c>
      <c r="AC104" s="47">
        <v>8.0</v>
      </c>
      <c r="AD104" s="47">
        <v>0.0</v>
      </c>
      <c r="AE104" s="47">
        <v>2.0</v>
      </c>
      <c r="AF104" s="47">
        <v>3.2</v>
      </c>
      <c r="AG104" s="47"/>
    </row>
    <row r="105" ht="15.75" customHeight="1">
      <c r="A105" s="35">
        <f>Bill!$Y105</f>
        <v>45663</v>
      </c>
      <c r="B105" s="43">
        <f>'Raw Data'!E107+Bill!$L$2</f>
        <v>152</v>
      </c>
      <c r="C105" s="43">
        <f>'Raw Data'!E107+Bill!$M$2</f>
        <v>157</v>
      </c>
      <c r="D105" s="43">
        <f>('Raw Data'!$F107*2)-10</f>
        <v>236</v>
      </c>
      <c r="E105" s="43">
        <f>'Raw Data'!F107+Bill!$O$2</f>
        <v>143</v>
      </c>
      <c r="F105" s="43">
        <f>'Raw Data'!F107+Bill!$P$2</f>
        <v>148</v>
      </c>
      <c r="G105" s="43"/>
      <c r="H105" s="43">
        <f>('Raw Data'!F107+Bill!$R$2)</f>
        <v>143</v>
      </c>
      <c r="I105" s="36">
        <f>'Raw Data'!G107/100</f>
        <v>5.5</v>
      </c>
      <c r="K105" s="37">
        <f>Bill!$Y105</f>
        <v>45663</v>
      </c>
      <c r="L105" s="38">
        <f>Bill!$AA105*('Raw Data'!$E107+$L$2)</f>
        <v>0</v>
      </c>
      <c r="M105" s="38">
        <f>Bill!$AB105*('Raw Data'!$E107+$M$2)</f>
        <v>2355</v>
      </c>
      <c r="N105" s="38">
        <f>(('Raw Data'!$F107 * 2)-10)*Bill!$AC105</f>
        <v>708</v>
      </c>
      <c r="O105" s="38">
        <f>('Raw Data'!F107+Bill!$O$2)*Bill!$AD105</f>
        <v>0</v>
      </c>
      <c r="P105" s="38">
        <f>('Raw Data'!F107+Bill!$P$2)*Bill!$AE105</f>
        <v>296</v>
      </c>
      <c r="Q105" s="38">
        <f>Bill!$Z105*('Raw Data'!$E107+$Q$2)</f>
        <v>0</v>
      </c>
      <c r="R105" s="38">
        <f>('Raw Data'!F107+Bill!$R$2)*Bill!$AF105</f>
        <v>0</v>
      </c>
      <c r="S105" s="48">
        <f>('Raw Data'!G107/100)*Bill!$AG105</f>
        <v>825</v>
      </c>
      <c r="T105" s="38">
        <f>SUM(Bill!$L105:$R105)</f>
        <v>3359</v>
      </c>
      <c r="U105" s="49">
        <v>3369.0</v>
      </c>
      <c r="V105" s="50"/>
      <c r="W105" s="38">
        <f>Bill!$U105-Bill!$T105</f>
        <v>10</v>
      </c>
      <c r="Y105" s="37">
        <f>'Raw Data'!D107</f>
        <v>45663</v>
      </c>
      <c r="Z105" s="41">
        <v>0.0</v>
      </c>
      <c r="AA105" s="47">
        <v>0.0</v>
      </c>
      <c r="AB105" s="47">
        <v>15.0</v>
      </c>
      <c r="AC105" s="47">
        <v>3.0</v>
      </c>
      <c r="AD105" s="47">
        <v>0.0</v>
      </c>
      <c r="AE105" s="47">
        <v>2.0</v>
      </c>
      <c r="AF105" s="47">
        <v>0.0</v>
      </c>
      <c r="AG105" s="47">
        <v>150.0</v>
      </c>
    </row>
    <row r="106" ht="15.75" customHeight="1">
      <c r="A106" s="35">
        <f>Bill!$Y106</f>
        <v>45664</v>
      </c>
      <c r="B106" s="43">
        <f>'Raw Data'!E108+Bill!$L$2</f>
        <v>152</v>
      </c>
      <c r="C106" s="43">
        <f>'Raw Data'!E108+Bill!$M$2</f>
        <v>157</v>
      </c>
      <c r="D106" s="43">
        <f>('Raw Data'!$F108*2)-10</f>
        <v>238</v>
      </c>
      <c r="E106" s="43">
        <f>'Raw Data'!F108+Bill!$O$2</f>
        <v>144</v>
      </c>
      <c r="F106" s="43">
        <f>'Raw Data'!F108+Bill!$P$2</f>
        <v>149</v>
      </c>
      <c r="G106" s="43"/>
      <c r="H106" s="43">
        <f>('Raw Data'!F108+Bill!$R$2)</f>
        <v>144</v>
      </c>
      <c r="I106" s="36">
        <f>'Raw Data'!G108/100</f>
        <v>5.5</v>
      </c>
      <c r="K106" s="37">
        <f>Bill!$Y106</f>
        <v>45664</v>
      </c>
      <c r="L106" s="38">
        <f>Bill!$AA106*('Raw Data'!$E108+$L$2)</f>
        <v>699.2</v>
      </c>
      <c r="M106" s="38">
        <f>Bill!$AB106*('Raw Data'!$E108+$M$2)</f>
        <v>1570</v>
      </c>
      <c r="N106" s="38">
        <f>(('Raw Data'!$F108 * 2)-10)*Bill!$AC106</f>
        <v>1428</v>
      </c>
      <c r="O106" s="38">
        <f>('Raw Data'!F108+Bill!$O$2)*Bill!$AD106</f>
        <v>302.4</v>
      </c>
      <c r="P106" s="38">
        <f>('Raw Data'!F108+Bill!$P$2)*Bill!$AE106</f>
        <v>0</v>
      </c>
      <c r="Q106" s="38">
        <f>Bill!$Z106*('Raw Data'!$E108+$Q$2)</f>
        <v>0</v>
      </c>
      <c r="R106" s="38">
        <f>('Raw Data'!F108+Bill!$R$2)*Bill!$AF106</f>
        <v>0</v>
      </c>
      <c r="S106" s="48">
        <f>('Raw Data'!G108/100)*Bill!$AG106</f>
        <v>0</v>
      </c>
      <c r="T106" s="38">
        <f>SUM(Bill!$L106:$R106)</f>
        <v>3999.6</v>
      </c>
      <c r="U106" s="49">
        <v>3999.0</v>
      </c>
      <c r="V106" s="50"/>
      <c r="W106" s="38">
        <f>Bill!$U106-Bill!$T106</f>
        <v>-0.6</v>
      </c>
      <c r="Y106" s="37">
        <f>'Raw Data'!D108</f>
        <v>45664</v>
      </c>
      <c r="Z106" s="41">
        <v>0.0</v>
      </c>
      <c r="AA106" s="47">
        <v>4.6</v>
      </c>
      <c r="AB106" s="47">
        <v>10.0</v>
      </c>
      <c r="AC106" s="47">
        <v>6.0</v>
      </c>
      <c r="AD106" s="47">
        <v>2.1</v>
      </c>
      <c r="AE106" s="47">
        <v>0.0</v>
      </c>
      <c r="AF106" s="47">
        <v>0.0</v>
      </c>
      <c r="AG106" s="47">
        <v>0.0</v>
      </c>
    </row>
    <row r="107" ht="15.75" customHeight="1">
      <c r="A107" s="35">
        <f>Bill!$Y107</f>
        <v>45665</v>
      </c>
      <c r="B107" s="43">
        <f>'Raw Data'!E109+Bill!$L$2</f>
        <v>156</v>
      </c>
      <c r="C107" s="43">
        <f>'Raw Data'!E109+Bill!$M$2</f>
        <v>161</v>
      </c>
      <c r="D107" s="43">
        <f>('Raw Data'!$F109*2)-10</f>
        <v>246</v>
      </c>
      <c r="E107" s="43">
        <f>'Raw Data'!F109+Bill!$O$2</f>
        <v>148</v>
      </c>
      <c r="F107" s="43">
        <f>'Raw Data'!F109+Bill!$P$2</f>
        <v>153</v>
      </c>
      <c r="G107" s="43"/>
      <c r="H107" s="43">
        <f>('Raw Data'!F109+Bill!$R$2)</f>
        <v>148</v>
      </c>
      <c r="I107" s="36">
        <f>'Raw Data'!G109/100</f>
        <v>5.5</v>
      </c>
      <c r="K107" s="37">
        <f>Bill!$Y107</f>
        <v>45665</v>
      </c>
      <c r="L107" s="38">
        <f>Bill!$AA107*('Raw Data'!$E109+$L$2)</f>
        <v>0</v>
      </c>
      <c r="M107" s="38">
        <f>Bill!$AB107*('Raw Data'!$E109+$M$2)</f>
        <v>1304.1</v>
      </c>
      <c r="N107" s="38">
        <f>(('Raw Data'!$F109 * 2)-10)*Bill!$AC107</f>
        <v>1230</v>
      </c>
      <c r="O107" s="38">
        <f>('Raw Data'!F109+Bill!$O$2)*Bill!$AD107</f>
        <v>0</v>
      </c>
      <c r="P107" s="38">
        <f>('Raw Data'!F109+Bill!$P$2)*Bill!$AE107</f>
        <v>306</v>
      </c>
      <c r="Q107" s="38">
        <f>Bill!$Z107*('Raw Data'!$E109+$Q$2)</f>
        <v>0</v>
      </c>
      <c r="R107" s="38">
        <f>('Raw Data'!F109+Bill!$R$2)*Bill!$AF107</f>
        <v>0</v>
      </c>
      <c r="S107" s="48">
        <f>('Raw Data'!G109/100)*Bill!$AG107</f>
        <v>0</v>
      </c>
      <c r="T107" s="38">
        <f>SUM(Bill!$L107:$R107)</f>
        <v>2840.1</v>
      </c>
      <c r="U107" s="49">
        <v>2850.0</v>
      </c>
      <c r="V107" s="50"/>
      <c r="W107" s="38">
        <f>Bill!$U107-Bill!$T107</f>
        <v>9.9</v>
      </c>
      <c r="Y107" s="37">
        <f>'Raw Data'!D109</f>
        <v>45665</v>
      </c>
      <c r="Z107" s="41">
        <v>0.0</v>
      </c>
      <c r="AA107" s="47">
        <v>0.0</v>
      </c>
      <c r="AB107" s="47">
        <v>8.1</v>
      </c>
      <c r="AC107" s="47">
        <v>5.0</v>
      </c>
      <c r="AD107" s="47">
        <v>0.0</v>
      </c>
      <c r="AE107" s="47">
        <v>2.0</v>
      </c>
      <c r="AF107" s="47">
        <v>0.0</v>
      </c>
      <c r="AG107" s="47">
        <v>0.0</v>
      </c>
    </row>
    <row r="108" ht="15.75" customHeight="1">
      <c r="A108" s="35">
        <f>Bill!$Y108</f>
        <v>45666</v>
      </c>
      <c r="B108" s="43">
        <f>'Raw Data'!E110+Bill!$L$2</f>
        <v>156</v>
      </c>
      <c r="C108" s="43">
        <f>'Raw Data'!E110+Bill!$M$2</f>
        <v>161</v>
      </c>
      <c r="D108" s="43">
        <f>('Raw Data'!$F110*2)-10</f>
        <v>246</v>
      </c>
      <c r="E108" s="43">
        <f>'Raw Data'!F110+Bill!$O$2</f>
        <v>148</v>
      </c>
      <c r="F108" s="43">
        <f>'Raw Data'!F110+Bill!$P$2</f>
        <v>153</v>
      </c>
      <c r="G108" s="43"/>
      <c r="H108" s="43">
        <f>('Raw Data'!F110+Bill!$R$2)</f>
        <v>148</v>
      </c>
      <c r="I108" s="36">
        <f>'Raw Data'!G110/100</f>
        <v>5.5</v>
      </c>
      <c r="K108" s="37">
        <f>Bill!$Y108</f>
        <v>45666</v>
      </c>
      <c r="L108" s="38">
        <f>Bill!$AA108*('Raw Data'!$E110+$L$2)</f>
        <v>3463.2</v>
      </c>
      <c r="M108" s="38">
        <f>Bill!$AB108*('Raw Data'!$E110+$M$2)</f>
        <v>2415</v>
      </c>
      <c r="N108" s="38">
        <f>(('Raw Data'!$F110 * 2)-10)*Bill!$AC108</f>
        <v>1476</v>
      </c>
      <c r="O108" s="38">
        <f>('Raw Data'!F110+Bill!$O$2)*Bill!$AD108</f>
        <v>429.2</v>
      </c>
      <c r="P108" s="38">
        <f>('Raw Data'!F110+Bill!$P$2)*Bill!$AE108</f>
        <v>306</v>
      </c>
      <c r="Q108" s="38">
        <f>Bill!$Z108*('Raw Data'!$E110+$Q$2)</f>
        <v>0</v>
      </c>
      <c r="R108" s="38">
        <f>('Raw Data'!F110+Bill!$R$2)*Bill!$AF108</f>
        <v>0</v>
      </c>
      <c r="S108" s="48">
        <f>('Raw Data'!G110/100)*Bill!$AG108</f>
        <v>825</v>
      </c>
      <c r="T108" s="38">
        <f>SUM(Bill!$L108:$R108)</f>
        <v>8089.4</v>
      </c>
      <c r="U108" s="49">
        <v>8099.0</v>
      </c>
      <c r="V108" s="50"/>
      <c r="W108" s="38">
        <f>Bill!$U108-Bill!$T108</f>
        <v>9.6</v>
      </c>
      <c r="Y108" s="37">
        <f>'Raw Data'!D110</f>
        <v>45666</v>
      </c>
      <c r="Z108" s="41">
        <v>0.0</v>
      </c>
      <c r="AA108" s="47">
        <v>22.2</v>
      </c>
      <c r="AB108" s="47">
        <v>15.0</v>
      </c>
      <c r="AC108" s="47">
        <v>6.0</v>
      </c>
      <c r="AD108" s="47">
        <v>2.9</v>
      </c>
      <c r="AE108" s="47">
        <v>2.0</v>
      </c>
      <c r="AF108" s="47">
        <v>0.0</v>
      </c>
      <c r="AG108" s="47">
        <v>150.0</v>
      </c>
    </row>
    <row r="109" ht="15.75" customHeight="1">
      <c r="A109" s="35">
        <f>Bill!$Y109</f>
        <v>45667</v>
      </c>
      <c r="B109" s="43">
        <f>'Raw Data'!E111+Bill!$L$2</f>
        <v>158</v>
      </c>
      <c r="C109" s="43">
        <f>'Raw Data'!E111+Bill!$M$2</f>
        <v>163</v>
      </c>
      <c r="D109" s="43">
        <f>('Raw Data'!$F111*2)-10</f>
        <v>250</v>
      </c>
      <c r="E109" s="43">
        <f>'Raw Data'!F111+Bill!$O$2</f>
        <v>150</v>
      </c>
      <c r="F109" s="43">
        <f>'Raw Data'!F111+Bill!$P$2</f>
        <v>155</v>
      </c>
      <c r="G109" s="43"/>
      <c r="H109" s="43">
        <f>('Raw Data'!F111+Bill!$R$2)</f>
        <v>150</v>
      </c>
      <c r="I109" s="36">
        <f>'Raw Data'!G111/100</f>
        <v>5.55</v>
      </c>
      <c r="K109" s="37">
        <f>Bill!$Y109</f>
        <v>45667</v>
      </c>
      <c r="L109" s="38">
        <f>Bill!$AA109*('Raw Data'!$E111+$L$2)</f>
        <v>884.8</v>
      </c>
      <c r="M109" s="38">
        <f>Bill!$AB109*('Raw Data'!$E111+$M$2)</f>
        <v>1956</v>
      </c>
      <c r="N109" s="38">
        <f>(('Raw Data'!$F111 * 2)-10)*Bill!$AC109</f>
        <v>2000</v>
      </c>
      <c r="O109" s="38">
        <f>('Raw Data'!F111+Bill!$O$2)*Bill!$AD109</f>
        <v>315</v>
      </c>
      <c r="P109" s="38">
        <f>('Raw Data'!F111+Bill!$P$2)*Bill!$AE109</f>
        <v>0</v>
      </c>
      <c r="Q109" s="38">
        <f>Bill!$Z109*('Raw Data'!$E111+$Q$2)</f>
        <v>0</v>
      </c>
      <c r="R109" s="38">
        <f>('Raw Data'!F111+Bill!$R$2)*Bill!$AF109</f>
        <v>0</v>
      </c>
      <c r="S109" s="48">
        <f>('Raw Data'!G111/100)*Bill!$AG109</f>
        <v>0</v>
      </c>
      <c r="T109" s="38">
        <f>SUM(Bill!$L109:$R109)</f>
        <v>5155.8</v>
      </c>
      <c r="U109" s="49">
        <v>5156.0</v>
      </c>
      <c r="V109" s="50"/>
      <c r="W109" s="38">
        <f>Bill!$U109-Bill!$T109</f>
        <v>0.2</v>
      </c>
      <c r="Y109" s="37">
        <f>'Raw Data'!D111</f>
        <v>45667</v>
      </c>
      <c r="Z109" s="41">
        <v>0.0</v>
      </c>
      <c r="AA109" s="47">
        <v>5.6</v>
      </c>
      <c r="AB109" s="47">
        <v>12.0</v>
      </c>
      <c r="AC109" s="47">
        <v>8.0</v>
      </c>
      <c r="AD109" s="47">
        <v>2.1</v>
      </c>
      <c r="AE109" s="47">
        <v>0.0</v>
      </c>
      <c r="AF109" s="47">
        <v>0.0</v>
      </c>
      <c r="AG109" s="47">
        <v>0.0</v>
      </c>
    </row>
    <row r="110" ht="15.75" customHeight="1">
      <c r="A110" s="35">
        <f>Bill!$Y110</f>
        <v>45668</v>
      </c>
      <c r="B110" s="43">
        <f>'Raw Data'!E112+Bill!$L$2</f>
        <v>158</v>
      </c>
      <c r="C110" s="43">
        <f>'Raw Data'!E112+Bill!$M$2</f>
        <v>163</v>
      </c>
      <c r="D110" s="43">
        <f>('Raw Data'!$F112*2)-10</f>
        <v>250</v>
      </c>
      <c r="E110" s="43">
        <f>'Raw Data'!F112+Bill!$O$2</f>
        <v>150</v>
      </c>
      <c r="F110" s="43">
        <f>'Raw Data'!F112+Bill!$P$2</f>
        <v>155</v>
      </c>
      <c r="G110" s="43"/>
      <c r="H110" s="43">
        <f>('Raw Data'!F112+Bill!$R$2)</f>
        <v>150</v>
      </c>
      <c r="I110" s="36">
        <f>'Raw Data'!G112/100</f>
        <v>5.55</v>
      </c>
      <c r="K110" s="37">
        <f>Bill!$Y110</f>
        <v>45668</v>
      </c>
      <c r="L110" s="38">
        <f>Bill!$AA110*('Raw Data'!$E112+$L$2)</f>
        <v>872.16</v>
      </c>
      <c r="M110" s="38">
        <f>Bill!$AB110*('Raw Data'!$E112+$M$2)</f>
        <v>1002.45</v>
      </c>
      <c r="N110" s="38">
        <f>(('Raw Data'!$F112 * 2)-10)*Bill!$AC110</f>
        <v>2000</v>
      </c>
      <c r="O110" s="38">
        <f>('Raw Data'!F112+Bill!$O$2)*Bill!$AD110</f>
        <v>0</v>
      </c>
      <c r="P110" s="38">
        <f>('Raw Data'!F112+Bill!$P$2)*Bill!$AE110</f>
        <v>310</v>
      </c>
      <c r="Q110" s="38">
        <f>Bill!$Z110*('Raw Data'!$E112+$Q$2)</f>
        <v>0</v>
      </c>
      <c r="R110" s="38">
        <f>('Raw Data'!F112+Bill!$R$2)*Bill!$AF110</f>
        <v>0</v>
      </c>
      <c r="S110" s="48">
        <f>('Raw Data'!G112/100)*Bill!$AG110</f>
        <v>0</v>
      </c>
      <c r="T110" s="38">
        <f>SUM(Bill!$L110:$R110)</f>
        <v>4184.61</v>
      </c>
      <c r="U110" s="49">
        <v>4191.0</v>
      </c>
      <c r="V110" s="50"/>
      <c r="W110" s="38">
        <f>Bill!$U110-Bill!$T110</f>
        <v>6.39</v>
      </c>
      <c r="Y110" s="37">
        <f>'Raw Data'!D112</f>
        <v>45668</v>
      </c>
      <c r="Z110" s="41">
        <v>0.0</v>
      </c>
      <c r="AA110" s="47">
        <v>5.52</v>
      </c>
      <c r="AB110" s="47">
        <v>6.15</v>
      </c>
      <c r="AC110" s="47">
        <v>8.0</v>
      </c>
      <c r="AD110" s="47">
        <v>0.0</v>
      </c>
      <c r="AE110" s="47">
        <v>2.0</v>
      </c>
      <c r="AF110" s="47">
        <v>0.0</v>
      </c>
      <c r="AG110" s="47">
        <v>0.0</v>
      </c>
    </row>
    <row r="111" ht="15.75" customHeight="1">
      <c r="A111" s="35">
        <f>Bill!$Y111</f>
        <v>45669</v>
      </c>
      <c r="B111" s="43">
        <f>'Raw Data'!E113+Bill!$L$2</f>
        <v>158</v>
      </c>
      <c r="C111" s="43">
        <f>'Raw Data'!E113+Bill!$M$2</f>
        <v>163</v>
      </c>
      <c r="D111" s="43">
        <f>('Raw Data'!$F113*2)-10</f>
        <v>250</v>
      </c>
      <c r="E111" s="43">
        <f>'Raw Data'!F113+Bill!$O$2</f>
        <v>150</v>
      </c>
      <c r="F111" s="43">
        <f>'Raw Data'!F113+Bill!$P$2</f>
        <v>155</v>
      </c>
      <c r="G111" s="43"/>
      <c r="H111" s="43">
        <f>('Raw Data'!F113+Bill!$R$2)</f>
        <v>150</v>
      </c>
      <c r="I111" s="36">
        <f>'Raw Data'!G113/100</f>
        <v>5.55</v>
      </c>
      <c r="K111" s="37">
        <f>Bill!$Y111</f>
        <v>45669</v>
      </c>
      <c r="L111" s="38">
        <f>Bill!$AA111*('Raw Data'!$E113+$L$2)</f>
        <v>1659</v>
      </c>
      <c r="M111" s="38">
        <f>Bill!$AB111*('Raw Data'!$E113+$M$2)</f>
        <v>2934</v>
      </c>
      <c r="N111" s="38">
        <f>(('Raw Data'!$F113 * 2)-10)*Bill!$AC111</f>
        <v>1500</v>
      </c>
      <c r="O111" s="38">
        <f>('Raw Data'!F113+Bill!$O$2)*Bill!$AD111</f>
        <v>352.5</v>
      </c>
      <c r="P111" s="38">
        <f>('Raw Data'!F113+Bill!$P$2)*Bill!$AE111</f>
        <v>310</v>
      </c>
      <c r="Q111" s="38">
        <f>Bill!$Z111*('Raw Data'!$E113+$Q$2)</f>
        <v>0</v>
      </c>
      <c r="R111" s="38">
        <f>('Raw Data'!F113+Bill!$R$2)*Bill!$AF111</f>
        <v>0</v>
      </c>
      <c r="S111" s="48">
        <f>('Raw Data'!G113/100)*Bill!$AG111</f>
        <v>1165.5</v>
      </c>
      <c r="T111" s="38">
        <f>SUM(Bill!$L111:$R111)</f>
        <v>6755.5</v>
      </c>
      <c r="U111" s="49">
        <v>6765.0</v>
      </c>
      <c r="V111" s="50"/>
      <c r="W111" s="38">
        <f>Bill!$U111-Bill!$T111</f>
        <v>9.5</v>
      </c>
      <c r="Y111" s="37">
        <f>'Raw Data'!D113</f>
        <v>45669</v>
      </c>
      <c r="Z111" s="41">
        <v>0.0</v>
      </c>
      <c r="AA111" s="47">
        <v>10.5</v>
      </c>
      <c r="AB111" s="47">
        <v>18.0</v>
      </c>
      <c r="AC111" s="47">
        <v>6.0</v>
      </c>
      <c r="AD111" s="47">
        <v>2.35</v>
      </c>
      <c r="AE111" s="47">
        <v>2.0</v>
      </c>
      <c r="AF111" s="47">
        <v>0.0</v>
      </c>
      <c r="AG111" s="47">
        <v>210.0</v>
      </c>
    </row>
    <row r="112" ht="15.75" customHeight="1">
      <c r="A112" s="35">
        <f>Bill!$Y112</f>
        <v>45670</v>
      </c>
      <c r="B112" s="43">
        <f>'Raw Data'!E114+Bill!$L$2</f>
        <v>158</v>
      </c>
      <c r="C112" s="43">
        <f>'Raw Data'!E114+Bill!$M$2</f>
        <v>163</v>
      </c>
      <c r="D112" s="43">
        <f>('Raw Data'!$F114*2)-10</f>
        <v>246</v>
      </c>
      <c r="E112" s="43">
        <f>'Raw Data'!F114+Bill!$O$2</f>
        <v>148</v>
      </c>
      <c r="F112" s="43">
        <f>'Raw Data'!F114+Bill!$P$2</f>
        <v>153</v>
      </c>
      <c r="G112" s="43"/>
      <c r="H112" s="43">
        <f>('Raw Data'!F114+Bill!$R$2)</f>
        <v>148</v>
      </c>
      <c r="I112" s="36">
        <f>'Raw Data'!G114/100</f>
        <v>5.55</v>
      </c>
      <c r="K112" s="37">
        <f>Bill!$Y112</f>
        <v>45670</v>
      </c>
      <c r="L112" s="38">
        <f>Bill!$AA112*('Raw Data'!$E114+$L$2)</f>
        <v>0</v>
      </c>
      <c r="M112" s="38">
        <f>Bill!$AB112*('Raw Data'!$E114+$M$2)</f>
        <v>1630</v>
      </c>
      <c r="N112" s="38">
        <f>(('Raw Data'!$F114 * 2)-10)*Bill!$AC112</f>
        <v>738</v>
      </c>
      <c r="O112" s="38">
        <f>('Raw Data'!F114+Bill!$O$2)*Bill!$AD112</f>
        <v>444</v>
      </c>
      <c r="P112" s="38">
        <f>('Raw Data'!F114+Bill!$P$2)*Bill!$AE112</f>
        <v>0</v>
      </c>
      <c r="Q112" s="38">
        <f>Bill!$Z112*('Raw Data'!$E114+$Q$2)</f>
        <v>0</v>
      </c>
      <c r="R112" s="38">
        <f>('Raw Data'!F114+Bill!$R$2)*Bill!$AF112</f>
        <v>0</v>
      </c>
      <c r="S112" s="48">
        <f>('Raw Data'!G114/100)*Bill!$AG112</f>
        <v>0</v>
      </c>
      <c r="T112" s="38">
        <f>SUM(Bill!$L112:$R112)</f>
        <v>2812</v>
      </c>
      <c r="U112" s="49">
        <v>2812.0</v>
      </c>
      <c r="V112" s="50"/>
      <c r="W112" s="38">
        <f>Bill!$U112-Bill!$T112</f>
        <v>0</v>
      </c>
      <c r="Y112" s="37">
        <f>'Raw Data'!D114</f>
        <v>45670</v>
      </c>
      <c r="Z112" s="41">
        <v>0.0</v>
      </c>
      <c r="AA112" s="47">
        <v>0.0</v>
      </c>
      <c r="AB112" s="47">
        <v>10.0</v>
      </c>
      <c r="AC112" s="47">
        <v>3.0</v>
      </c>
      <c r="AD112" s="47">
        <v>3.0</v>
      </c>
      <c r="AE112" s="47">
        <v>0.0</v>
      </c>
      <c r="AF112" s="47">
        <v>0.0</v>
      </c>
      <c r="AG112" s="47">
        <v>0.0</v>
      </c>
    </row>
    <row r="113" ht="15.75" customHeight="1">
      <c r="A113" s="35">
        <f>Bill!$Y113</f>
        <v>45671</v>
      </c>
      <c r="B113" s="43">
        <f>'Raw Data'!E115+Bill!$L$2</f>
        <v>158</v>
      </c>
      <c r="C113" s="43">
        <f>'Raw Data'!E115+Bill!$M$2</f>
        <v>163</v>
      </c>
      <c r="D113" s="43">
        <f>('Raw Data'!$F115*2)-10</f>
        <v>246</v>
      </c>
      <c r="E113" s="43">
        <f>'Raw Data'!F115+Bill!$O$2</f>
        <v>148</v>
      </c>
      <c r="F113" s="43">
        <f>'Raw Data'!F115+Bill!$P$2</f>
        <v>153</v>
      </c>
      <c r="G113" s="43"/>
      <c r="H113" s="43">
        <f>('Raw Data'!F115+Bill!$R$2)</f>
        <v>148</v>
      </c>
      <c r="I113" s="36">
        <f>'Raw Data'!G115/100</f>
        <v>5.4</v>
      </c>
      <c r="K113" s="37">
        <f>Bill!$Y113</f>
        <v>45671</v>
      </c>
      <c r="L113" s="38">
        <f>Bill!$AA113*('Raw Data'!$E115+$L$2)</f>
        <v>900.6</v>
      </c>
      <c r="M113" s="38">
        <f>Bill!$AB113*('Raw Data'!$E115+$M$2)</f>
        <v>1304</v>
      </c>
      <c r="N113" s="38">
        <f>(('Raw Data'!$F115 * 2)-10)*Bill!$AC113</f>
        <v>492</v>
      </c>
      <c r="O113" s="38">
        <f>('Raw Data'!F115+Bill!$O$2)*Bill!$AD113</f>
        <v>0</v>
      </c>
      <c r="P113" s="38">
        <f>('Raw Data'!F115+Bill!$P$2)*Bill!$AE113</f>
        <v>0</v>
      </c>
      <c r="Q113" s="38">
        <f>Bill!$Z113*('Raw Data'!$E115+$Q$2)</f>
        <v>0</v>
      </c>
      <c r="R113" s="38">
        <f>('Raw Data'!F115+Bill!$R$2)*Bill!$AF113</f>
        <v>0</v>
      </c>
      <c r="S113" s="48">
        <f>('Raw Data'!G115/100)*Bill!$AG113</f>
        <v>0</v>
      </c>
      <c r="T113" s="38">
        <f>SUM(Bill!$L113:$R113)</f>
        <v>2696.6</v>
      </c>
      <c r="U113" s="49">
        <v>2696.0</v>
      </c>
      <c r="V113" s="50"/>
      <c r="W113" s="38">
        <f>Bill!$U113-Bill!$T113</f>
        <v>-0.6</v>
      </c>
      <c r="Y113" s="37">
        <f>'Raw Data'!D115</f>
        <v>45671</v>
      </c>
      <c r="Z113" s="41">
        <v>0.0</v>
      </c>
      <c r="AA113" s="47">
        <v>5.7</v>
      </c>
      <c r="AB113" s="47">
        <v>8.0</v>
      </c>
      <c r="AC113" s="47">
        <v>2.0</v>
      </c>
      <c r="AD113" s="47">
        <v>0.0</v>
      </c>
      <c r="AE113" s="47">
        <v>0.0</v>
      </c>
      <c r="AF113" s="47">
        <v>0.0</v>
      </c>
      <c r="AG113" s="47">
        <v>0.0</v>
      </c>
    </row>
    <row r="114" ht="15.75" customHeight="1">
      <c r="A114" s="35">
        <f>Bill!$Y114</f>
        <v>45672</v>
      </c>
      <c r="B114" s="43">
        <f>'Raw Data'!E116+Bill!$L$2</f>
        <v>158</v>
      </c>
      <c r="C114" s="43">
        <f>'Raw Data'!E116+Bill!$M$2</f>
        <v>163</v>
      </c>
      <c r="D114" s="43">
        <f>('Raw Data'!$F116*2)-10</f>
        <v>246</v>
      </c>
      <c r="E114" s="43">
        <f>'Raw Data'!F116+Bill!$O$2</f>
        <v>148</v>
      </c>
      <c r="F114" s="43">
        <f>'Raw Data'!F116+Bill!$P$2</f>
        <v>153</v>
      </c>
      <c r="G114" s="43"/>
      <c r="H114" s="43">
        <f>('Raw Data'!F116+Bill!$R$2)</f>
        <v>148</v>
      </c>
      <c r="I114" s="36">
        <f>'Raw Data'!G116/100</f>
        <v>5.4</v>
      </c>
      <c r="K114" s="37">
        <f>Bill!$Y114</f>
        <v>45672</v>
      </c>
      <c r="L114" s="38">
        <f>Bill!$AA114*('Raw Data'!$E116+$L$2)</f>
        <v>766.3</v>
      </c>
      <c r="M114" s="38">
        <f>Bill!$AB114*('Raw Data'!$E116+$M$2)</f>
        <v>2477.6</v>
      </c>
      <c r="N114" s="38">
        <f>(('Raw Data'!$F116 * 2)-10)*Bill!$AC114</f>
        <v>1476</v>
      </c>
      <c r="O114" s="38">
        <f>('Raw Data'!F116+Bill!$O$2)*Bill!$AD114</f>
        <v>325.6</v>
      </c>
      <c r="P114" s="38">
        <f>('Raw Data'!F116+Bill!$P$2)*Bill!$AE114</f>
        <v>612</v>
      </c>
      <c r="Q114" s="38">
        <f>Bill!$Z114*('Raw Data'!$E116+$Q$2)</f>
        <v>0</v>
      </c>
      <c r="R114" s="38">
        <f>('Raw Data'!F116+Bill!$R$2)*Bill!$AF114</f>
        <v>0</v>
      </c>
      <c r="S114" s="48">
        <f>('Raw Data'!G116/100)*Bill!$AG114</f>
        <v>0</v>
      </c>
      <c r="T114" s="38">
        <f>SUM(Bill!$L114:$R114)</f>
        <v>5657.5</v>
      </c>
      <c r="U114" s="49">
        <v>5676.0</v>
      </c>
      <c r="V114" s="50"/>
      <c r="W114" s="38">
        <f>Bill!$U114-Bill!$T114</f>
        <v>18.5</v>
      </c>
      <c r="Y114" s="37">
        <f>'Raw Data'!D116</f>
        <v>45672</v>
      </c>
      <c r="Z114" s="41">
        <v>0.0</v>
      </c>
      <c r="AA114" s="47">
        <v>4.85</v>
      </c>
      <c r="AB114" s="47">
        <v>15.2</v>
      </c>
      <c r="AC114" s="47">
        <v>6.0</v>
      </c>
      <c r="AD114" s="47">
        <v>2.2</v>
      </c>
      <c r="AE114" s="47">
        <v>4.0</v>
      </c>
      <c r="AF114" s="47">
        <v>0.0</v>
      </c>
      <c r="AG114" s="47">
        <v>0.0</v>
      </c>
    </row>
    <row r="115" ht="15.75" customHeight="1">
      <c r="A115" s="35">
        <f>Bill!$Y115</f>
        <v>45673</v>
      </c>
      <c r="B115" s="43">
        <f>'Raw Data'!E117+Bill!$L$2</f>
        <v>156</v>
      </c>
      <c r="C115" s="43">
        <f>'Raw Data'!E117+Bill!$M$2</f>
        <v>161</v>
      </c>
      <c r="D115" s="43">
        <f>('Raw Data'!$F117*2)-10</f>
        <v>246</v>
      </c>
      <c r="E115" s="43">
        <f>'Raw Data'!F117+Bill!$O$2</f>
        <v>148</v>
      </c>
      <c r="F115" s="43">
        <f>'Raw Data'!F117+Bill!$P$2</f>
        <v>153</v>
      </c>
      <c r="G115" s="43"/>
      <c r="H115" s="43">
        <f>('Raw Data'!F117+Bill!$R$2)</f>
        <v>148</v>
      </c>
      <c r="I115" s="36">
        <f>'Raw Data'!G117/100</f>
        <v>5.4</v>
      </c>
      <c r="K115" s="37">
        <f>Bill!$Y115</f>
        <v>45673</v>
      </c>
      <c r="L115" s="38">
        <f>Bill!$AA115*('Raw Data'!$E117+$L$2)</f>
        <v>1599</v>
      </c>
      <c r="M115" s="38">
        <f>Bill!$AB115*('Raw Data'!$E117+$M$2)</f>
        <v>2431.1</v>
      </c>
      <c r="N115" s="38">
        <f>(('Raw Data'!$F117 * 2)-10)*Bill!$AC115</f>
        <v>1230</v>
      </c>
      <c r="O115" s="38">
        <f>('Raw Data'!F117+Bill!$O$2)*Bill!$AD115</f>
        <v>0</v>
      </c>
      <c r="P115" s="38">
        <f>('Raw Data'!F117+Bill!$P$2)*Bill!$AE115</f>
        <v>612</v>
      </c>
      <c r="Q115" s="38">
        <f>Bill!$Z115*('Raw Data'!$E117+$Q$2)</f>
        <v>0</v>
      </c>
      <c r="R115" s="38">
        <f>('Raw Data'!F117+Bill!$R$2)*Bill!$AF115</f>
        <v>574.24</v>
      </c>
      <c r="S115" s="48">
        <f>('Raw Data'!G117/100)*Bill!$AG115</f>
        <v>0</v>
      </c>
      <c r="T115" s="38">
        <f>SUM(Bill!$L115:$R115)</f>
        <v>6446.34</v>
      </c>
      <c r="U115" s="49">
        <v>6462.0</v>
      </c>
      <c r="V115" s="50"/>
      <c r="W115" s="38">
        <f>Bill!$U115-Bill!$T115</f>
        <v>15.66</v>
      </c>
      <c r="Y115" s="37">
        <f>'Raw Data'!D117</f>
        <v>45673</v>
      </c>
      <c r="Z115" s="41">
        <v>0.0</v>
      </c>
      <c r="AA115" s="47">
        <v>10.25</v>
      </c>
      <c r="AB115" s="47">
        <v>15.1</v>
      </c>
      <c r="AC115" s="47">
        <v>5.0</v>
      </c>
      <c r="AD115" s="47">
        <v>0.0</v>
      </c>
      <c r="AE115" s="47">
        <v>4.0</v>
      </c>
      <c r="AF115" s="47">
        <v>3.88</v>
      </c>
      <c r="AG115" s="47">
        <v>0.0</v>
      </c>
    </row>
    <row r="116" ht="15.75" customHeight="1">
      <c r="A116" s="35">
        <f>Bill!$Y116</f>
        <v>45674</v>
      </c>
      <c r="B116" s="43">
        <f>'Raw Data'!E118+Bill!$L$2</f>
        <v>156</v>
      </c>
      <c r="C116" s="43">
        <f>'Raw Data'!E118+Bill!$M$2</f>
        <v>161</v>
      </c>
      <c r="D116" s="43">
        <f>('Raw Data'!$F118*2)-10</f>
        <v>246</v>
      </c>
      <c r="E116" s="43">
        <f>'Raw Data'!F118+Bill!$O$2</f>
        <v>148</v>
      </c>
      <c r="F116" s="43">
        <f>'Raw Data'!F118+Bill!$P$2</f>
        <v>153</v>
      </c>
      <c r="G116" s="43"/>
      <c r="H116" s="43">
        <f>('Raw Data'!F118+Bill!$R$2)</f>
        <v>148</v>
      </c>
      <c r="I116" s="36">
        <f>'Raw Data'!G118/100</f>
        <v>5.4</v>
      </c>
      <c r="K116" s="37">
        <f>Bill!$Y116</f>
        <v>45674</v>
      </c>
      <c r="L116" s="38">
        <f>Bill!$AA116*('Raw Data'!$E118+$L$2)</f>
        <v>0</v>
      </c>
      <c r="M116" s="38">
        <f>Bill!$AB116*('Raw Data'!$E118+$M$2)</f>
        <v>1304.1</v>
      </c>
      <c r="N116" s="38">
        <f>(('Raw Data'!$F118 * 2)-10)*Bill!$AC116</f>
        <v>1230</v>
      </c>
      <c r="O116" s="38">
        <f>('Raw Data'!F118+Bill!$O$2)*Bill!$AD116</f>
        <v>296</v>
      </c>
      <c r="P116" s="38">
        <f>('Raw Data'!F118+Bill!$P$2)*Bill!$AE116</f>
        <v>306</v>
      </c>
      <c r="Q116" s="38">
        <f>Bill!$Z116*('Raw Data'!$E118+$Q$2)</f>
        <v>0</v>
      </c>
      <c r="R116" s="38">
        <f>('Raw Data'!F118+Bill!$R$2)*Bill!$AF116</f>
        <v>0</v>
      </c>
      <c r="S116" s="48">
        <f>('Raw Data'!G118/100)*Bill!$AG116</f>
        <v>0</v>
      </c>
      <c r="T116" s="38">
        <f>SUM(Bill!$L116:$R116)</f>
        <v>3136.1</v>
      </c>
      <c r="U116" s="49">
        <v>3126.0</v>
      </c>
      <c r="V116" s="50"/>
      <c r="W116" s="38">
        <f>Bill!$U116-Bill!$T116</f>
        <v>-10.1</v>
      </c>
      <c r="Y116" s="37">
        <f>'Raw Data'!D118</f>
        <v>45674</v>
      </c>
      <c r="Z116" s="41">
        <v>0.0</v>
      </c>
      <c r="AA116" s="47">
        <v>0.0</v>
      </c>
      <c r="AB116" s="47">
        <v>8.1</v>
      </c>
      <c r="AC116" s="47">
        <v>5.0</v>
      </c>
      <c r="AD116" s="47">
        <v>2.0</v>
      </c>
      <c r="AE116" s="47">
        <v>2.0</v>
      </c>
      <c r="AF116" s="47">
        <v>0.0</v>
      </c>
      <c r="AG116" s="47">
        <v>0.0</v>
      </c>
    </row>
    <row r="117" ht="15.75" customHeight="1">
      <c r="A117" s="35">
        <f>Bill!$Y117</f>
        <v>45675</v>
      </c>
      <c r="B117" s="43">
        <f>'Raw Data'!E119+Bill!$L$2</f>
        <v>156</v>
      </c>
      <c r="C117" s="43">
        <f>'Raw Data'!E119+Bill!$M$2</f>
        <v>161</v>
      </c>
      <c r="D117" s="43">
        <f>('Raw Data'!$F119*2)-10</f>
        <v>242</v>
      </c>
      <c r="E117" s="43">
        <f>'Raw Data'!F119+Bill!$O$2</f>
        <v>146</v>
      </c>
      <c r="F117" s="43">
        <f>'Raw Data'!F119+Bill!$P$2</f>
        <v>151</v>
      </c>
      <c r="G117" s="43"/>
      <c r="H117" s="43">
        <f>('Raw Data'!F119+Bill!$R$2)</f>
        <v>146</v>
      </c>
      <c r="I117" s="36">
        <f>'Raw Data'!G119/100</f>
        <v>5.45</v>
      </c>
      <c r="K117" s="37">
        <f>Bill!$Y117</f>
        <v>45675</v>
      </c>
      <c r="L117" s="38">
        <f>Bill!$AA117*('Raw Data'!$E119+$L$2)</f>
        <v>0</v>
      </c>
      <c r="M117" s="38">
        <f>Bill!$AB117*('Raw Data'!$E119+$M$2)</f>
        <v>2898</v>
      </c>
      <c r="N117" s="38">
        <f>(('Raw Data'!$F119 * 2)-10)*Bill!$AC117</f>
        <v>1936</v>
      </c>
      <c r="O117" s="38">
        <f>('Raw Data'!F119+Bill!$O$2)*Bill!$AD117</f>
        <v>489.1</v>
      </c>
      <c r="P117" s="38">
        <f>('Raw Data'!F119+Bill!$P$2)*Bill!$AE117</f>
        <v>302</v>
      </c>
      <c r="Q117" s="38">
        <f>Bill!$Z117*('Raw Data'!$E119+$Q$2)</f>
        <v>0</v>
      </c>
      <c r="R117" s="38">
        <f>('Raw Data'!F119+Bill!$R$2)*Bill!$AF117</f>
        <v>0</v>
      </c>
      <c r="S117" s="48">
        <f>('Raw Data'!G119/100)*Bill!$AG117</f>
        <v>0</v>
      </c>
      <c r="T117" s="38">
        <f>SUM(Bill!$L117:$R117)</f>
        <v>5625.1</v>
      </c>
      <c r="U117" s="49">
        <v>5635.0</v>
      </c>
      <c r="V117" s="50"/>
      <c r="W117" s="38">
        <f>Bill!$U117-Bill!$T117</f>
        <v>9.9</v>
      </c>
      <c r="Y117" s="37">
        <f>'Raw Data'!D119</f>
        <v>45675</v>
      </c>
      <c r="Z117" s="41">
        <v>0.0</v>
      </c>
      <c r="AA117" s="47">
        <v>0.0</v>
      </c>
      <c r="AB117" s="47">
        <v>18.0</v>
      </c>
      <c r="AC117" s="47">
        <v>8.0</v>
      </c>
      <c r="AD117" s="47">
        <v>3.35</v>
      </c>
      <c r="AE117" s="47">
        <v>2.0</v>
      </c>
      <c r="AF117" s="47">
        <v>0.0</v>
      </c>
      <c r="AG117" s="47">
        <v>0.0</v>
      </c>
    </row>
    <row r="118" ht="15.75" customHeight="1">
      <c r="A118" s="35">
        <f>Bill!$Y118</f>
        <v>45676</v>
      </c>
      <c r="B118" s="43">
        <f>'Raw Data'!E120+Bill!$L$2</f>
        <v>156</v>
      </c>
      <c r="C118" s="43">
        <f>'Raw Data'!E120+Bill!$M$2</f>
        <v>161</v>
      </c>
      <c r="D118" s="43">
        <f>('Raw Data'!$F120*2)-10</f>
        <v>242</v>
      </c>
      <c r="E118" s="43">
        <f>'Raw Data'!F120+Bill!$O$2</f>
        <v>146</v>
      </c>
      <c r="F118" s="43">
        <f>'Raw Data'!F120+Bill!$P$2</f>
        <v>151</v>
      </c>
      <c r="G118" s="43"/>
      <c r="H118" s="43">
        <f>('Raw Data'!F120+Bill!$R$2)</f>
        <v>146</v>
      </c>
      <c r="I118" s="36">
        <f>'Raw Data'!G120/100</f>
        <v>5.5</v>
      </c>
      <c r="K118" s="37">
        <f>Bill!$Y118</f>
        <v>45676</v>
      </c>
      <c r="L118" s="38">
        <f>Bill!$AA118*('Raw Data'!$E120+$L$2)</f>
        <v>2761.2</v>
      </c>
      <c r="M118" s="38">
        <f>Bill!$AB118*('Raw Data'!$E120+$M$2)</f>
        <v>966</v>
      </c>
      <c r="N118" s="38">
        <f>(('Raw Data'!$F120 * 2)-10)*Bill!$AC118</f>
        <v>726</v>
      </c>
      <c r="O118" s="38">
        <f>('Raw Data'!F120+Bill!$O$2)*Bill!$AD118</f>
        <v>0</v>
      </c>
      <c r="P118" s="38">
        <f>('Raw Data'!F120+Bill!$P$2)*Bill!$AE118</f>
        <v>302</v>
      </c>
      <c r="Q118" s="38">
        <f>Bill!$Z118*('Raw Data'!$E120+$Q$2)</f>
        <v>0</v>
      </c>
      <c r="R118" s="38">
        <f>('Raw Data'!F120+Bill!$R$2)*Bill!$AF118</f>
        <v>0</v>
      </c>
      <c r="S118" s="48">
        <f>('Raw Data'!G120/100)*Bill!$AG118</f>
        <v>1155</v>
      </c>
      <c r="T118" s="38">
        <f>SUM(Bill!$L118:$R118)</f>
        <v>4755.2</v>
      </c>
      <c r="U118" s="49">
        <v>4765.0</v>
      </c>
      <c r="V118" s="50"/>
      <c r="W118" s="38">
        <f>Bill!$U118-Bill!$T118</f>
        <v>9.8</v>
      </c>
      <c r="Y118" s="37">
        <f>'Raw Data'!D120</f>
        <v>45676</v>
      </c>
      <c r="Z118" s="41">
        <v>0.0</v>
      </c>
      <c r="AA118" s="47">
        <v>17.7</v>
      </c>
      <c r="AB118" s="47">
        <v>6.0</v>
      </c>
      <c r="AC118" s="47">
        <v>3.0</v>
      </c>
      <c r="AD118" s="47">
        <v>0.0</v>
      </c>
      <c r="AE118" s="47">
        <v>2.0</v>
      </c>
      <c r="AF118" s="47">
        <v>0.0</v>
      </c>
      <c r="AG118" s="47">
        <v>210.0</v>
      </c>
    </row>
    <row r="119" ht="15.75" customHeight="1">
      <c r="A119" s="35">
        <f>Bill!$Y119</f>
        <v>45677</v>
      </c>
      <c r="B119" s="43">
        <f>'Raw Data'!E121+Bill!$L$2</f>
        <v>156</v>
      </c>
      <c r="C119" s="43">
        <f>'Raw Data'!E121+Bill!$M$2</f>
        <v>161</v>
      </c>
      <c r="D119" s="43">
        <f>('Raw Data'!$F121*2)-10</f>
        <v>242</v>
      </c>
      <c r="E119" s="43">
        <f>'Raw Data'!F121+Bill!$O$2</f>
        <v>146</v>
      </c>
      <c r="F119" s="43">
        <f>'Raw Data'!F121+Bill!$P$2</f>
        <v>151</v>
      </c>
      <c r="G119" s="43"/>
      <c r="H119" s="43">
        <f>('Raw Data'!F121+Bill!$R$2)</f>
        <v>146</v>
      </c>
      <c r="I119" s="36">
        <f>'Raw Data'!G121/100</f>
        <v>5.5</v>
      </c>
      <c r="K119" s="37">
        <f>Bill!$Y119</f>
        <v>45677</v>
      </c>
      <c r="L119" s="38">
        <f>Bill!$AA119*('Raw Data'!$E121+$L$2)</f>
        <v>0</v>
      </c>
      <c r="M119" s="38">
        <f>Bill!$AB119*('Raw Data'!$E121+$M$2)</f>
        <v>982.1</v>
      </c>
      <c r="N119" s="38">
        <f>(('Raw Data'!$F121 * 2)-10)*Bill!$AC119</f>
        <v>1452</v>
      </c>
      <c r="O119" s="38">
        <f>('Raw Data'!F121+Bill!$O$2)*Bill!$AD119</f>
        <v>0</v>
      </c>
      <c r="P119" s="38">
        <f>('Raw Data'!F121+Bill!$P$2)*Bill!$AE119</f>
        <v>302</v>
      </c>
      <c r="Q119" s="38">
        <f>Bill!$Z119*('Raw Data'!$E121+$Q$2)</f>
        <v>0</v>
      </c>
      <c r="R119" s="38">
        <f>('Raw Data'!F121+Bill!$R$2)*Bill!$AF119</f>
        <v>0</v>
      </c>
      <c r="S119" s="48">
        <f>('Raw Data'!G121/100)*Bill!$AG119</f>
        <v>0</v>
      </c>
      <c r="T119" s="38">
        <f>SUM(Bill!$L119:$R119)</f>
        <v>2736.1</v>
      </c>
      <c r="U119" s="49">
        <v>2746.0</v>
      </c>
      <c r="V119" s="50"/>
      <c r="W119" s="38">
        <f>Bill!$U119-Bill!$T119</f>
        <v>9.9</v>
      </c>
      <c r="Y119" s="37">
        <f>'Raw Data'!D121</f>
        <v>45677</v>
      </c>
      <c r="Z119" s="41">
        <v>0.0</v>
      </c>
      <c r="AA119" s="47">
        <v>0.0</v>
      </c>
      <c r="AB119" s="47">
        <v>6.1</v>
      </c>
      <c r="AC119" s="47">
        <v>6.0</v>
      </c>
      <c r="AD119" s="47">
        <v>0.0</v>
      </c>
      <c r="AE119" s="47">
        <v>2.0</v>
      </c>
      <c r="AF119" s="47">
        <v>0.0</v>
      </c>
      <c r="AG119" s="47">
        <v>0.0</v>
      </c>
    </row>
    <row r="120" ht="15.75" customHeight="1">
      <c r="A120" s="35">
        <f>Bill!$Y120</f>
        <v>45678</v>
      </c>
      <c r="B120" s="43">
        <f>'Raw Data'!E122+Bill!$L$2</f>
        <v>156</v>
      </c>
      <c r="C120" s="43">
        <f>'Raw Data'!E122+Bill!$M$2</f>
        <v>161</v>
      </c>
      <c r="D120" s="43">
        <f>('Raw Data'!$F122*2)-10</f>
        <v>246</v>
      </c>
      <c r="E120" s="43">
        <f>'Raw Data'!F122+Bill!$O$2</f>
        <v>148</v>
      </c>
      <c r="F120" s="43">
        <f>'Raw Data'!F122+Bill!$P$2</f>
        <v>153</v>
      </c>
      <c r="G120" s="43"/>
      <c r="H120" s="43">
        <f>('Raw Data'!F122+Bill!$R$2)</f>
        <v>148</v>
      </c>
      <c r="I120" s="36">
        <f>'Raw Data'!G122/100</f>
        <v>5.5</v>
      </c>
      <c r="K120" s="37">
        <f>Bill!$Y120</f>
        <v>45678</v>
      </c>
      <c r="L120" s="38">
        <f>Bill!$AA120*('Raw Data'!$E122+$L$2)</f>
        <v>1653.6</v>
      </c>
      <c r="M120" s="38">
        <f>Bill!$AB120*('Raw Data'!$E122+$M$2)</f>
        <v>1610</v>
      </c>
      <c r="N120" s="38">
        <f>(('Raw Data'!$F122 * 2)-10)*Bill!$AC120</f>
        <v>1230</v>
      </c>
      <c r="O120" s="38">
        <f>('Raw Data'!F122+Bill!$O$2)*Bill!$AD120</f>
        <v>0</v>
      </c>
      <c r="P120" s="38">
        <f>('Raw Data'!F122+Bill!$P$2)*Bill!$AE120</f>
        <v>459</v>
      </c>
      <c r="Q120" s="38">
        <f>Bill!$Z120*('Raw Data'!$E122+$Q$2)</f>
        <v>0</v>
      </c>
      <c r="R120" s="38">
        <f>('Raw Data'!F122+Bill!$R$2)*Bill!$AF120</f>
        <v>0</v>
      </c>
      <c r="S120" s="48">
        <f>('Raw Data'!G122/100)*Bill!$AG120</f>
        <v>0</v>
      </c>
      <c r="T120" s="38">
        <f>SUM(Bill!$L120:$R120)</f>
        <v>4952.6</v>
      </c>
      <c r="U120" s="49">
        <v>4967.0</v>
      </c>
      <c r="V120" s="50"/>
      <c r="W120" s="38">
        <f>Bill!$U120-Bill!$T120</f>
        <v>14.4</v>
      </c>
      <c r="Y120" s="37">
        <f>'Raw Data'!D122</f>
        <v>45678</v>
      </c>
      <c r="Z120" s="41">
        <v>0.0</v>
      </c>
      <c r="AA120" s="47">
        <v>10.6</v>
      </c>
      <c r="AB120" s="47">
        <v>10.0</v>
      </c>
      <c r="AC120" s="47">
        <v>5.0</v>
      </c>
      <c r="AD120" s="47">
        <v>0.0</v>
      </c>
      <c r="AE120" s="47">
        <v>3.0</v>
      </c>
      <c r="AF120" s="47">
        <v>0.0</v>
      </c>
      <c r="AG120" s="47">
        <v>0.0</v>
      </c>
    </row>
    <row r="121" ht="15.75" customHeight="1">
      <c r="A121" s="35">
        <f>Bill!$Y121</f>
        <v>45679</v>
      </c>
      <c r="B121" s="43">
        <f>'Raw Data'!E123+Bill!$L$2</f>
        <v>156</v>
      </c>
      <c r="C121" s="43">
        <f>'Raw Data'!E123+Bill!$M$2</f>
        <v>161</v>
      </c>
      <c r="D121" s="43">
        <f>('Raw Data'!$F123*2)-10</f>
        <v>250</v>
      </c>
      <c r="E121" s="43">
        <f>'Raw Data'!F123+Bill!$O$2</f>
        <v>150</v>
      </c>
      <c r="F121" s="43">
        <f>'Raw Data'!F123+Bill!$P$2</f>
        <v>155</v>
      </c>
      <c r="G121" s="43"/>
      <c r="H121" s="43">
        <f>('Raw Data'!F123+Bill!$R$2)</f>
        <v>150</v>
      </c>
      <c r="I121" s="36">
        <f>'Raw Data'!G123/100</f>
        <v>5.5</v>
      </c>
      <c r="K121" s="37">
        <f>Bill!$Y121</f>
        <v>45679</v>
      </c>
      <c r="L121" s="38">
        <f>Bill!$AA121*('Raw Data'!$E123+$L$2)</f>
        <v>1848.6</v>
      </c>
      <c r="M121" s="38">
        <f>Bill!$AB121*('Raw Data'!$E123+$M$2)</f>
        <v>1964.2</v>
      </c>
      <c r="N121" s="38">
        <f>(('Raw Data'!$F123 * 2)-10)*Bill!$AC121</f>
        <v>1500</v>
      </c>
      <c r="O121" s="38">
        <f>('Raw Data'!F123+Bill!$O$2)*Bill!$AD121</f>
        <v>0</v>
      </c>
      <c r="P121" s="38">
        <f>('Raw Data'!F123+Bill!$P$2)*Bill!$AE121</f>
        <v>325.5</v>
      </c>
      <c r="Q121" s="38">
        <f>Bill!$Z121*('Raw Data'!$E123+$Q$2)</f>
        <v>0</v>
      </c>
      <c r="R121" s="38">
        <f>('Raw Data'!F123+Bill!$R$2)*Bill!$AF121</f>
        <v>0</v>
      </c>
      <c r="S121" s="48">
        <f>('Raw Data'!G123/100)*Bill!$AG121</f>
        <v>825</v>
      </c>
      <c r="T121" s="38">
        <f>SUM(Bill!$L121:$R121)</f>
        <v>5638.3</v>
      </c>
      <c r="U121" s="49">
        <v>5627.0</v>
      </c>
      <c r="V121" s="50"/>
      <c r="W121" s="38">
        <f>Bill!$U121-Bill!$T121</f>
        <v>-11.3</v>
      </c>
      <c r="Y121" s="37">
        <f>'Raw Data'!D123</f>
        <v>45679</v>
      </c>
      <c r="Z121" s="41">
        <v>0.0</v>
      </c>
      <c r="AA121" s="47">
        <v>11.85</v>
      </c>
      <c r="AB121" s="47">
        <v>12.2</v>
      </c>
      <c r="AC121" s="47">
        <v>6.0</v>
      </c>
      <c r="AD121" s="47">
        <v>0.0</v>
      </c>
      <c r="AE121" s="47">
        <v>2.1</v>
      </c>
      <c r="AF121" s="47">
        <v>0.0</v>
      </c>
      <c r="AG121" s="47">
        <v>150.0</v>
      </c>
    </row>
    <row r="122" ht="15.75" customHeight="1">
      <c r="A122" s="35">
        <f>Bill!$Y122</f>
        <v>45680</v>
      </c>
      <c r="B122" s="43">
        <f>'Raw Data'!E124+Bill!$L$2</f>
        <v>156</v>
      </c>
      <c r="C122" s="43">
        <f>'Raw Data'!E124+Bill!$M$2</f>
        <v>161</v>
      </c>
      <c r="D122" s="43">
        <f>('Raw Data'!$F124*2)-10</f>
        <v>254</v>
      </c>
      <c r="E122" s="43">
        <f>'Raw Data'!F124+Bill!$O$2</f>
        <v>152</v>
      </c>
      <c r="F122" s="43">
        <f>'Raw Data'!F124+Bill!$P$2</f>
        <v>157</v>
      </c>
      <c r="G122" s="43"/>
      <c r="H122" s="43">
        <f>('Raw Data'!F124+Bill!$R$2)</f>
        <v>152</v>
      </c>
      <c r="I122" s="36">
        <f>'Raw Data'!G124/100</f>
        <v>5.5</v>
      </c>
      <c r="K122" s="37">
        <f>Bill!$Y122</f>
        <v>45680</v>
      </c>
      <c r="L122" s="38">
        <f>Bill!$AA122*('Raw Data'!$E124+$L$2)</f>
        <v>1146.6</v>
      </c>
      <c r="M122" s="38">
        <f>Bill!$AB122*('Raw Data'!$E124+$M$2)</f>
        <v>2447.2</v>
      </c>
      <c r="N122" s="38">
        <f>(('Raw Data'!$F124 * 2)-10)*Bill!$AC122</f>
        <v>2032</v>
      </c>
      <c r="O122" s="38">
        <f>('Raw Data'!F124+Bill!$O$2)*Bill!$AD122</f>
        <v>304</v>
      </c>
      <c r="P122" s="38">
        <f>('Raw Data'!F124+Bill!$P$2)*Bill!$AE122</f>
        <v>628</v>
      </c>
      <c r="Q122" s="38">
        <f>Bill!$Z122*('Raw Data'!$E124+$Q$2)</f>
        <v>0</v>
      </c>
      <c r="R122" s="38">
        <f>('Raw Data'!F124+Bill!$R$2)*Bill!$AF122</f>
        <v>0</v>
      </c>
      <c r="S122" s="48">
        <f>('Raw Data'!G124/100)*Bill!$AG122</f>
        <v>0</v>
      </c>
      <c r="T122" s="38">
        <f>SUM(Bill!$L122:$R122)</f>
        <v>6557.8</v>
      </c>
      <c r="U122" s="49">
        <v>6577.0</v>
      </c>
      <c r="V122" s="50"/>
      <c r="W122" s="38">
        <f>Bill!$U122-Bill!$T122</f>
        <v>19.2</v>
      </c>
      <c r="Y122" s="37">
        <f>'Raw Data'!D124</f>
        <v>45680</v>
      </c>
      <c r="Z122" s="41">
        <v>0.0</v>
      </c>
      <c r="AA122" s="47">
        <v>7.35</v>
      </c>
      <c r="AB122" s="47">
        <v>15.2</v>
      </c>
      <c r="AC122" s="47">
        <v>8.0</v>
      </c>
      <c r="AD122" s="47">
        <v>2.0</v>
      </c>
      <c r="AE122" s="47">
        <v>4.0</v>
      </c>
      <c r="AF122" s="47">
        <v>0.0</v>
      </c>
      <c r="AG122" s="47">
        <v>0.0</v>
      </c>
    </row>
    <row r="123" ht="15.75" customHeight="1">
      <c r="A123" s="35">
        <f>Bill!$Y123</f>
        <v>45681</v>
      </c>
      <c r="B123" s="43">
        <f>'Raw Data'!E125+Bill!$L$2</f>
        <v>156</v>
      </c>
      <c r="C123" s="43">
        <f>'Raw Data'!E125+Bill!$M$2</f>
        <v>161</v>
      </c>
      <c r="D123" s="43">
        <f>('Raw Data'!$F125*2)-10</f>
        <v>254</v>
      </c>
      <c r="E123" s="43">
        <f>'Raw Data'!F125+Bill!$O$2</f>
        <v>152</v>
      </c>
      <c r="F123" s="43">
        <f>'Raw Data'!F125+Bill!$P$2</f>
        <v>157</v>
      </c>
      <c r="G123" s="43"/>
      <c r="H123" s="43">
        <f>('Raw Data'!F125+Bill!$R$2)</f>
        <v>152</v>
      </c>
      <c r="I123" s="36">
        <f>'Raw Data'!G125/100</f>
        <v>5.4</v>
      </c>
      <c r="K123" s="37">
        <f>Bill!$Y123</f>
        <v>45681</v>
      </c>
      <c r="L123" s="38">
        <f>Bill!$AA123*('Raw Data'!$E125+$L$2)</f>
        <v>1560</v>
      </c>
      <c r="M123" s="38">
        <f>Bill!$AB123*('Raw Data'!$E125+$M$2)</f>
        <v>805</v>
      </c>
      <c r="N123" s="38">
        <f>(('Raw Data'!$F125 * 2)-10)*Bill!$AC123</f>
        <v>1524</v>
      </c>
      <c r="O123" s="38">
        <f>('Raw Data'!F125+Bill!$O$2)*Bill!$AD123</f>
        <v>0</v>
      </c>
      <c r="P123" s="38">
        <f>('Raw Data'!F125+Bill!$P$2)*Bill!$AE123</f>
        <v>314</v>
      </c>
      <c r="Q123" s="38">
        <f>Bill!$Z123*('Raw Data'!$E125+$Q$2)</f>
        <v>0</v>
      </c>
      <c r="R123" s="38">
        <f>('Raw Data'!F125+Bill!$R$2)*Bill!$AF123</f>
        <v>0</v>
      </c>
      <c r="S123" s="48">
        <f>('Raw Data'!G125/100)*Bill!$AG123</f>
        <v>0</v>
      </c>
      <c r="T123" s="38">
        <f>SUM(Bill!$L123:$R123)</f>
        <v>4203</v>
      </c>
      <c r="U123" s="49">
        <v>4243.0</v>
      </c>
      <c r="V123" s="50"/>
      <c r="W123" s="38">
        <f>Bill!$U123-Bill!$T123</f>
        <v>40</v>
      </c>
      <c r="Y123" s="37">
        <f>'Raw Data'!D125</f>
        <v>45681</v>
      </c>
      <c r="Z123" s="41">
        <v>0.0</v>
      </c>
      <c r="AA123" s="47">
        <v>10.0</v>
      </c>
      <c r="AB123" s="47">
        <v>5.0</v>
      </c>
      <c r="AC123" s="47">
        <v>6.0</v>
      </c>
      <c r="AD123" s="47">
        <v>0.0</v>
      </c>
      <c r="AE123" s="47">
        <v>2.0</v>
      </c>
      <c r="AF123" s="47">
        <v>0.0</v>
      </c>
      <c r="AG123" s="47">
        <v>0.0</v>
      </c>
    </row>
    <row r="124" ht="15.75" customHeight="1">
      <c r="A124" s="35">
        <f>Bill!$Y124</f>
        <v>45682</v>
      </c>
      <c r="B124" s="43">
        <f>'Raw Data'!E126+Bill!$L$2</f>
        <v>158</v>
      </c>
      <c r="C124" s="43">
        <f>'Raw Data'!E126+Bill!$M$2</f>
        <v>163</v>
      </c>
      <c r="D124" s="43">
        <f>('Raw Data'!$F126*2)-10</f>
        <v>254</v>
      </c>
      <c r="E124" s="43">
        <f>'Raw Data'!F126+Bill!$O$2</f>
        <v>152</v>
      </c>
      <c r="F124" s="43">
        <f>'Raw Data'!F126+Bill!$P$2</f>
        <v>157</v>
      </c>
      <c r="G124" s="43"/>
      <c r="H124" s="43">
        <f>('Raw Data'!F126+Bill!$R$2)</f>
        <v>152</v>
      </c>
      <c r="I124" s="36">
        <f>'Raw Data'!G126/100</f>
        <v>5.3</v>
      </c>
      <c r="K124" s="37">
        <f>Bill!$Y124</f>
        <v>45682</v>
      </c>
      <c r="L124" s="38">
        <f>Bill!$AA124*('Raw Data'!$E126+$L$2)</f>
        <v>0</v>
      </c>
      <c r="M124" s="38">
        <f>Bill!$AB124*('Raw Data'!$E126+$M$2)</f>
        <v>863.9</v>
      </c>
      <c r="N124" s="38">
        <f>(('Raw Data'!$F126 * 2)-10)*Bill!$AC124</f>
        <v>1016</v>
      </c>
      <c r="O124" s="38">
        <f>('Raw Data'!F126+Bill!$O$2)*Bill!$AD124</f>
        <v>0</v>
      </c>
      <c r="P124" s="38">
        <f>('Raw Data'!F126+Bill!$P$2)*Bill!$AE124</f>
        <v>0</v>
      </c>
      <c r="Q124" s="38">
        <f>Bill!$Z124*('Raw Data'!$E126+$Q$2)</f>
        <v>0</v>
      </c>
      <c r="R124" s="38">
        <f>('Raw Data'!F126+Bill!$R$2)*Bill!$AF124</f>
        <v>0</v>
      </c>
      <c r="S124" s="48">
        <f>('Raw Data'!G126/100)*Bill!$AG124</f>
        <v>0</v>
      </c>
      <c r="T124" s="38">
        <f>SUM(Bill!$L124:$R124)</f>
        <v>1879.9</v>
      </c>
      <c r="U124" s="49">
        <v>1928.0</v>
      </c>
      <c r="V124" s="50"/>
      <c r="W124" s="38">
        <f>Bill!$U124-Bill!$T124</f>
        <v>48.1</v>
      </c>
      <c r="Y124" s="37">
        <f>'Raw Data'!D126</f>
        <v>45682</v>
      </c>
      <c r="Z124" s="41">
        <v>0.0</v>
      </c>
      <c r="AA124" s="47">
        <v>0.0</v>
      </c>
      <c r="AB124" s="47">
        <v>5.3</v>
      </c>
      <c r="AC124" s="47">
        <v>4.0</v>
      </c>
      <c r="AD124" s="47">
        <v>0.0</v>
      </c>
      <c r="AE124" s="47">
        <v>0.0</v>
      </c>
      <c r="AF124" s="47">
        <v>0.0</v>
      </c>
      <c r="AG124" s="47">
        <v>0.0</v>
      </c>
    </row>
    <row r="125" ht="15.75" customHeight="1">
      <c r="A125" s="35">
        <f>Bill!$Y125</f>
        <v>45683</v>
      </c>
      <c r="B125" s="43">
        <f>'Raw Data'!E127+Bill!$L$2</f>
        <v>158</v>
      </c>
      <c r="C125" s="43">
        <f>'Raw Data'!E127+Bill!$M$2</f>
        <v>163</v>
      </c>
      <c r="D125" s="43">
        <f>('Raw Data'!$F127*2)-10</f>
        <v>254</v>
      </c>
      <c r="E125" s="43">
        <f>'Raw Data'!F127+Bill!$O$2</f>
        <v>152</v>
      </c>
      <c r="F125" s="43">
        <f>'Raw Data'!F127+Bill!$P$2</f>
        <v>157</v>
      </c>
      <c r="G125" s="43"/>
      <c r="H125" s="43">
        <f>('Raw Data'!F127+Bill!$R$2)</f>
        <v>152</v>
      </c>
      <c r="I125" s="36">
        <f>'Raw Data'!G127/100</f>
        <v>5.3</v>
      </c>
      <c r="K125" s="37">
        <f>Bill!$Y125</f>
        <v>45683</v>
      </c>
      <c r="L125" s="38">
        <f>Bill!$AA125*('Raw Data'!$E127+$L$2)</f>
        <v>1643.2</v>
      </c>
      <c r="M125" s="38">
        <f>Bill!$AB125*('Raw Data'!$E127+$M$2)</f>
        <v>3586</v>
      </c>
      <c r="N125" s="38">
        <f>(('Raw Data'!$F127 * 2)-10)*Bill!$AC125</f>
        <v>2032</v>
      </c>
      <c r="O125" s="38">
        <f>('Raw Data'!F127+Bill!$O$2)*Bill!$AD125</f>
        <v>349.6</v>
      </c>
      <c r="P125" s="38">
        <f>('Raw Data'!F127+Bill!$P$2)*Bill!$AE125</f>
        <v>628</v>
      </c>
      <c r="Q125" s="38">
        <f>Bill!$Z125*('Raw Data'!$E127+$Q$2)</f>
        <v>0</v>
      </c>
      <c r="R125" s="38">
        <f>('Raw Data'!F127+Bill!$R$2)*Bill!$AF125</f>
        <v>0</v>
      </c>
      <c r="S125" s="48">
        <f>('Raw Data'!G127/100)*Bill!$AG125</f>
        <v>1113</v>
      </c>
      <c r="T125" s="38">
        <f>SUM(Bill!$L125:$R125)</f>
        <v>8238.8</v>
      </c>
      <c r="U125" s="49">
        <v>8385.0</v>
      </c>
      <c r="V125" s="50"/>
      <c r="W125" s="38">
        <f>Bill!$U125-Bill!$T125</f>
        <v>146.2</v>
      </c>
      <c r="Y125" s="37">
        <f>'Raw Data'!D127</f>
        <v>45683</v>
      </c>
      <c r="Z125" s="41">
        <v>0.0</v>
      </c>
      <c r="AA125" s="47">
        <v>10.4</v>
      </c>
      <c r="AB125" s="47">
        <v>22.0</v>
      </c>
      <c r="AC125" s="47">
        <v>8.0</v>
      </c>
      <c r="AD125" s="47">
        <v>2.3</v>
      </c>
      <c r="AE125" s="47">
        <v>4.0</v>
      </c>
      <c r="AF125" s="47">
        <v>0.0</v>
      </c>
      <c r="AG125" s="47">
        <v>210.0</v>
      </c>
    </row>
    <row r="126" ht="15.75" customHeight="1">
      <c r="A126" s="35">
        <f>Bill!$Y126</f>
        <v>45684</v>
      </c>
      <c r="B126" s="43">
        <f>'Raw Data'!E128+Bill!$L$2</f>
        <v>158</v>
      </c>
      <c r="C126" s="43">
        <f>'Raw Data'!E128+Bill!$M$2</f>
        <v>163</v>
      </c>
      <c r="D126" s="43">
        <f>('Raw Data'!$F128*2)-10</f>
        <v>250</v>
      </c>
      <c r="E126" s="43">
        <f>'Raw Data'!F128+Bill!$O$2</f>
        <v>150</v>
      </c>
      <c r="F126" s="43">
        <f>'Raw Data'!F128+Bill!$P$2</f>
        <v>155</v>
      </c>
      <c r="G126" s="43"/>
      <c r="H126" s="43">
        <f>('Raw Data'!F128+Bill!$R$2)</f>
        <v>150</v>
      </c>
      <c r="I126" s="36">
        <f>'Raw Data'!G128/100</f>
        <v>5.3</v>
      </c>
      <c r="K126" s="37">
        <f>Bill!$Y126</f>
        <v>45684</v>
      </c>
      <c r="L126" s="38">
        <f>Bill!$AA126*('Raw Data'!$E128+$L$2)</f>
        <v>0</v>
      </c>
      <c r="M126" s="38">
        <f>Bill!$AB126*('Raw Data'!$E128+$M$2)</f>
        <v>1630</v>
      </c>
      <c r="N126" s="38">
        <f>(('Raw Data'!$F128 * 2)-10)*Bill!$AC126</f>
        <v>1500</v>
      </c>
      <c r="O126" s="38">
        <f>('Raw Data'!F128+Bill!$O$2)*Bill!$AD126</f>
        <v>0</v>
      </c>
      <c r="P126" s="38">
        <f>('Raw Data'!F128+Bill!$P$2)*Bill!$AE126</f>
        <v>310</v>
      </c>
      <c r="Q126" s="38">
        <f>Bill!$Z126*('Raw Data'!$E128+$Q$2)</f>
        <v>0</v>
      </c>
      <c r="R126" s="38">
        <f>('Raw Data'!F128+Bill!$R$2)*Bill!$AF126</f>
        <v>547.5</v>
      </c>
      <c r="S126" s="48">
        <f>('Raw Data'!G128/100)*Bill!$AG126</f>
        <v>0</v>
      </c>
      <c r="T126" s="38">
        <f>SUM(Bill!$L126:$R126)</f>
        <v>3987.5</v>
      </c>
      <c r="U126" s="49">
        <v>3997.0</v>
      </c>
      <c r="V126" s="50"/>
      <c r="W126" s="38">
        <f>Bill!$U126-Bill!$T126</f>
        <v>9.5</v>
      </c>
      <c r="Y126" s="37">
        <f>'Raw Data'!D128</f>
        <v>45684</v>
      </c>
      <c r="Z126" s="41">
        <v>0.0</v>
      </c>
      <c r="AA126" s="47">
        <v>0.0</v>
      </c>
      <c r="AB126" s="47">
        <v>10.0</v>
      </c>
      <c r="AC126" s="47">
        <v>6.0</v>
      </c>
      <c r="AD126" s="47">
        <v>0.0</v>
      </c>
      <c r="AE126" s="47">
        <v>2.0</v>
      </c>
      <c r="AF126" s="47">
        <v>3.65</v>
      </c>
      <c r="AG126" s="47">
        <v>0.0</v>
      </c>
    </row>
    <row r="127" ht="15.75" customHeight="1">
      <c r="A127" s="35">
        <f>Bill!$Y127</f>
        <v>45685</v>
      </c>
      <c r="B127" s="43">
        <f>'Raw Data'!E129+Bill!$L$2</f>
        <v>156</v>
      </c>
      <c r="C127" s="43">
        <f>'Raw Data'!E129+Bill!$M$2</f>
        <v>161</v>
      </c>
      <c r="D127" s="43">
        <f>('Raw Data'!$F129*2)-10</f>
        <v>246</v>
      </c>
      <c r="E127" s="43">
        <f>'Raw Data'!F129+Bill!$O$2</f>
        <v>148</v>
      </c>
      <c r="F127" s="43">
        <f>'Raw Data'!F129+Bill!$P$2</f>
        <v>153</v>
      </c>
      <c r="G127" s="43"/>
      <c r="H127" s="43">
        <f>('Raw Data'!F129+Bill!$R$2)</f>
        <v>148</v>
      </c>
      <c r="I127" s="36">
        <f>'Raw Data'!G129/100</f>
        <v>5.35</v>
      </c>
      <c r="K127" s="37">
        <f>Bill!$Y127</f>
        <v>45685</v>
      </c>
      <c r="L127" s="38">
        <f>Bill!$AA127*('Raw Data'!$E129+$L$2)</f>
        <v>1560</v>
      </c>
      <c r="M127" s="38">
        <f>Bill!$AB127*('Raw Data'!$E129+$M$2)</f>
        <v>676.2</v>
      </c>
      <c r="N127" s="38">
        <f>(('Raw Data'!$F129 * 2)-10)*Bill!$AC127</f>
        <v>1968</v>
      </c>
      <c r="O127" s="38">
        <f>('Raw Data'!F129+Bill!$O$2)*Bill!$AD127</f>
        <v>0</v>
      </c>
      <c r="P127" s="38">
        <f>('Raw Data'!F129+Bill!$P$2)*Bill!$AE127</f>
        <v>0</v>
      </c>
      <c r="Q127" s="38">
        <f>Bill!$Z127*('Raw Data'!$E129+$Q$2)</f>
        <v>0</v>
      </c>
      <c r="R127" s="38">
        <f>('Raw Data'!F129+Bill!$R$2)*Bill!$AF127</f>
        <v>0</v>
      </c>
      <c r="S127" s="48">
        <f>('Raw Data'!G129/100)*Bill!$AG127</f>
        <v>802.5</v>
      </c>
      <c r="T127" s="38">
        <f>SUM(Bill!$L127:$R127)</f>
        <v>4204.2</v>
      </c>
      <c r="U127" s="49">
        <v>4204.0</v>
      </c>
      <c r="V127" s="50"/>
      <c r="W127" s="38">
        <f>Bill!$U127-Bill!$T127</f>
        <v>-0.2</v>
      </c>
      <c r="Y127" s="37">
        <f>'Raw Data'!D129</f>
        <v>45685</v>
      </c>
      <c r="Z127" s="41">
        <v>0.0</v>
      </c>
      <c r="AA127" s="47">
        <v>10.0</v>
      </c>
      <c r="AB127" s="47">
        <v>4.2</v>
      </c>
      <c r="AC127" s="47">
        <v>8.0</v>
      </c>
      <c r="AD127" s="47">
        <v>0.0</v>
      </c>
      <c r="AE127" s="47">
        <v>0.0</v>
      </c>
      <c r="AF127" s="47">
        <v>0.0</v>
      </c>
      <c r="AG127" s="47">
        <v>150.0</v>
      </c>
    </row>
    <row r="128" ht="15.75" customHeight="1">
      <c r="A128" s="35">
        <f>Bill!$Y128</f>
        <v>45686</v>
      </c>
      <c r="B128" s="43">
        <f>'Raw Data'!E130+Bill!$L$2</f>
        <v>152</v>
      </c>
      <c r="C128" s="43">
        <f>'Raw Data'!E130+Bill!$M$2</f>
        <v>157</v>
      </c>
      <c r="D128" s="43">
        <f>('Raw Data'!$F130*2)-10</f>
        <v>232</v>
      </c>
      <c r="E128" s="43">
        <f>'Raw Data'!F130+Bill!$O$2</f>
        <v>141</v>
      </c>
      <c r="F128" s="43">
        <f>'Raw Data'!F130+Bill!$P$2</f>
        <v>146</v>
      </c>
      <c r="G128" s="43"/>
      <c r="H128" s="43">
        <f>('Raw Data'!F130+Bill!$R$2)</f>
        <v>141</v>
      </c>
      <c r="I128" s="36">
        <f>'Raw Data'!G130/100</f>
        <v>5.4</v>
      </c>
      <c r="K128" s="37">
        <f>Bill!$Y128</f>
        <v>45686</v>
      </c>
      <c r="L128" s="38">
        <f>Bill!$AA128*('Raw Data'!$E130+$L$2)</f>
        <v>0</v>
      </c>
      <c r="M128" s="38">
        <f>Bill!$AB128*('Raw Data'!$E130+$M$2)</f>
        <v>0</v>
      </c>
      <c r="N128" s="38">
        <f>(('Raw Data'!$F130 * 2)-10)*Bill!$AC128</f>
        <v>0</v>
      </c>
      <c r="O128" s="38">
        <f>('Raw Data'!F130+Bill!$O$2)*Bill!$AD128</f>
        <v>0</v>
      </c>
      <c r="P128" s="38">
        <f>('Raw Data'!F130+Bill!$P$2)*Bill!$AE128</f>
        <v>0</v>
      </c>
      <c r="Q128" s="38">
        <f>Bill!$Z128*('Raw Data'!$E130+$Q$2)</f>
        <v>0</v>
      </c>
      <c r="R128" s="38">
        <f>('Raw Data'!F130+Bill!$R$2)*Bill!$AF128</f>
        <v>0</v>
      </c>
      <c r="S128" s="48">
        <f>('Raw Data'!G130/100)*Bill!$AG128</f>
        <v>0</v>
      </c>
      <c r="T128" s="38">
        <f>SUM(Bill!$L128:$R128)</f>
        <v>0</v>
      </c>
      <c r="U128" s="49">
        <v>0.0</v>
      </c>
      <c r="V128" s="50"/>
      <c r="W128" s="38">
        <f>Bill!$U128-Bill!$T128</f>
        <v>0</v>
      </c>
      <c r="Y128" s="37">
        <f>'Raw Data'!D130</f>
        <v>45686</v>
      </c>
      <c r="Z128" s="41">
        <v>0.0</v>
      </c>
      <c r="AA128" s="47">
        <v>0.0</v>
      </c>
      <c r="AB128" s="47">
        <v>0.0</v>
      </c>
      <c r="AC128" s="47">
        <v>0.0</v>
      </c>
      <c r="AD128" s="47">
        <v>0.0</v>
      </c>
      <c r="AE128" s="47">
        <v>0.0</v>
      </c>
      <c r="AF128" s="47">
        <v>0.0</v>
      </c>
      <c r="AG128" s="47">
        <v>0.0</v>
      </c>
    </row>
    <row r="129" ht="15.75" customHeight="1">
      <c r="A129" s="35">
        <f>Bill!$Y129</f>
        <v>45687</v>
      </c>
      <c r="B129" s="43">
        <f>'Raw Data'!E131+Bill!$L$2</f>
        <v>150</v>
      </c>
      <c r="C129" s="43">
        <f>'Raw Data'!E131+Bill!$M$2</f>
        <v>155</v>
      </c>
      <c r="D129" s="43">
        <f>('Raw Data'!$F131*2)-10</f>
        <v>222</v>
      </c>
      <c r="E129" s="43">
        <f>'Raw Data'!F131+Bill!$O$2</f>
        <v>136</v>
      </c>
      <c r="F129" s="43">
        <f>'Raw Data'!F131+Bill!$P$2</f>
        <v>141</v>
      </c>
      <c r="G129" s="43"/>
      <c r="H129" s="43">
        <f>('Raw Data'!F131+Bill!$R$2)</f>
        <v>136</v>
      </c>
      <c r="I129" s="36">
        <f>'Raw Data'!G131/100</f>
        <v>5.45</v>
      </c>
      <c r="K129" s="37">
        <f>Bill!$Y129</f>
        <v>45687</v>
      </c>
      <c r="L129" s="38">
        <f>Bill!$AA129*('Raw Data'!$E131+$L$2)</f>
        <v>1485</v>
      </c>
      <c r="M129" s="38">
        <f>Bill!$AB129*('Raw Data'!$E131+$M$2)</f>
        <v>2325</v>
      </c>
      <c r="N129" s="38">
        <f>(('Raw Data'!$F131 * 2)-10)*Bill!$AC129</f>
        <v>1776</v>
      </c>
      <c r="O129" s="38">
        <f>('Raw Data'!F131+Bill!$O$2)*Bill!$AD129</f>
        <v>0</v>
      </c>
      <c r="P129" s="38">
        <f>('Raw Data'!F131+Bill!$P$2)*Bill!$AE129</f>
        <v>564</v>
      </c>
      <c r="Q129" s="38">
        <f>Bill!$Z129*('Raw Data'!$E131+$Q$2)</f>
        <v>0</v>
      </c>
      <c r="R129" s="38">
        <f>('Raw Data'!F131+Bill!$R$2)*Bill!$AF129</f>
        <v>0</v>
      </c>
      <c r="S129" s="48">
        <f>('Raw Data'!G131/100)*Bill!$AG129</f>
        <v>0</v>
      </c>
      <c r="T129" s="38">
        <f>SUM(Bill!$L129:$R129)</f>
        <v>6150</v>
      </c>
      <c r="U129" s="49">
        <v>6170.0</v>
      </c>
      <c r="V129" s="50"/>
      <c r="W129" s="38">
        <f>Bill!$U129-Bill!$T129</f>
        <v>20</v>
      </c>
      <c r="Y129" s="37">
        <f>'Raw Data'!D131</f>
        <v>45687</v>
      </c>
      <c r="Z129" s="41">
        <v>0.0</v>
      </c>
      <c r="AA129" s="47">
        <v>9.9</v>
      </c>
      <c r="AB129" s="47">
        <v>15.0</v>
      </c>
      <c r="AC129" s="47">
        <v>8.0</v>
      </c>
      <c r="AD129" s="47">
        <v>0.0</v>
      </c>
      <c r="AE129" s="47">
        <v>4.0</v>
      </c>
      <c r="AF129" s="47">
        <v>0.0</v>
      </c>
      <c r="AG129" s="47">
        <v>0.0</v>
      </c>
    </row>
    <row r="130" ht="15.75" customHeight="1">
      <c r="A130" s="35">
        <f>Bill!$Y130</f>
        <v>45688</v>
      </c>
      <c r="B130" s="43">
        <f>'Raw Data'!E132+Bill!$L$2</f>
        <v>142</v>
      </c>
      <c r="C130" s="43">
        <f>'Raw Data'!E132+Bill!$M$2</f>
        <v>147</v>
      </c>
      <c r="D130" s="43">
        <f>('Raw Data'!$F132*2)-10</f>
        <v>204</v>
      </c>
      <c r="E130" s="43">
        <f>'Raw Data'!F132+Bill!$O$2</f>
        <v>127</v>
      </c>
      <c r="F130" s="43">
        <f>'Raw Data'!F132+Bill!$P$2</f>
        <v>132</v>
      </c>
      <c r="G130" s="43"/>
      <c r="H130" s="43">
        <f>('Raw Data'!F132+Bill!$R$2)</f>
        <v>127</v>
      </c>
      <c r="I130" s="36">
        <f>'Raw Data'!G132/100</f>
        <v>5.45</v>
      </c>
      <c r="K130" s="37">
        <f>Bill!$Y130</f>
        <v>45688</v>
      </c>
      <c r="L130" s="38">
        <f>Bill!$AA130*('Raw Data'!$E132+$L$2)</f>
        <v>1412.9</v>
      </c>
      <c r="M130" s="38">
        <f>Bill!$AB130*('Raw Data'!$E132+$M$2)</f>
        <v>2205</v>
      </c>
      <c r="N130" s="38">
        <f>(('Raw Data'!$F132 * 2)-10)*Bill!$AC130</f>
        <v>1632</v>
      </c>
      <c r="O130" s="38">
        <f>('Raw Data'!F132+Bill!$O$2)*Bill!$AD130</f>
        <v>406.4</v>
      </c>
      <c r="P130" s="38">
        <f>('Raw Data'!F132+Bill!$P$2)*Bill!$AE130</f>
        <v>264</v>
      </c>
      <c r="Q130" s="38">
        <f>Bill!$Z130*('Raw Data'!$E132+$Q$2)</f>
        <v>0</v>
      </c>
      <c r="R130" s="38">
        <f>('Raw Data'!F132+Bill!$R$2)*Bill!$AF130</f>
        <v>0</v>
      </c>
      <c r="S130" s="48">
        <f>('Raw Data'!G132/100)*Bill!$AG130</f>
        <v>0</v>
      </c>
      <c r="T130" s="38">
        <f>SUM(Bill!$L130:$R130)</f>
        <v>5920.3</v>
      </c>
      <c r="U130" s="49">
        <v>5930.0</v>
      </c>
      <c r="V130" s="50"/>
      <c r="W130" s="38">
        <f>Bill!$U130-Bill!$T130</f>
        <v>9.7</v>
      </c>
      <c r="Y130" s="37">
        <f>'Raw Data'!D132</f>
        <v>45688</v>
      </c>
      <c r="Z130" s="41">
        <v>0.0</v>
      </c>
      <c r="AA130" s="47">
        <v>9.95</v>
      </c>
      <c r="AB130" s="47">
        <v>15.0</v>
      </c>
      <c r="AC130" s="47">
        <v>8.0</v>
      </c>
      <c r="AD130" s="47">
        <v>3.2</v>
      </c>
      <c r="AE130" s="47">
        <v>2.0</v>
      </c>
      <c r="AF130" s="47">
        <v>0.0</v>
      </c>
      <c r="AG130" s="47">
        <v>0.0</v>
      </c>
    </row>
    <row r="131" ht="15.75" customHeight="1">
      <c r="A131" s="35">
        <f>Bill!$Y131</f>
        <v>45689</v>
      </c>
      <c r="B131" s="43">
        <f>'Raw Data'!E133+Bill!$L$2</f>
        <v>142</v>
      </c>
      <c r="C131" s="43">
        <f>'Raw Data'!E133+Bill!$M$2</f>
        <v>147</v>
      </c>
      <c r="D131" s="43">
        <f>('Raw Data'!$F133*2)-10</f>
        <v>204</v>
      </c>
      <c r="E131" s="43">
        <f>'Raw Data'!F133+Bill!$O$2</f>
        <v>127</v>
      </c>
      <c r="F131" s="43">
        <f>'Raw Data'!F133+Bill!$P$2</f>
        <v>132</v>
      </c>
      <c r="G131" s="43"/>
      <c r="H131" s="43">
        <f>('Raw Data'!F133+Bill!$R$2)</f>
        <v>127</v>
      </c>
      <c r="I131" s="36">
        <f>'Raw Data'!G133/100</f>
        <v>5.5</v>
      </c>
      <c r="K131" s="37">
        <f>Bill!$Y131</f>
        <v>45689</v>
      </c>
      <c r="L131" s="38">
        <f>Bill!$AA131*('Raw Data'!$E133+$L$2)</f>
        <v>0</v>
      </c>
      <c r="M131" s="38">
        <f>Bill!$AB131*('Raw Data'!$E133+$M$2)</f>
        <v>294</v>
      </c>
      <c r="N131" s="38">
        <f>(('Raw Data'!$F133 * 2)-10)*Bill!$AC131</f>
        <v>612</v>
      </c>
      <c r="O131" s="38">
        <f>('Raw Data'!F133+Bill!$O$2)*Bill!$AD131</f>
        <v>0</v>
      </c>
      <c r="P131" s="38">
        <f>('Raw Data'!F133+Bill!$P$2)*Bill!$AE131</f>
        <v>528</v>
      </c>
      <c r="Q131" s="38">
        <f>Bill!$Z131*('Raw Data'!$E133+$Q$2)</f>
        <v>0</v>
      </c>
      <c r="R131" s="38">
        <f>('Raw Data'!F133+Bill!$R$2)*Bill!$AF131</f>
        <v>0</v>
      </c>
      <c r="S131" s="48">
        <f>('Raw Data'!G133/100)*Bill!$AG131</f>
        <v>825</v>
      </c>
      <c r="T131" s="38">
        <f>SUM(Bill!$L131:$R131)</f>
        <v>1434</v>
      </c>
      <c r="U131" s="49">
        <v>1454.0</v>
      </c>
      <c r="V131" s="50"/>
      <c r="W131" s="38">
        <f>Bill!$U131-Bill!$T131</f>
        <v>20</v>
      </c>
      <c r="Y131" s="37">
        <f>'Raw Data'!D133</f>
        <v>45689</v>
      </c>
      <c r="Z131" s="41">
        <v>0.0</v>
      </c>
      <c r="AA131" s="47">
        <v>0.0</v>
      </c>
      <c r="AB131" s="47">
        <v>2.0</v>
      </c>
      <c r="AC131" s="47">
        <v>3.0</v>
      </c>
      <c r="AD131" s="47">
        <v>0.0</v>
      </c>
      <c r="AE131" s="47">
        <v>4.0</v>
      </c>
      <c r="AF131" s="47">
        <v>0.0</v>
      </c>
      <c r="AG131" s="47">
        <v>150.0</v>
      </c>
    </row>
    <row r="132" ht="15.75" customHeight="1">
      <c r="A132" s="35">
        <f>Bill!$Y132</f>
        <v>45690</v>
      </c>
      <c r="B132" s="43">
        <f>'Raw Data'!E134+Bill!$L$2</f>
        <v>142</v>
      </c>
      <c r="C132" s="43">
        <f>'Raw Data'!E134+Bill!$M$2</f>
        <v>147</v>
      </c>
      <c r="D132" s="43">
        <f>('Raw Data'!$F134*2)-10</f>
        <v>208</v>
      </c>
      <c r="E132" s="43">
        <f>'Raw Data'!F134+Bill!$O$2</f>
        <v>129</v>
      </c>
      <c r="F132" s="43">
        <f>'Raw Data'!F134+Bill!$P$2</f>
        <v>134</v>
      </c>
      <c r="G132" s="43"/>
      <c r="H132" s="43">
        <f>('Raw Data'!F134+Bill!$R$2)</f>
        <v>129</v>
      </c>
      <c r="I132" s="36">
        <f>'Raw Data'!G134/100</f>
        <v>5.35</v>
      </c>
      <c r="K132" s="37">
        <f>Bill!$Y132</f>
        <v>45690</v>
      </c>
      <c r="L132" s="38">
        <f>Bill!$AA132*('Raw Data'!$E134+$L$2)</f>
        <v>1150.2</v>
      </c>
      <c r="M132" s="38">
        <f>Bill!$AB132*('Raw Data'!$E134+$M$2)</f>
        <v>1793.4</v>
      </c>
      <c r="N132" s="38">
        <f>(('Raw Data'!$F134 * 2)-10)*Bill!$AC132</f>
        <v>1040</v>
      </c>
      <c r="O132" s="38">
        <f>('Raw Data'!F134+Bill!$O$2)*Bill!$AD132</f>
        <v>0</v>
      </c>
      <c r="P132" s="38">
        <f>('Raw Data'!F134+Bill!$P$2)*Bill!$AE132</f>
        <v>0</v>
      </c>
      <c r="Q132" s="38">
        <f>Bill!$Z132*('Raw Data'!$E134+$Q$2)</f>
        <v>0</v>
      </c>
      <c r="R132" s="38">
        <f>('Raw Data'!F134+Bill!$R$2)*Bill!$AF132</f>
        <v>0</v>
      </c>
      <c r="S132" s="48">
        <f>('Raw Data'!G134/100)*Bill!$AG132</f>
        <v>0</v>
      </c>
      <c r="T132" s="38">
        <f>SUM(Bill!$L132:$R132)</f>
        <v>3983.6</v>
      </c>
      <c r="U132" s="49">
        <v>3983.0</v>
      </c>
      <c r="V132" s="50"/>
      <c r="W132" s="38">
        <f>Bill!$U132-Bill!$T132</f>
        <v>-0.6</v>
      </c>
      <c r="Y132" s="37">
        <f>'Raw Data'!D134</f>
        <v>45690</v>
      </c>
      <c r="Z132" s="41">
        <v>0.0</v>
      </c>
      <c r="AA132" s="47">
        <v>8.1</v>
      </c>
      <c r="AB132" s="47">
        <v>12.2</v>
      </c>
      <c r="AC132" s="47">
        <v>5.0</v>
      </c>
      <c r="AD132" s="47">
        <v>0.0</v>
      </c>
      <c r="AE132" s="47">
        <v>0.0</v>
      </c>
      <c r="AF132" s="47">
        <v>0.0</v>
      </c>
      <c r="AG132" s="47">
        <v>0.0</v>
      </c>
    </row>
    <row r="133" ht="15.75" customHeight="1">
      <c r="A133" s="35">
        <f>Bill!$Y133</f>
        <v>45691</v>
      </c>
      <c r="B133" s="43">
        <f>'Raw Data'!E135+Bill!$L$2</f>
        <v>142</v>
      </c>
      <c r="C133" s="43">
        <f>'Raw Data'!E135+Bill!$M$2</f>
        <v>147</v>
      </c>
      <c r="D133" s="43">
        <f>('Raw Data'!$F135*2)-10</f>
        <v>208</v>
      </c>
      <c r="E133" s="43">
        <f>'Raw Data'!F135+Bill!$O$2</f>
        <v>129</v>
      </c>
      <c r="F133" s="43">
        <f>'Raw Data'!F135+Bill!$P$2</f>
        <v>134</v>
      </c>
      <c r="G133" s="43"/>
      <c r="H133" s="43">
        <f>('Raw Data'!F135+Bill!$R$2)</f>
        <v>129</v>
      </c>
      <c r="I133" s="36">
        <f>'Raw Data'!G135/100</f>
        <v>5.25</v>
      </c>
      <c r="K133" s="37">
        <f>Bill!$Y133</f>
        <v>45691</v>
      </c>
      <c r="L133" s="38">
        <f>Bill!$AA133*('Raw Data'!$E135+$L$2)</f>
        <v>1391.6</v>
      </c>
      <c r="M133" s="38">
        <f>Bill!$AB133*('Raw Data'!$E135+$M$2)</f>
        <v>1470</v>
      </c>
      <c r="N133" s="38">
        <f>(('Raw Data'!$F135 * 2)-10)*Bill!$AC133</f>
        <v>832</v>
      </c>
      <c r="O133" s="38">
        <f>('Raw Data'!F135+Bill!$O$2)*Bill!$AD133</f>
        <v>387</v>
      </c>
      <c r="P133" s="38">
        <f>('Raw Data'!F135+Bill!$P$2)*Bill!$AE133</f>
        <v>0</v>
      </c>
      <c r="Q133" s="38">
        <f>Bill!$Z133*('Raw Data'!$E135+$Q$2)</f>
        <v>0</v>
      </c>
      <c r="R133" s="38">
        <f>('Raw Data'!F135+Bill!$R$2)*Bill!$AF133</f>
        <v>0</v>
      </c>
      <c r="S133" s="48">
        <f>('Raw Data'!G135/100)*Bill!$AG133</f>
        <v>787.5</v>
      </c>
      <c r="T133" s="38">
        <f>SUM(Bill!$L133:$R133)</f>
        <v>4080.6</v>
      </c>
      <c r="U133" s="49">
        <v>4080.0</v>
      </c>
      <c r="V133" s="50"/>
      <c r="W133" s="38">
        <f>Bill!$U133-Bill!$T133</f>
        <v>-0.6</v>
      </c>
      <c r="Y133" s="37">
        <f>'Raw Data'!D135</f>
        <v>45691</v>
      </c>
      <c r="Z133" s="41">
        <v>0.0</v>
      </c>
      <c r="AA133" s="47">
        <v>9.8</v>
      </c>
      <c r="AB133" s="47">
        <v>10.0</v>
      </c>
      <c r="AC133" s="47">
        <v>4.0</v>
      </c>
      <c r="AD133" s="47">
        <v>3.0</v>
      </c>
      <c r="AE133" s="47">
        <v>0.0</v>
      </c>
      <c r="AF133" s="47">
        <v>0.0</v>
      </c>
      <c r="AG133" s="47">
        <v>150.0</v>
      </c>
    </row>
    <row r="134" ht="15.75" customHeight="1">
      <c r="A134" s="35">
        <f>Bill!$Y134</f>
        <v>45692</v>
      </c>
      <c r="B134" s="43">
        <f>'Raw Data'!E136+Bill!$L$2</f>
        <v>142</v>
      </c>
      <c r="C134" s="43">
        <f>'Raw Data'!E136+Bill!$M$2</f>
        <v>147</v>
      </c>
      <c r="D134" s="43">
        <f>('Raw Data'!$F136*2)-10</f>
        <v>208</v>
      </c>
      <c r="E134" s="43">
        <f>'Raw Data'!F136+Bill!$O$2</f>
        <v>129</v>
      </c>
      <c r="F134" s="43">
        <f>'Raw Data'!F136+Bill!$P$2</f>
        <v>134</v>
      </c>
      <c r="G134" s="43"/>
      <c r="H134" s="43">
        <f>('Raw Data'!F136+Bill!$R$2)</f>
        <v>129</v>
      </c>
      <c r="I134" s="36">
        <f>'Raw Data'!G136/100</f>
        <v>5.25</v>
      </c>
      <c r="K134" s="37">
        <f>Bill!$Y134</f>
        <v>45692</v>
      </c>
      <c r="L134" s="38">
        <f>Bill!$AA134*('Raw Data'!$E136+$L$2)</f>
        <v>702.9</v>
      </c>
      <c r="M134" s="38">
        <f>Bill!$AB134*('Raw Data'!$E136+$M$2)</f>
        <v>764.4</v>
      </c>
      <c r="N134" s="38">
        <f>(('Raw Data'!$F136 * 2)-10)*Bill!$AC134</f>
        <v>832</v>
      </c>
      <c r="O134" s="38">
        <f>('Raw Data'!F136+Bill!$O$2)*Bill!$AD134</f>
        <v>0</v>
      </c>
      <c r="P134" s="38">
        <f>('Raw Data'!F136+Bill!$P$2)*Bill!$AE134</f>
        <v>402</v>
      </c>
      <c r="Q134" s="38">
        <f>Bill!$Z134*('Raw Data'!$E136+$Q$2)</f>
        <v>0</v>
      </c>
      <c r="R134" s="38">
        <f>('Raw Data'!F136+Bill!$R$2)*Bill!$AF134</f>
        <v>0</v>
      </c>
      <c r="S134" s="48">
        <f>('Raw Data'!G136/100)*Bill!$AG134</f>
        <v>0</v>
      </c>
      <c r="T134" s="38">
        <f>SUM(Bill!$L134:$R134)</f>
        <v>2701.3</v>
      </c>
      <c r="U134" s="49">
        <v>2716.0</v>
      </c>
      <c r="V134" s="50"/>
      <c r="W134" s="38">
        <f>Bill!$U134-Bill!$T134</f>
        <v>14.7</v>
      </c>
      <c r="Y134" s="37">
        <f>'Raw Data'!D136</f>
        <v>45692</v>
      </c>
      <c r="Z134" s="41">
        <v>0.0</v>
      </c>
      <c r="AA134" s="47">
        <v>4.95</v>
      </c>
      <c r="AB134" s="47">
        <v>5.2</v>
      </c>
      <c r="AC134" s="47">
        <v>4.0</v>
      </c>
      <c r="AD134" s="47">
        <v>0.0</v>
      </c>
      <c r="AE134" s="47">
        <v>3.0</v>
      </c>
      <c r="AF134" s="47">
        <v>0.0</v>
      </c>
      <c r="AG134" s="47">
        <v>0.0</v>
      </c>
    </row>
    <row r="135" ht="15.75" customHeight="1">
      <c r="A135" s="35">
        <f>Bill!$Y135</f>
        <v>45693</v>
      </c>
      <c r="B135" s="43">
        <f>'Raw Data'!E137+Bill!$L$2</f>
        <v>142</v>
      </c>
      <c r="C135" s="43">
        <f>'Raw Data'!E137+Bill!$M$2</f>
        <v>147</v>
      </c>
      <c r="D135" s="43">
        <f>('Raw Data'!$F137*2)-10</f>
        <v>212</v>
      </c>
      <c r="E135" s="43">
        <f>'Raw Data'!F137+Bill!$O$2</f>
        <v>131</v>
      </c>
      <c r="F135" s="43">
        <f>'Raw Data'!F137+Bill!$P$2</f>
        <v>136</v>
      </c>
      <c r="G135" s="43"/>
      <c r="H135" s="43">
        <f>('Raw Data'!F137+Bill!$R$2)</f>
        <v>131</v>
      </c>
      <c r="I135" s="36">
        <f>'Raw Data'!G137/100</f>
        <v>5.05</v>
      </c>
      <c r="K135" s="37">
        <f>Bill!$Y135</f>
        <v>45693</v>
      </c>
      <c r="L135" s="38">
        <f>Bill!$AA135*('Raw Data'!$E137+$L$2)</f>
        <v>0</v>
      </c>
      <c r="M135" s="38">
        <f>Bill!$AB135*('Raw Data'!$E137+$M$2)</f>
        <v>441</v>
      </c>
      <c r="N135" s="38">
        <f>(('Raw Data'!$F137 * 2)-10)*Bill!$AC135</f>
        <v>848</v>
      </c>
      <c r="O135" s="38">
        <f>('Raw Data'!F137+Bill!$O$2)*Bill!$AD135</f>
        <v>0</v>
      </c>
      <c r="P135" s="38">
        <f>('Raw Data'!F137+Bill!$P$2)*Bill!$AE135</f>
        <v>272</v>
      </c>
      <c r="Q135" s="38">
        <f>Bill!$Z135*('Raw Data'!$E137+$Q$2)</f>
        <v>0</v>
      </c>
      <c r="R135" s="38">
        <f>('Raw Data'!F137+Bill!$R$2)*Bill!$AF135</f>
        <v>0</v>
      </c>
      <c r="S135" s="48">
        <f>('Raw Data'!G137/100)*Bill!$AG135</f>
        <v>0</v>
      </c>
      <c r="T135" s="38">
        <f>SUM(Bill!$L135:$R135)</f>
        <v>1561</v>
      </c>
      <c r="U135" s="49">
        <v>1571.0</v>
      </c>
      <c r="V135" s="50"/>
      <c r="W135" s="38">
        <f>Bill!$U135-Bill!$T135</f>
        <v>10</v>
      </c>
      <c r="Y135" s="37">
        <f>'Raw Data'!D137</f>
        <v>45693</v>
      </c>
      <c r="Z135" s="41">
        <v>0.0</v>
      </c>
      <c r="AA135" s="47">
        <v>0.0</v>
      </c>
      <c r="AB135" s="47">
        <v>3.0</v>
      </c>
      <c r="AC135" s="47">
        <v>4.0</v>
      </c>
      <c r="AD135" s="47">
        <v>0.0</v>
      </c>
      <c r="AE135" s="47">
        <v>2.0</v>
      </c>
      <c r="AF135" s="47">
        <v>0.0</v>
      </c>
      <c r="AG135" s="47">
        <v>0.0</v>
      </c>
    </row>
    <row r="136" ht="15.75" customHeight="1">
      <c r="A136" s="35">
        <f>Bill!$Y136</f>
        <v>45694</v>
      </c>
      <c r="B136" s="43">
        <f>'Raw Data'!E138+Bill!$L$2</f>
        <v>144</v>
      </c>
      <c r="C136" s="43">
        <f>'Raw Data'!E138+Bill!$M$2</f>
        <v>149</v>
      </c>
      <c r="D136" s="43">
        <f>('Raw Data'!$F138*2)-10</f>
        <v>212</v>
      </c>
      <c r="E136" s="43">
        <f>'Raw Data'!F138+Bill!$O$2</f>
        <v>131</v>
      </c>
      <c r="F136" s="43">
        <f>'Raw Data'!F138+Bill!$P$2</f>
        <v>136</v>
      </c>
      <c r="G136" s="43"/>
      <c r="H136" s="43">
        <f>('Raw Data'!F138+Bill!$R$2)</f>
        <v>131</v>
      </c>
      <c r="I136" s="36">
        <f>'Raw Data'!G138/100</f>
        <v>5.05</v>
      </c>
      <c r="K136" s="37">
        <f>Bill!$Y136</f>
        <v>45694</v>
      </c>
      <c r="L136" s="38">
        <f>Bill!$AA136*('Raw Data'!$E138+$L$2)</f>
        <v>1440</v>
      </c>
      <c r="M136" s="38">
        <f>Bill!$AB136*('Raw Data'!$E138+$M$2)</f>
        <v>2235</v>
      </c>
      <c r="N136" s="38">
        <f>(('Raw Data'!$F138 * 2)-10)*Bill!$AC136</f>
        <v>1060</v>
      </c>
      <c r="O136" s="38">
        <f>('Raw Data'!F138+Bill!$O$2)*Bill!$AD136</f>
        <v>0</v>
      </c>
      <c r="P136" s="38">
        <f>('Raw Data'!F138+Bill!$P$2)*Bill!$AE136</f>
        <v>0</v>
      </c>
      <c r="Q136" s="38">
        <f>Bill!$Z136*('Raw Data'!$E138+$Q$2)</f>
        <v>0</v>
      </c>
      <c r="R136" s="38">
        <f>('Raw Data'!F138+Bill!$R$2)*Bill!$AF136</f>
        <v>0</v>
      </c>
      <c r="S136" s="48">
        <f>('Raw Data'!G138/100)*Bill!$AG136</f>
        <v>757.5</v>
      </c>
      <c r="T136" s="38">
        <f>SUM(Bill!$L136:$R136)</f>
        <v>4735</v>
      </c>
      <c r="U136" s="49">
        <v>4735.0</v>
      </c>
      <c r="V136" s="50"/>
      <c r="W136" s="38">
        <f>Bill!$U136-Bill!$T136</f>
        <v>0</v>
      </c>
      <c r="Y136" s="37">
        <f>'Raw Data'!D138</f>
        <v>45694</v>
      </c>
      <c r="Z136" s="41">
        <v>0.0</v>
      </c>
      <c r="AA136" s="47">
        <v>10.0</v>
      </c>
      <c r="AB136" s="47">
        <v>15.0</v>
      </c>
      <c r="AC136" s="47">
        <v>5.0</v>
      </c>
      <c r="AD136" s="47">
        <v>0.0</v>
      </c>
      <c r="AE136" s="47">
        <v>0.0</v>
      </c>
      <c r="AF136" s="47">
        <v>0.0</v>
      </c>
      <c r="AG136" s="47">
        <v>150.0</v>
      </c>
    </row>
    <row r="137" ht="15.75" customHeight="1">
      <c r="A137" s="35">
        <f>Bill!$Y137</f>
        <v>45695</v>
      </c>
      <c r="B137" s="43">
        <f>'Raw Data'!E139+Bill!$L$2</f>
        <v>146</v>
      </c>
      <c r="C137" s="43">
        <f>'Raw Data'!E139+Bill!$M$2</f>
        <v>151</v>
      </c>
      <c r="D137" s="43">
        <f>('Raw Data'!$F139*2)-10</f>
        <v>216</v>
      </c>
      <c r="E137" s="43">
        <f>'Raw Data'!F139+Bill!$O$2</f>
        <v>133</v>
      </c>
      <c r="F137" s="43">
        <f>'Raw Data'!F139+Bill!$P$2</f>
        <v>138</v>
      </c>
      <c r="G137" s="43"/>
      <c r="H137" s="43">
        <f>('Raw Data'!F139+Bill!$R$2)</f>
        <v>133</v>
      </c>
      <c r="I137" s="36">
        <f>'Raw Data'!G139/100</f>
        <v>5</v>
      </c>
      <c r="K137" s="37">
        <f>Bill!$Y137</f>
        <v>45695</v>
      </c>
      <c r="L137" s="38">
        <f>Bill!$AA137*('Raw Data'!$E139+$L$2)</f>
        <v>0</v>
      </c>
      <c r="M137" s="38">
        <f>Bill!$AB137*('Raw Data'!$E139+$M$2)</f>
        <v>755</v>
      </c>
      <c r="N137" s="38">
        <f>(('Raw Data'!$F139 * 2)-10)*Bill!$AC137</f>
        <v>1296</v>
      </c>
      <c r="O137" s="38">
        <f>('Raw Data'!F139+Bill!$O$2)*Bill!$AD137</f>
        <v>418.95</v>
      </c>
      <c r="P137" s="38">
        <f>('Raw Data'!F139+Bill!$P$2)*Bill!$AE137</f>
        <v>0</v>
      </c>
      <c r="Q137" s="38">
        <f>Bill!$Z137*('Raw Data'!$E139+$Q$2)</f>
        <v>0</v>
      </c>
      <c r="R137" s="38">
        <f>('Raw Data'!F139+Bill!$R$2)*Bill!$AF137</f>
        <v>0</v>
      </c>
      <c r="S137" s="48">
        <f>('Raw Data'!G139/100)*Bill!$AG137</f>
        <v>0</v>
      </c>
      <c r="T137" s="38">
        <f>SUM(Bill!$L137:$R137)</f>
        <v>2469.95</v>
      </c>
      <c r="U137" s="49">
        <v>2470.0</v>
      </c>
      <c r="V137" s="50"/>
      <c r="W137" s="38">
        <f>Bill!$U137-Bill!$T137</f>
        <v>0.05</v>
      </c>
      <c r="Y137" s="37">
        <f>'Raw Data'!D139</f>
        <v>45695</v>
      </c>
      <c r="Z137" s="41">
        <v>0.0</v>
      </c>
      <c r="AA137" s="47">
        <v>0.0</v>
      </c>
      <c r="AB137" s="47">
        <v>5.0</v>
      </c>
      <c r="AC137" s="47">
        <v>6.0</v>
      </c>
      <c r="AD137" s="47">
        <v>3.15</v>
      </c>
      <c r="AE137" s="47">
        <v>0.0</v>
      </c>
      <c r="AF137" s="47">
        <v>0.0</v>
      </c>
      <c r="AG137" s="47">
        <v>0.0</v>
      </c>
    </row>
    <row r="138" ht="15.75" customHeight="1">
      <c r="A138" s="35">
        <f>Bill!$Y138</f>
        <v>45696</v>
      </c>
      <c r="B138" s="43">
        <f>'Raw Data'!E140+Bill!$L$2</f>
        <v>146</v>
      </c>
      <c r="C138" s="43">
        <f>'Raw Data'!E140+Bill!$M$2</f>
        <v>151</v>
      </c>
      <c r="D138" s="43">
        <f>('Raw Data'!$F140*2)-10</f>
        <v>220</v>
      </c>
      <c r="E138" s="43">
        <f>'Raw Data'!F140+Bill!$O$2</f>
        <v>135</v>
      </c>
      <c r="F138" s="43">
        <f>'Raw Data'!F140+Bill!$P$2</f>
        <v>140</v>
      </c>
      <c r="G138" s="43"/>
      <c r="H138" s="43">
        <f>('Raw Data'!F140+Bill!$R$2)</f>
        <v>135</v>
      </c>
      <c r="I138" s="36">
        <f>'Raw Data'!G140/100</f>
        <v>4.95</v>
      </c>
      <c r="K138" s="37">
        <f>Bill!$Y138</f>
        <v>45696</v>
      </c>
      <c r="L138" s="38">
        <f>Bill!$AA138*('Raw Data'!$E140+$L$2)</f>
        <v>1576.8</v>
      </c>
      <c r="M138" s="38">
        <f>Bill!$AB138*('Raw Data'!$E140+$M$2)</f>
        <v>2718</v>
      </c>
      <c r="N138" s="38">
        <f>(('Raw Data'!$F140 * 2)-10)*Bill!$AC138</f>
        <v>1100</v>
      </c>
      <c r="O138" s="38">
        <f>('Raw Data'!F140+Bill!$O$2)*Bill!$AD138</f>
        <v>0</v>
      </c>
      <c r="P138" s="38">
        <f>('Raw Data'!F140+Bill!$P$2)*Bill!$AE138</f>
        <v>280</v>
      </c>
      <c r="Q138" s="38">
        <f>Bill!$Z138*('Raw Data'!$E140+$Q$2)</f>
        <v>0</v>
      </c>
      <c r="R138" s="38">
        <f>('Raw Data'!F140+Bill!$R$2)*Bill!$AF138</f>
        <v>0</v>
      </c>
      <c r="S138" s="48">
        <f>('Raw Data'!G140/100)*Bill!$AG138</f>
        <v>0</v>
      </c>
      <c r="T138" s="38">
        <f>SUM(Bill!$L138:$R138)</f>
        <v>5674.8</v>
      </c>
      <c r="U138" s="49">
        <v>5685.0</v>
      </c>
      <c r="V138" s="50"/>
      <c r="W138" s="38">
        <f>Bill!$U138-Bill!$T138</f>
        <v>10.2</v>
      </c>
      <c r="Y138" s="37">
        <f>'Raw Data'!D140</f>
        <v>45696</v>
      </c>
      <c r="Z138" s="41">
        <v>0.0</v>
      </c>
      <c r="AA138" s="47">
        <v>10.8</v>
      </c>
      <c r="AB138" s="47">
        <v>18.0</v>
      </c>
      <c r="AC138" s="47">
        <v>5.0</v>
      </c>
      <c r="AD138" s="47">
        <v>0.0</v>
      </c>
      <c r="AE138" s="47">
        <v>2.0</v>
      </c>
      <c r="AF138" s="47">
        <v>0.0</v>
      </c>
      <c r="AG138" s="47">
        <v>0.0</v>
      </c>
    </row>
    <row r="139" ht="15.75" customHeight="1">
      <c r="A139" s="35">
        <f>Bill!$Y139</f>
        <v>45697</v>
      </c>
      <c r="B139" s="43">
        <f>'Raw Data'!E141+Bill!$L$2</f>
        <v>148</v>
      </c>
      <c r="C139" s="43">
        <f>'Raw Data'!E141+Bill!$M$2</f>
        <v>153</v>
      </c>
      <c r="D139" s="43">
        <f>('Raw Data'!$F141*2)-10</f>
        <v>220</v>
      </c>
      <c r="E139" s="43">
        <f>'Raw Data'!F141+Bill!$O$2</f>
        <v>135</v>
      </c>
      <c r="F139" s="43">
        <f>'Raw Data'!F141+Bill!$P$2</f>
        <v>140</v>
      </c>
      <c r="G139" s="43"/>
      <c r="H139" s="43">
        <f>('Raw Data'!F141+Bill!$R$2)</f>
        <v>135</v>
      </c>
      <c r="I139" s="36">
        <f>'Raw Data'!G141/100</f>
        <v>4.95</v>
      </c>
      <c r="K139" s="37">
        <f>Bill!$Y139</f>
        <v>45697</v>
      </c>
      <c r="L139" s="38">
        <f>Bill!$AA139*('Raw Data'!$E141+$L$2)</f>
        <v>0</v>
      </c>
      <c r="M139" s="38">
        <f>Bill!$AB139*('Raw Data'!$E141+$M$2)</f>
        <v>918</v>
      </c>
      <c r="N139" s="38">
        <f>(('Raw Data'!$F141 * 2)-10)*Bill!$AC139</f>
        <v>1100</v>
      </c>
      <c r="O139" s="38">
        <f>('Raw Data'!F141+Bill!$O$2)*Bill!$AD139</f>
        <v>0</v>
      </c>
      <c r="P139" s="38">
        <f>('Raw Data'!F141+Bill!$P$2)*Bill!$AE139</f>
        <v>420</v>
      </c>
      <c r="Q139" s="38">
        <f>Bill!$Z139*('Raw Data'!$E141+$Q$2)</f>
        <v>0</v>
      </c>
      <c r="R139" s="38">
        <f>('Raw Data'!F141+Bill!$R$2)*Bill!$AF139</f>
        <v>526.5</v>
      </c>
      <c r="S139" s="48">
        <f>('Raw Data'!G141/100)*Bill!$AG139</f>
        <v>1039.5</v>
      </c>
      <c r="T139" s="38">
        <f>SUM(Bill!$L139:$R139)</f>
        <v>2964.5</v>
      </c>
      <c r="U139" s="49">
        <v>2967.0</v>
      </c>
      <c r="V139" s="50"/>
      <c r="W139" s="38">
        <f>Bill!$U139-Bill!$T139</f>
        <v>2.5</v>
      </c>
      <c r="Y139" s="37">
        <f>'Raw Data'!D141</f>
        <v>45697</v>
      </c>
      <c r="Z139" s="41">
        <v>0.0</v>
      </c>
      <c r="AA139" s="47">
        <v>0.0</v>
      </c>
      <c r="AB139" s="47">
        <v>6.0</v>
      </c>
      <c r="AC139" s="47">
        <v>5.0</v>
      </c>
      <c r="AD139" s="47">
        <v>0.0</v>
      </c>
      <c r="AE139" s="47">
        <v>3.0</v>
      </c>
      <c r="AF139" s="47">
        <v>3.9</v>
      </c>
      <c r="AG139" s="47">
        <v>210.0</v>
      </c>
    </row>
    <row r="140" ht="15.75" customHeight="1">
      <c r="A140" s="35">
        <f>Bill!$Y140</f>
        <v>45698</v>
      </c>
      <c r="B140" s="43">
        <f>'Raw Data'!E142+Bill!$L$2</f>
        <v>148</v>
      </c>
      <c r="C140" s="43">
        <f>'Raw Data'!E142+Bill!$M$2</f>
        <v>153</v>
      </c>
      <c r="D140" s="43">
        <f>('Raw Data'!$F142*2)-10</f>
        <v>210</v>
      </c>
      <c r="E140" s="43">
        <f>'Raw Data'!F142+Bill!$O$2</f>
        <v>130</v>
      </c>
      <c r="F140" s="43">
        <f>'Raw Data'!F142+Bill!$P$2</f>
        <v>135</v>
      </c>
      <c r="G140" s="43"/>
      <c r="H140" s="43">
        <f>('Raw Data'!F142+Bill!$R$2)</f>
        <v>130</v>
      </c>
      <c r="I140" s="36">
        <f>'Raw Data'!G142/100</f>
        <v>4.95</v>
      </c>
      <c r="K140" s="37">
        <f>Bill!$Y140</f>
        <v>45698</v>
      </c>
      <c r="L140" s="38">
        <f>Bill!$AA140*('Raw Data'!$E142+$L$2)</f>
        <v>1494.8</v>
      </c>
      <c r="M140" s="38">
        <f>Bill!$AB140*('Raw Data'!$E142+$M$2)</f>
        <v>2295</v>
      </c>
      <c r="N140" s="38">
        <f>(('Raw Data'!$F142 * 2)-10)*Bill!$AC140</f>
        <v>1050</v>
      </c>
      <c r="O140" s="38">
        <f>('Raw Data'!F142+Bill!$O$2)*Bill!$AD140</f>
        <v>0</v>
      </c>
      <c r="P140" s="38">
        <f>('Raw Data'!F142+Bill!$P$2)*Bill!$AE140</f>
        <v>0</v>
      </c>
      <c r="Q140" s="38">
        <f>Bill!$Z140*('Raw Data'!$E142+$Q$2)</f>
        <v>0</v>
      </c>
      <c r="R140" s="38">
        <f>('Raw Data'!F142+Bill!$R$2)*Bill!$AF140</f>
        <v>0</v>
      </c>
      <c r="S140" s="48">
        <f>('Raw Data'!G142/100)*Bill!$AG140</f>
        <v>0</v>
      </c>
      <c r="T140" s="38">
        <f>SUM(Bill!$L140:$R140)</f>
        <v>4839.8</v>
      </c>
      <c r="U140" s="49">
        <v>4840.0</v>
      </c>
      <c r="V140" s="50"/>
      <c r="W140" s="38">
        <f>Bill!$U140-Bill!$T140</f>
        <v>0.2</v>
      </c>
      <c r="Y140" s="37">
        <f>'Raw Data'!D142</f>
        <v>45698</v>
      </c>
      <c r="Z140" s="41">
        <v>0.0</v>
      </c>
      <c r="AA140" s="47">
        <v>10.1</v>
      </c>
      <c r="AB140" s="47">
        <v>15.0</v>
      </c>
      <c r="AC140" s="47">
        <v>5.0</v>
      </c>
      <c r="AD140" s="47">
        <v>0.0</v>
      </c>
      <c r="AE140" s="47">
        <v>0.0</v>
      </c>
      <c r="AF140" s="47">
        <v>0.0</v>
      </c>
      <c r="AG140" s="47">
        <v>0.0</v>
      </c>
    </row>
    <row r="141" ht="15.75" customHeight="1">
      <c r="A141" s="35">
        <f>Bill!$Y141</f>
        <v>45699</v>
      </c>
      <c r="B141" s="43">
        <f>'Raw Data'!E143+Bill!$L$2</f>
        <v>148</v>
      </c>
      <c r="C141" s="43">
        <f>'Raw Data'!E143+Bill!$M$2</f>
        <v>153</v>
      </c>
      <c r="D141" s="43">
        <f>('Raw Data'!$F143*2)-10</f>
        <v>210</v>
      </c>
      <c r="E141" s="43">
        <f>'Raw Data'!F143+Bill!$O$2</f>
        <v>130</v>
      </c>
      <c r="F141" s="43">
        <f>'Raw Data'!F143+Bill!$P$2</f>
        <v>135</v>
      </c>
      <c r="G141" s="43"/>
      <c r="H141" s="43">
        <f>('Raw Data'!F143+Bill!$R$2)</f>
        <v>130</v>
      </c>
      <c r="I141" s="36">
        <f>'Raw Data'!G143/100</f>
        <v>4.95</v>
      </c>
      <c r="K141" s="37">
        <f>Bill!$Y141</f>
        <v>45699</v>
      </c>
      <c r="L141" s="38">
        <f>Bill!$AA141*('Raw Data'!$E143+$L$2)</f>
        <v>0</v>
      </c>
      <c r="M141" s="38">
        <f>Bill!$AB141*('Raw Data'!$E143+$M$2)</f>
        <v>780.3</v>
      </c>
      <c r="N141" s="38">
        <f>(('Raw Data'!$F143 * 2)-10)*Bill!$AC141</f>
        <v>630</v>
      </c>
      <c r="O141" s="38">
        <f>('Raw Data'!F143+Bill!$O$2)*Bill!$AD141</f>
        <v>0</v>
      </c>
      <c r="P141" s="38">
        <f>('Raw Data'!F143+Bill!$P$2)*Bill!$AE141</f>
        <v>405</v>
      </c>
      <c r="Q141" s="38">
        <f>Bill!$Z141*('Raw Data'!$E143+$Q$2)</f>
        <v>0</v>
      </c>
      <c r="R141" s="38">
        <f>('Raw Data'!F143+Bill!$R$2)*Bill!$AF141</f>
        <v>0</v>
      </c>
      <c r="S141" s="48">
        <f>('Raw Data'!G143/100)*Bill!$AG141</f>
        <v>0</v>
      </c>
      <c r="T141" s="38">
        <f>SUM(Bill!$L141:$R141)</f>
        <v>1815.3</v>
      </c>
      <c r="U141" s="49">
        <v>1830.0</v>
      </c>
      <c r="V141" s="50"/>
      <c r="W141" s="38">
        <f>Bill!$U141-Bill!$T141</f>
        <v>14.7</v>
      </c>
      <c r="Y141" s="37">
        <f>'Raw Data'!D143</f>
        <v>45699</v>
      </c>
      <c r="Z141" s="41">
        <v>0.0</v>
      </c>
      <c r="AA141" s="47">
        <v>0.0</v>
      </c>
      <c r="AB141" s="47">
        <v>5.1</v>
      </c>
      <c r="AC141" s="47">
        <v>3.0</v>
      </c>
      <c r="AD141" s="47">
        <v>0.0</v>
      </c>
      <c r="AE141" s="47">
        <v>3.0</v>
      </c>
      <c r="AF141" s="47">
        <v>0.0</v>
      </c>
      <c r="AG141" s="47">
        <v>0.0</v>
      </c>
    </row>
    <row r="142" ht="15.75" customHeight="1">
      <c r="A142" s="35">
        <f>Bill!$Y142</f>
        <v>45700</v>
      </c>
      <c r="B142" s="43">
        <f>'Raw Data'!E144+Bill!$L$2</f>
        <v>148</v>
      </c>
      <c r="C142" s="43">
        <f>'Raw Data'!E144+Bill!$M$2</f>
        <v>153</v>
      </c>
      <c r="D142" s="43">
        <f>('Raw Data'!$F144*2)-10</f>
        <v>210</v>
      </c>
      <c r="E142" s="43">
        <f>'Raw Data'!F144+Bill!$O$2</f>
        <v>130</v>
      </c>
      <c r="F142" s="43">
        <f>'Raw Data'!F144+Bill!$P$2</f>
        <v>135</v>
      </c>
      <c r="G142" s="43"/>
      <c r="H142" s="43">
        <f>('Raw Data'!F144+Bill!$R$2)</f>
        <v>130</v>
      </c>
      <c r="I142" s="36">
        <f>'Raw Data'!G144/100</f>
        <v>4.95</v>
      </c>
      <c r="K142" s="37">
        <f>Bill!$Y142</f>
        <v>45700</v>
      </c>
      <c r="L142" s="38">
        <f>Bill!$AA142*('Raw Data'!$E144+$L$2)</f>
        <v>1642.8</v>
      </c>
      <c r="M142" s="38">
        <f>Bill!$AB142*('Raw Data'!$E144+$M$2)</f>
        <v>1866.6</v>
      </c>
      <c r="N142" s="38">
        <f>(('Raw Data'!$F144 * 2)-10)*Bill!$AC142</f>
        <v>1050</v>
      </c>
      <c r="O142" s="38">
        <f>('Raw Data'!F144+Bill!$O$2)*Bill!$AD142</f>
        <v>0</v>
      </c>
      <c r="P142" s="38">
        <f>('Raw Data'!F144+Bill!$P$2)*Bill!$AE142</f>
        <v>0</v>
      </c>
      <c r="Q142" s="38">
        <f>Bill!$Z142*('Raw Data'!$E144+$Q$2)</f>
        <v>0</v>
      </c>
      <c r="R142" s="38">
        <f>('Raw Data'!F144+Bill!$R$2)*Bill!$AF142</f>
        <v>0</v>
      </c>
      <c r="S142" s="48">
        <f>('Raw Data'!G144/100)*Bill!$AG142</f>
        <v>0</v>
      </c>
      <c r="T142" s="38">
        <f>SUM(Bill!$L142:$R142)</f>
        <v>4559.4</v>
      </c>
      <c r="U142" s="49">
        <v>4559.0</v>
      </c>
      <c r="V142" s="50"/>
      <c r="W142" s="38">
        <f>Bill!$U142-Bill!$T142</f>
        <v>-0.4</v>
      </c>
      <c r="Y142" s="37">
        <f>'Raw Data'!D144</f>
        <v>45700</v>
      </c>
      <c r="Z142" s="41">
        <v>0.0</v>
      </c>
      <c r="AA142" s="47">
        <v>11.1</v>
      </c>
      <c r="AB142" s="47">
        <v>12.2</v>
      </c>
      <c r="AC142" s="47">
        <v>5.0</v>
      </c>
      <c r="AD142" s="47">
        <v>0.0</v>
      </c>
      <c r="AE142" s="47">
        <v>0.0</v>
      </c>
      <c r="AF142" s="47">
        <v>0.0</v>
      </c>
      <c r="AG142" s="47">
        <v>0.0</v>
      </c>
    </row>
    <row r="143" ht="15.75" customHeight="1">
      <c r="A143" s="35">
        <f>Bill!$Y143</f>
        <v>45701</v>
      </c>
      <c r="B143" s="43">
        <f>'Raw Data'!E145+Bill!$L$2</f>
        <v>148</v>
      </c>
      <c r="C143" s="43">
        <f>'Raw Data'!E145+Bill!$M$2</f>
        <v>153</v>
      </c>
      <c r="D143" s="43">
        <f>('Raw Data'!$F145*2)-10</f>
        <v>204</v>
      </c>
      <c r="E143" s="43">
        <f>'Raw Data'!F145+Bill!$O$2</f>
        <v>127</v>
      </c>
      <c r="F143" s="43">
        <f>'Raw Data'!F145+Bill!$P$2</f>
        <v>132</v>
      </c>
      <c r="G143" s="43"/>
      <c r="H143" s="43">
        <f>('Raw Data'!F145+Bill!$R$2)</f>
        <v>127</v>
      </c>
      <c r="I143" s="36">
        <f>'Raw Data'!G145/100</f>
        <v>4.95</v>
      </c>
      <c r="K143" s="37">
        <f>Bill!$Y143</f>
        <v>45701</v>
      </c>
      <c r="L143" s="38">
        <f>Bill!$AA143*('Raw Data'!$E145+$L$2)</f>
        <v>0</v>
      </c>
      <c r="M143" s="38">
        <f>Bill!$AB143*('Raw Data'!$E145+$M$2)</f>
        <v>2295</v>
      </c>
      <c r="N143" s="38">
        <f>(('Raw Data'!$F145 * 2)-10)*Bill!$AC143</f>
        <v>816</v>
      </c>
      <c r="O143" s="38">
        <f>('Raw Data'!F145+Bill!$O$2)*Bill!$AD143</f>
        <v>425.45</v>
      </c>
      <c r="P143" s="38">
        <f>('Raw Data'!F145+Bill!$P$2)*Bill!$AE143</f>
        <v>264</v>
      </c>
      <c r="Q143" s="38">
        <f>Bill!$Z143*('Raw Data'!$E145+$Q$2)</f>
        <v>0</v>
      </c>
      <c r="R143" s="38">
        <f>('Raw Data'!F145+Bill!$R$2)*Bill!$AF143</f>
        <v>0</v>
      </c>
      <c r="S143" s="48">
        <f>('Raw Data'!G145/100)*Bill!$AG143</f>
        <v>0</v>
      </c>
      <c r="T143" s="38">
        <f>SUM(Bill!$L143:$R143)</f>
        <v>3800.45</v>
      </c>
      <c r="U143" s="49">
        <v>3810.0</v>
      </c>
      <c r="V143" s="50"/>
      <c r="W143" s="38">
        <f>Bill!$U143-Bill!$T143</f>
        <v>9.55</v>
      </c>
      <c r="Y143" s="37">
        <f>'Raw Data'!D145</f>
        <v>45701</v>
      </c>
      <c r="Z143" s="41">
        <v>0.0</v>
      </c>
      <c r="AA143" s="47">
        <v>0.0</v>
      </c>
      <c r="AB143" s="47">
        <v>15.0</v>
      </c>
      <c r="AC143" s="47">
        <v>4.0</v>
      </c>
      <c r="AD143" s="47">
        <v>3.35</v>
      </c>
      <c r="AE143" s="47">
        <v>2.0</v>
      </c>
      <c r="AF143" s="47">
        <v>0.0</v>
      </c>
      <c r="AG143" s="47">
        <v>0.0</v>
      </c>
    </row>
    <row r="144" ht="15.75" customHeight="1">
      <c r="A144" s="35">
        <f>Bill!$Y144</f>
        <v>45702</v>
      </c>
      <c r="B144" s="43">
        <f>'Raw Data'!E146+Bill!$L$2</f>
        <v>148</v>
      </c>
      <c r="C144" s="43">
        <f>'Raw Data'!E146+Bill!$M$2</f>
        <v>153</v>
      </c>
      <c r="D144" s="43">
        <f>('Raw Data'!$F146*2)-10</f>
        <v>204</v>
      </c>
      <c r="E144" s="43">
        <f>'Raw Data'!F146+Bill!$O$2</f>
        <v>127</v>
      </c>
      <c r="F144" s="43">
        <f>'Raw Data'!F146+Bill!$P$2</f>
        <v>132</v>
      </c>
      <c r="G144" s="43"/>
      <c r="H144" s="43">
        <f>('Raw Data'!F146+Bill!$R$2)</f>
        <v>127</v>
      </c>
      <c r="I144" s="36">
        <f>'Raw Data'!G146/100</f>
        <v>4.95</v>
      </c>
      <c r="K144" s="37">
        <f>Bill!$Y144</f>
        <v>45702</v>
      </c>
      <c r="L144" s="38">
        <f>Bill!$AA144*('Raw Data'!$E146+$L$2)</f>
        <v>0</v>
      </c>
      <c r="M144" s="38">
        <f>Bill!$AB144*('Raw Data'!$E146+$M$2)</f>
        <v>780.3</v>
      </c>
      <c r="N144" s="38">
        <f>(('Raw Data'!$F146 * 2)-10)*Bill!$AC144</f>
        <v>612</v>
      </c>
      <c r="O144" s="38">
        <f>('Raw Data'!F146+Bill!$O$2)*Bill!$AD144</f>
        <v>0</v>
      </c>
      <c r="P144" s="38">
        <f>('Raw Data'!F146+Bill!$P$2)*Bill!$AE144</f>
        <v>0</v>
      </c>
      <c r="Q144" s="38">
        <f>Bill!$Z144*('Raw Data'!$E146+$Q$2)</f>
        <v>0</v>
      </c>
      <c r="R144" s="38">
        <f>('Raw Data'!F146+Bill!$R$2)*Bill!$AF144</f>
        <v>0</v>
      </c>
      <c r="S144" s="48">
        <f>('Raw Data'!G146/100)*Bill!$AG144</f>
        <v>742.5</v>
      </c>
      <c r="T144" s="38">
        <f>SUM(Bill!$L144:$R144)</f>
        <v>1392.3</v>
      </c>
      <c r="U144" s="49">
        <v>1392.0</v>
      </c>
      <c r="V144" s="50"/>
      <c r="W144" s="38">
        <f>Bill!$U144-Bill!$T144</f>
        <v>-0.3</v>
      </c>
      <c r="Y144" s="37">
        <f>'Raw Data'!D146</f>
        <v>45702</v>
      </c>
      <c r="Z144" s="41">
        <v>0.0</v>
      </c>
      <c r="AA144" s="47">
        <v>0.0</v>
      </c>
      <c r="AB144" s="47">
        <v>5.1</v>
      </c>
      <c r="AC144" s="47">
        <v>3.0</v>
      </c>
      <c r="AD144" s="47">
        <v>0.0</v>
      </c>
      <c r="AE144" s="47">
        <v>0.0</v>
      </c>
      <c r="AF144" s="47">
        <v>0.0</v>
      </c>
      <c r="AG144" s="47">
        <v>150.0</v>
      </c>
    </row>
    <row r="145" ht="15.75" customHeight="1">
      <c r="A145" s="35">
        <f>Bill!$Y145</f>
        <v>45703</v>
      </c>
      <c r="B145" s="43">
        <f>'Raw Data'!E147+Bill!$L$2</f>
        <v>148</v>
      </c>
      <c r="C145" s="43">
        <f>'Raw Data'!E147+Bill!$M$2</f>
        <v>153</v>
      </c>
      <c r="D145" s="43">
        <f>('Raw Data'!$F147*2)-10</f>
        <v>204</v>
      </c>
      <c r="E145" s="43">
        <f>'Raw Data'!F147+Bill!$O$2</f>
        <v>127</v>
      </c>
      <c r="F145" s="43">
        <f>'Raw Data'!F147+Bill!$P$2</f>
        <v>132</v>
      </c>
      <c r="G145" s="43"/>
      <c r="H145" s="43">
        <f>('Raw Data'!F147+Bill!$R$2)</f>
        <v>127</v>
      </c>
      <c r="I145" s="36">
        <f>'Raw Data'!G147/100</f>
        <v>4.95</v>
      </c>
      <c r="K145" s="37">
        <f>Bill!$Y145</f>
        <v>45703</v>
      </c>
      <c r="L145" s="38">
        <f>Bill!$AA145*('Raw Data'!$E147+$L$2)</f>
        <v>1457.8</v>
      </c>
      <c r="M145" s="38">
        <f>Bill!$AB145*('Raw Data'!$E147+$M$2)</f>
        <v>3060</v>
      </c>
      <c r="N145" s="38">
        <f>(('Raw Data'!$F147 * 2)-10)*Bill!$AC145</f>
        <v>612</v>
      </c>
      <c r="O145" s="38">
        <f>('Raw Data'!F147+Bill!$O$2)*Bill!$AD145</f>
        <v>0</v>
      </c>
      <c r="P145" s="38">
        <f>('Raw Data'!F147+Bill!$P$2)*Bill!$AE145</f>
        <v>396</v>
      </c>
      <c r="Q145" s="38">
        <f>Bill!$Z145*('Raw Data'!$E147+$Q$2)</f>
        <v>0</v>
      </c>
      <c r="R145" s="38">
        <f>('Raw Data'!F147+Bill!$R$2)*Bill!$AF145</f>
        <v>0</v>
      </c>
      <c r="S145" s="48">
        <f>('Raw Data'!G147/100)*Bill!$AG145</f>
        <v>0</v>
      </c>
      <c r="T145" s="38">
        <f>SUM(Bill!$L145:$R145)</f>
        <v>5525.8</v>
      </c>
      <c r="U145" s="49">
        <v>5540.0</v>
      </c>
      <c r="V145" s="50"/>
      <c r="W145" s="38">
        <f>Bill!$U145-Bill!$T145</f>
        <v>14.2</v>
      </c>
      <c r="Y145" s="37">
        <f>'Raw Data'!D147</f>
        <v>45703</v>
      </c>
      <c r="Z145" s="41">
        <v>0.0</v>
      </c>
      <c r="AA145" s="47">
        <v>9.85</v>
      </c>
      <c r="AB145" s="47">
        <v>20.0</v>
      </c>
      <c r="AC145" s="47">
        <v>3.0</v>
      </c>
      <c r="AD145" s="47">
        <v>0.0</v>
      </c>
      <c r="AE145" s="47">
        <v>3.0</v>
      </c>
      <c r="AF145" s="47">
        <v>0.0</v>
      </c>
      <c r="AG145" s="47">
        <v>0.0</v>
      </c>
    </row>
    <row r="146" ht="15.75" customHeight="1">
      <c r="A146" s="35">
        <f>Bill!$Y146</f>
        <v>45704</v>
      </c>
      <c r="B146" s="43">
        <f>'Raw Data'!E148+Bill!$L$2</f>
        <v>148</v>
      </c>
      <c r="C146" s="43">
        <f>'Raw Data'!E148+Bill!$M$2</f>
        <v>153</v>
      </c>
      <c r="D146" s="43">
        <f>('Raw Data'!$F148*2)-10</f>
        <v>204</v>
      </c>
      <c r="E146" s="43">
        <f>'Raw Data'!F148+Bill!$O$2</f>
        <v>127</v>
      </c>
      <c r="F146" s="43">
        <f>'Raw Data'!F148+Bill!$P$2</f>
        <v>132</v>
      </c>
      <c r="G146" s="43"/>
      <c r="H146" s="43">
        <f>('Raw Data'!F148+Bill!$R$2)</f>
        <v>127</v>
      </c>
      <c r="I146" s="36">
        <f>'Raw Data'!G148/100</f>
        <v>4.95</v>
      </c>
      <c r="K146" s="37">
        <f>Bill!$Y146</f>
        <v>45704</v>
      </c>
      <c r="L146" s="38">
        <f>Bill!$AA146*('Raw Data'!$E148+$L$2)</f>
        <v>1447.44</v>
      </c>
      <c r="M146" s="38">
        <f>Bill!$AB146*('Raw Data'!$E148+$M$2)</f>
        <v>1530</v>
      </c>
      <c r="N146" s="38">
        <f>(('Raw Data'!$F148 * 2)-10)*Bill!$AC146</f>
        <v>1101.6</v>
      </c>
      <c r="O146" s="38">
        <f>('Raw Data'!F148+Bill!$O$2)*Bill!$AD146</f>
        <v>0</v>
      </c>
      <c r="P146" s="38">
        <f>('Raw Data'!F148+Bill!$P$2)*Bill!$AE146</f>
        <v>158.4</v>
      </c>
      <c r="Q146" s="38">
        <f>Bill!$Z146*('Raw Data'!$E148+$Q$2)</f>
        <v>0</v>
      </c>
      <c r="R146" s="38">
        <f>('Raw Data'!F148+Bill!$R$2)*Bill!$AF146</f>
        <v>0</v>
      </c>
      <c r="S146" s="48">
        <f>('Raw Data'!G148/100)*Bill!$AG146</f>
        <v>0</v>
      </c>
      <c r="T146" s="38">
        <f>SUM(Bill!$L146:$R146)</f>
        <v>4237.44</v>
      </c>
      <c r="U146" s="49">
        <v>4237.0</v>
      </c>
      <c r="V146" s="50"/>
      <c r="W146" s="38">
        <f>Bill!$U146-Bill!$T146</f>
        <v>-0.44</v>
      </c>
      <c r="Y146" s="37">
        <f>'Raw Data'!D148</f>
        <v>45704</v>
      </c>
      <c r="Z146" s="41">
        <v>0.0</v>
      </c>
      <c r="AA146" s="47">
        <v>9.78</v>
      </c>
      <c r="AB146" s="47">
        <v>10.0</v>
      </c>
      <c r="AC146" s="47">
        <v>5.4</v>
      </c>
      <c r="AD146" s="47">
        <v>0.0</v>
      </c>
      <c r="AE146" s="47">
        <v>1.2</v>
      </c>
      <c r="AF146" s="47">
        <v>0.0</v>
      </c>
      <c r="AG146" s="47">
        <v>0.0</v>
      </c>
    </row>
    <row r="147" ht="15.75" customHeight="1">
      <c r="A147" s="35">
        <f>Bill!$Y147</f>
        <v>45705</v>
      </c>
      <c r="B147" s="43">
        <f>'Raw Data'!E149+Bill!$L$2</f>
        <v>148</v>
      </c>
      <c r="C147" s="43">
        <f>'Raw Data'!E149+Bill!$M$2</f>
        <v>153</v>
      </c>
      <c r="D147" s="43">
        <f>('Raw Data'!$F149*2)-10</f>
        <v>204</v>
      </c>
      <c r="E147" s="43">
        <f>'Raw Data'!F149+Bill!$O$2</f>
        <v>127</v>
      </c>
      <c r="F147" s="43">
        <f>'Raw Data'!F149+Bill!$P$2</f>
        <v>132</v>
      </c>
      <c r="G147" s="43"/>
      <c r="H147" s="43">
        <f>('Raw Data'!F149+Bill!$R$2)</f>
        <v>127</v>
      </c>
      <c r="I147" s="36">
        <f>'Raw Data'!G149/100</f>
        <v>4.85</v>
      </c>
      <c r="K147" s="37">
        <f>Bill!$Y147</f>
        <v>45705</v>
      </c>
      <c r="L147" s="38">
        <f>Bill!$AA147*('Raw Data'!$E149+$L$2)</f>
        <v>1221</v>
      </c>
      <c r="M147" s="38">
        <f>Bill!$AB147*('Raw Data'!$E149+$M$2)</f>
        <v>489.6</v>
      </c>
      <c r="N147" s="38">
        <f>(('Raw Data'!$F149 * 2)-10)*Bill!$AC147</f>
        <v>612</v>
      </c>
      <c r="O147" s="38">
        <f>('Raw Data'!F149+Bill!$O$2)*Bill!$AD147</f>
        <v>0</v>
      </c>
      <c r="P147" s="38">
        <f>('Raw Data'!F149+Bill!$P$2)*Bill!$AE147</f>
        <v>0</v>
      </c>
      <c r="Q147" s="38">
        <f>Bill!$Z147*('Raw Data'!$E149+$Q$2)</f>
        <v>0</v>
      </c>
      <c r="R147" s="38">
        <f>('Raw Data'!F149+Bill!$R$2)*Bill!$AF147</f>
        <v>0</v>
      </c>
      <c r="S147" s="48">
        <f>('Raw Data'!G149/100)*Bill!$AG147</f>
        <v>727.5</v>
      </c>
      <c r="T147" s="38">
        <f>SUM(Bill!$L147:$R147)</f>
        <v>2322.6</v>
      </c>
      <c r="U147" s="49">
        <v>2323.0</v>
      </c>
      <c r="V147" s="50"/>
      <c r="W147" s="38">
        <f>Bill!$U147-Bill!$T147</f>
        <v>0.4</v>
      </c>
      <c r="Y147" s="37">
        <f>'Raw Data'!D149</f>
        <v>45705</v>
      </c>
      <c r="Z147" s="41">
        <v>0.0</v>
      </c>
      <c r="AA147" s="47">
        <v>8.25</v>
      </c>
      <c r="AB147" s="47">
        <v>3.2</v>
      </c>
      <c r="AC147" s="47">
        <v>3.0</v>
      </c>
      <c r="AD147" s="47">
        <v>0.0</v>
      </c>
      <c r="AE147" s="47">
        <v>0.0</v>
      </c>
      <c r="AF147" s="47">
        <v>0.0</v>
      </c>
      <c r="AG147" s="47">
        <v>150.0</v>
      </c>
    </row>
    <row r="148" ht="15.75" customHeight="1">
      <c r="A148" s="35">
        <f>Bill!$Y148</f>
        <v>45706</v>
      </c>
      <c r="B148" s="43">
        <f>'Raw Data'!E150+Bill!$L$2</f>
        <v>146</v>
      </c>
      <c r="C148" s="43">
        <f>'Raw Data'!E150+Bill!$M$2</f>
        <v>151</v>
      </c>
      <c r="D148" s="43">
        <f>('Raw Data'!$F150*2)-10</f>
        <v>196</v>
      </c>
      <c r="E148" s="43">
        <f>'Raw Data'!F150+Bill!$O$2</f>
        <v>123</v>
      </c>
      <c r="F148" s="43">
        <f>'Raw Data'!F150+Bill!$P$2</f>
        <v>128</v>
      </c>
      <c r="G148" s="43"/>
      <c r="H148" s="43">
        <f>('Raw Data'!F150+Bill!$R$2)</f>
        <v>123</v>
      </c>
      <c r="I148" s="36">
        <f>'Raw Data'!G150/100</f>
        <v>4.85</v>
      </c>
      <c r="K148" s="37">
        <f>Bill!$Y148</f>
        <v>45706</v>
      </c>
      <c r="L148" s="38">
        <f>Bill!$AA148*('Raw Data'!$E150+$L$2)</f>
        <v>0</v>
      </c>
      <c r="M148" s="38">
        <f>Bill!$AB148*('Raw Data'!$E150+$M$2)</f>
        <v>755</v>
      </c>
      <c r="N148" s="38">
        <f>(('Raw Data'!$F150 * 2)-10)*Bill!$AC148</f>
        <v>588</v>
      </c>
      <c r="O148" s="38">
        <f>('Raw Data'!F150+Bill!$O$2)*Bill!$AD148</f>
        <v>0</v>
      </c>
      <c r="P148" s="38">
        <f>('Raw Data'!F150+Bill!$P$2)*Bill!$AE148</f>
        <v>0</v>
      </c>
      <c r="Q148" s="38">
        <f>Bill!$Z148*('Raw Data'!$E150+$Q$2)</f>
        <v>0</v>
      </c>
      <c r="R148" s="38">
        <f>('Raw Data'!F150+Bill!$R$2)*Bill!$AF148</f>
        <v>0</v>
      </c>
      <c r="S148" s="48">
        <f>('Raw Data'!G150/100)*Bill!$AG148</f>
        <v>0</v>
      </c>
      <c r="T148" s="38">
        <f>SUM(Bill!$L148:$R148)</f>
        <v>1343</v>
      </c>
      <c r="U148" s="49">
        <v>1343.0</v>
      </c>
      <c r="V148" s="50"/>
      <c r="W148" s="38">
        <f>Bill!$U148-Bill!$T148</f>
        <v>0</v>
      </c>
      <c r="Y148" s="37">
        <f>'Raw Data'!D150</f>
        <v>45706</v>
      </c>
      <c r="Z148" s="41">
        <v>0.0</v>
      </c>
      <c r="AA148" s="47">
        <v>0.0</v>
      </c>
      <c r="AB148" s="47">
        <v>5.0</v>
      </c>
      <c r="AC148" s="47">
        <v>3.0</v>
      </c>
      <c r="AD148" s="47">
        <v>0.0</v>
      </c>
      <c r="AE148" s="47">
        <v>0.0</v>
      </c>
      <c r="AF148" s="47">
        <v>0.0</v>
      </c>
      <c r="AG148" s="47">
        <v>0.0</v>
      </c>
    </row>
    <row r="149" ht="15.75" customHeight="1">
      <c r="A149" s="35">
        <f>Bill!$Y149</f>
        <v>45707</v>
      </c>
      <c r="B149" s="43">
        <f>'Raw Data'!E151+Bill!$L$2</f>
        <v>144</v>
      </c>
      <c r="C149" s="43">
        <f>'Raw Data'!E151+Bill!$M$2</f>
        <v>149</v>
      </c>
      <c r="D149" s="43">
        <f>('Raw Data'!$F151*2)-10</f>
        <v>184</v>
      </c>
      <c r="E149" s="43">
        <f>'Raw Data'!F151+Bill!$O$2</f>
        <v>117</v>
      </c>
      <c r="F149" s="43">
        <f>'Raw Data'!F151+Bill!$P$2</f>
        <v>122</v>
      </c>
      <c r="G149" s="43"/>
      <c r="H149" s="43">
        <f>('Raw Data'!F151+Bill!$R$2)</f>
        <v>117</v>
      </c>
      <c r="I149" s="36">
        <f>'Raw Data'!G151/100</f>
        <v>4.8</v>
      </c>
      <c r="K149" s="37">
        <f>Bill!$Y149</f>
        <v>45707</v>
      </c>
      <c r="L149" s="38">
        <f>Bill!$AA149*('Raw Data'!$E151+$L$2)</f>
        <v>684</v>
      </c>
      <c r="M149" s="38">
        <f>Bill!$AB149*('Raw Data'!$E151+$M$2)</f>
        <v>916.35</v>
      </c>
      <c r="N149" s="38">
        <f>(('Raw Data'!$F151 * 2)-10)*Bill!$AC149</f>
        <v>736</v>
      </c>
      <c r="O149" s="38">
        <f>('Raw Data'!F151+Bill!$O$2)*Bill!$AD149</f>
        <v>0</v>
      </c>
      <c r="P149" s="38">
        <f>('Raw Data'!F151+Bill!$P$2)*Bill!$AE149</f>
        <v>366</v>
      </c>
      <c r="Q149" s="38">
        <f>Bill!$Z149*('Raw Data'!$E151+$Q$2)</f>
        <v>0</v>
      </c>
      <c r="R149" s="38">
        <f>('Raw Data'!F151+Bill!$R$2)*Bill!$AF149</f>
        <v>0</v>
      </c>
      <c r="S149" s="48">
        <f>('Raw Data'!G151/100)*Bill!$AG149</f>
        <v>0</v>
      </c>
      <c r="T149" s="38">
        <f>SUM(Bill!$L149:$R149)</f>
        <v>2702.35</v>
      </c>
      <c r="U149" s="49">
        <v>2717.0</v>
      </c>
      <c r="V149" s="50"/>
      <c r="W149" s="38">
        <f>Bill!$U149-Bill!$T149</f>
        <v>14.65</v>
      </c>
      <c r="Y149" s="37">
        <f>'Raw Data'!D151</f>
        <v>45707</v>
      </c>
      <c r="Z149" s="41">
        <v>0.0</v>
      </c>
      <c r="AA149" s="47">
        <v>4.75</v>
      </c>
      <c r="AB149" s="47">
        <v>6.15</v>
      </c>
      <c r="AC149" s="47">
        <v>4.0</v>
      </c>
      <c r="AD149" s="47">
        <v>0.0</v>
      </c>
      <c r="AE149" s="47">
        <v>3.0</v>
      </c>
      <c r="AF149" s="47">
        <v>0.0</v>
      </c>
      <c r="AG149" s="47">
        <v>0.0</v>
      </c>
    </row>
    <row r="150" ht="15.75" customHeight="1">
      <c r="A150" s="35">
        <f>Bill!$Y150</f>
        <v>45708</v>
      </c>
      <c r="B150" s="43">
        <f>'Raw Data'!E152+Bill!$L$2</f>
        <v>142</v>
      </c>
      <c r="C150" s="43">
        <f>'Raw Data'!E152+Bill!$M$2</f>
        <v>147</v>
      </c>
      <c r="D150" s="43">
        <f>('Raw Data'!$F152*2)-10</f>
        <v>184</v>
      </c>
      <c r="E150" s="43">
        <f>'Raw Data'!F152+Bill!$O$2</f>
        <v>117</v>
      </c>
      <c r="F150" s="43">
        <f>'Raw Data'!F152+Bill!$P$2</f>
        <v>122</v>
      </c>
      <c r="G150" s="43"/>
      <c r="H150" s="43">
        <f>('Raw Data'!F152+Bill!$R$2)</f>
        <v>117</v>
      </c>
      <c r="I150" s="36">
        <f>'Raw Data'!G152/100</f>
        <v>4.8</v>
      </c>
      <c r="K150" s="37">
        <f>Bill!$Y150</f>
        <v>45708</v>
      </c>
      <c r="L150" s="38">
        <f>Bill!$AA150*('Raw Data'!$E152+$L$2)</f>
        <v>667.4</v>
      </c>
      <c r="M150" s="38">
        <f>Bill!$AB150*('Raw Data'!$E152+$M$2)</f>
        <v>1499.4</v>
      </c>
      <c r="N150" s="38">
        <f>(('Raw Data'!$F152 * 2)-10)*Bill!$AC150</f>
        <v>920</v>
      </c>
      <c r="O150" s="38">
        <f>('Raw Data'!F152+Bill!$O$2)*Bill!$AD150</f>
        <v>391.95</v>
      </c>
      <c r="P150" s="38">
        <f>('Raw Data'!F152+Bill!$P$2)*Bill!$AE150</f>
        <v>244</v>
      </c>
      <c r="Q150" s="38">
        <f>Bill!$Z150*('Raw Data'!$E152+$Q$2)</f>
        <v>0</v>
      </c>
      <c r="R150" s="38">
        <f>('Raw Data'!F152+Bill!$R$2)*Bill!$AF150</f>
        <v>0</v>
      </c>
      <c r="S150" s="48">
        <f>('Raw Data'!G152/100)*Bill!$AG150</f>
        <v>0</v>
      </c>
      <c r="T150" s="38">
        <f>SUM(Bill!$L150:$R150)</f>
        <v>3722.75</v>
      </c>
      <c r="U150" s="49">
        <v>3732.0</v>
      </c>
      <c r="V150" s="50"/>
      <c r="W150" s="38">
        <f>Bill!$U150-Bill!$T150</f>
        <v>9.25</v>
      </c>
      <c r="Y150" s="37">
        <f>'Raw Data'!D152</f>
        <v>45708</v>
      </c>
      <c r="Z150" s="41">
        <v>0.0</v>
      </c>
      <c r="AA150" s="47">
        <v>4.7</v>
      </c>
      <c r="AB150" s="47">
        <v>10.2</v>
      </c>
      <c r="AC150" s="47">
        <v>5.0</v>
      </c>
      <c r="AD150" s="47">
        <v>3.35</v>
      </c>
      <c r="AE150" s="47">
        <v>2.0</v>
      </c>
      <c r="AF150" s="47"/>
      <c r="AG150" s="47"/>
    </row>
    <row r="151" ht="15.75" customHeight="1">
      <c r="A151" s="35">
        <f>Bill!$Y151</f>
        <v>45709</v>
      </c>
      <c r="B151" s="43">
        <f>'Raw Data'!E153+Bill!$L$2</f>
        <v>142</v>
      </c>
      <c r="C151" s="43">
        <f>'Raw Data'!E153+Bill!$M$2</f>
        <v>147</v>
      </c>
      <c r="D151" s="43">
        <f>('Raw Data'!$F153*2)-10</f>
        <v>174</v>
      </c>
      <c r="E151" s="43">
        <f>'Raw Data'!F153+Bill!$O$2</f>
        <v>112</v>
      </c>
      <c r="F151" s="43">
        <f>'Raw Data'!F153+Bill!$P$2</f>
        <v>117</v>
      </c>
      <c r="G151" s="43"/>
      <c r="H151" s="43">
        <f>('Raw Data'!F153+Bill!$R$2)</f>
        <v>112</v>
      </c>
      <c r="I151" s="36">
        <f>'Raw Data'!G153/100</f>
        <v>4.8</v>
      </c>
      <c r="K151" s="37">
        <f>Bill!$Y151</f>
        <v>45709</v>
      </c>
      <c r="L151" s="38">
        <f>Bill!$AA151*('Raw Data'!$E153+$L$2)</f>
        <v>710</v>
      </c>
      <c r="M151" s="38">
        <f>Bill!$AB151*('Raw Data'!$E153+$M$2)</f>
        <v>2675.4</v>
      </c>
      <c r="N151" s="38">
        <f>(('Raw Data'!$F153 * 2)-10)*Bill!$AC151</f>
        <v>522</v>
      </c>
      <c r="O151" s="38">
        <f>('Raw Data'!F153+Bill!$O$2)*Bill!$AD151</f>
        <v>0</v>
      </c>
      <c r="P151" s="38">
        <f>('Raw Data'!F153+Bill!$P$2)*Bill!$AE151</f>
        <v>0</v>
      </c>
      <c r="Q151" s="38">
        <f>Bill!$Z151*('Raw Data'!$E153+$Q$2)</f>
        <v>0</v>
      </c>
      <c r="R151" s="38">
        <f>('Raw Data'!F153+Bill!$R$2)*Bill!$AF151</f>
        <v>0</v>
      </c>
      <c r="S151" s="48">
        <f>('Raw Data'!G153/100)*Bill!$AG151</f>
        <v>0</v>
      </c>
      <c r="T151" s="38">
        <f>SUM(Bill!$L151:$R151)</f>
        <v>3907.4</v>
      </c>
      <c r="U151" s="49">
        <v>3907.0</v>
      </c>
      <c r="V151" s="50"/>
      <c r="W151" s="38">
        <f>Bill!$U151-Bill!$T151</f>
        <v>-0.4</v>
      </c>
      <c r="Y151" s="37">
        <f>'Raw Data'!D153</f>
        <v>45709</v>
      </c>
      <c r="Z151" s="41">
        <v>0.0</v>
      </c>
      <c r="AA151" s="47">
        <v>5.0</v>
      </c>
      <c r="AB151" s="47">
        <v>18.2</v>
      </c>
      <c r="AC151" s="47">
        <v>3.0</v>
      </c>
      <c r="AD151" s="47">
        <v>0.0</v>
      </c>
      <c r="AE151" s="47">
        <v>0.0</v>
      </c>
      <c r="AF151" s="47">
        <v>0.0</v>
      </c>
      <c r="AG151" s="47">
        <v>0.0</v>
      </c>
    </row>
    <row r="152" ht="15.75" customHeight="1">
      <c r="A152" s="35">
        <f>Bill!$Y152</f>
        <v>45710</v>
      </c>
      <c r="B152" s="43">
        <f>'Raw Data'!E154+Bill!$L$2</f>
        <v>142</v>
      </c>
      <c r="C152" s="43">
        <f>'Raw Data'!E154+Bill!$M$2</f>
        <v>147</v>
      </c>
      <c r="D152" s="43">
        <f>('Raw Data'!$F154*2)-10</f>
        <v>180</v>
      </c>
      <c r="E152" s="43">
        <f>'Raw Data'!F154+Bill!$O$2</f>
        <v>115</v>
      </c>
      <c r="F152" s="43">
        <f>'Raw Data'!F154+Bill!$P$2</f>
        <v>120</v>
      </c>
      <c r="G152" s="43"/>
      <c r="H152" s="43">
        <f>('Raw Data'!F154+Bill!$R$2)</f>
        <v>115</v>
      </c>
      <c r="I152" s="36">
        <f>'Raw Data'!G154/100</f>
        <v>4.8</v>
      </c>
      <c r="K152" s="37">
        <f>Bill!$Y152</f>
        <v>45710</v>
      </c>
      <c r="L152" s="38">
        <f>Bill!$AA152*('Raw Data'!$E154+$L$2)</f>
        <v>0</v>
      </c>
      <c r="M152" s="38">
        <f>Bill!$AB152*('Raw Data'!$E154+$M$2)</f>
        <v>1176</v>
      </c>
      <c r="N152" s="38">
        <f>(('Raw Data'!$F154 * 2)-10)*Bill!$AC152</f>
        <v>900</v>
      </c>
      <c r="O152" s="38">
        <f>('Raw Data'!F154+Bill!$O$2)*Bill!$AD152</f>
        <v>0</v>
      </c>
      <c r="P152" s="38">
        <f>('Raw Data'!F154+Bill!$P$2)*Bill!$AE152</f>
        <v>0</v>
      </c>
      <c r="Q152" s="38">
        <f>Bill!$Z152*('Raw Data'!$E154+$Q$2)</f>
        <v>0</v>
      </c>
      <c r="R152" s="38">
        <f>('Raw Data'!F154+Bill!$R$2)*Bill!$AF152</f>
        <v>0</v>
      </c>
      <c r="S152" s="48">
        <f>('Raw Data'!G154/100)*Bill!$AG152</f>
        <v>0</v>
      </c>
      <c r="T152" s="38">
        <f>SUM(Bill!$L152:$R152)</f>
        <v>2076</v>
      </c>
      <c r="U152" s="49">
        <v>2076.0</v>
      </c>
      <c r="V152" s="50"/>
      <c r="W152" s="38">
        <f>Bill!$U152-Bill!$T152</f>
        <v>0</v>
      </c>
      <c r="Y152" s="37">
        <f>'Raw Data'!D154</f>
        <v>45710</v>
      </c>
      <c r="Z152" s="41">
        <v>0.0</v>
      </c>
      <c r="AA152" s="47">
        <v>0.0</v>
      </c>
      <c r="AB152" s="47">
        <v>8.0</v>
      </c>
      <c r="AC152" s="47">
        <v>5.0</v>
      </c>
      <c r="AD152" s="47">
        <v>0.0</v>
      </c>
      <c r="AE152" s="47">
        <v>0.0</v>
      </c>
      <c r="AF152" s="47">
        <v>0.0</v>
      </c>
      <c r="AG152" s="47">
        <v>0.0</v>
      </c>
    </row>
    <row r="153" ht="15.75" customHeight="1">
      <c r="A153" s="35">
        <f>Bill!$Y153</f>
        <v>45711</v>
      </c>
      <c r="B153" s="43">
        <f>'Raw Data'!E155+Bill!$L$2</f>
        <v>142</v>
      </c>
      <c r="C153" s="43">
        <f>'Raw Data'!E155+Bill!$M$2</f>
        <v>147</v>
      </c>
      <c r="D153" s="43">
        <f>('Raw Data'!$F155*2)-10</f>
        <v>184</v>
      </c>
      <c r="E153" s="43">
        <f>'Raw Data'!F155+Bill!$O$2</f>
        <v>117</v>
      </c>
      <c r="F153" s="43">
        <f>'Raw Data'!F155+Bill!$P$2</f>
        <v>122</v>
      </c>
      <c r="G153" s="43"/>
      <c r="H153" s="43">
        <f>('Raw Data'!F155+Bill!$R$2)</f>
        <v>117</v>
      </c>
      <c r="I153" s="36">
        <f>'Raw Data'!G155/100</f>
        <v>4.8</v>
      </c>
      <c r="K153" s="37">
        <f>Bill!$Y153</f>
        <v>45711</v>
      </c>
      <c r="L153" s="38">
        <f>Bill!$AA153*('Raw Data'!$E155+$L$2)</f>
        <v>781</v>
      </c>
      <c r="M153" s="38">
        <f>Bill!$AB153*('Raw Data'!$E155+$M$2)</f>
        <v>441</v>
      </c>
      <c r="N153" s="38">
        <f>(('Raw Data'!$F155 * 2)-10)*Bill!$AC153</f>
        <v>920</v>
      </c>
      <c r="O153" s="38">
        <f>('Raw Data'!F155+Bill!$O$2)*Bill!$AD153</f>
        <v>0</v>
      </c>
      <c r="P153" s="38">
        <f>('Raw Data'!F155+Bill!$P$2)*Bill!$AE153</f>
        <v>366</v>
      </c>
      <c r="Q153" s="38">
        <f>Bill!$Z153*('Raw Data'!$E155+$Q$2)</f>
        <v>0</v>
      </c>
      <c r="R153" s="38">
        <f>('Raw Data'!F155+Bill!$R$2)*Bill!$AF153</f>
        <v>403.65</v>
      </c>
      <c r="S153" s="48">
        <f>('Raw Data'!G155/100)*Bill!$AG153</f>
        <v>0</v>
      </c>
      <c r="T153" s="38">
        <f>SUM(Bill!$L153:$R153)</f>
        <v>2911.65</v>
      </c>
      <c r="U153" s="49">
        <v>2926.0</v>
      </c>
      <c r="V153" s="50"/>
      <c r="W153" s="38">
        <f>Bill!$U153-Bill!$T153</f>
        <v>14.35</v>
      </c>
      <c r="Y153" s="37">
        <f>'Raw Data'!D155</f>
        <v>45711</v>
      </c>
      <c r="Z153" s="41">
        <v>0.0</v>
      </c>
      <c r="AA153" s="47">
        <v>5.5</v>
      </c>
      <c r="AB153" s="47">
        <v>3.0</v>
      </c>
      <c r="AC153" s="47">
        <v>5.0</v>
      </c>
      <c r="AD153" s="47">
        <v>0.0</v>
      </c>
      <c r="AE153" s="47">
        <v>3.0</v>
      </c>
      <c r="AF153" s="47">
        <v>3.45</v>
      </c>
      <c r="AG153" s="47">
        <v>0.0</v>
      </c>
    </row>
    <row r="154" ht="15.75" customHeight="1">
      <c r="A154" s="35">
        <f>Bill!$Y154</f>
        <v>45712</v>
      </c>
      <c r="B154" s="43">
        <f>'Raw Data'!E156+Bill!$L$2</f>
        <v>142</v>
      </c>
      <c r="C154" s="43">
        <f>'Raw Data'!E156+Bill!$M$2</f>
        <v>147</v>
      </c>
      <c r="D154" s="43">
        <f>('Raw Data'!$F156*2)-10</f>
        <v>184</v>
      </c>
      <c r="E154" s="43">
        <f>'Raw Data'!F156+Bill!$O$2</f>
        <v>117</v>
      </c>
      <c r="F154" s="43">
        <f>'Raw Data'!F156+Bill!$P$2</f>
        <v>122</v>
      </c>
      <c r="G154" s="43"/>
      <c r="H154" s="43">
        <f>('Raw Data'!F156+Bill!$R$2)</f>
        <v>117</v>
      </c>
      <c r="I154" s="36">
        <f>'Raw Data'!G156/100</f>
        <v>4.8</v>
      </c>
      <c r="K154" s="37">
        <f>Bill!$Y154</f>
        <v>45712</v>
      </c>
      <c r="L154" s="38">
        <f>Bill!$AA154*('Raw Data'!$E156+$L$2)</f>
        <v>1079.2</v>
      </c>
      <c r="M154" s="38">
        <f>Bill!$AB154*('Raw Data'!$E156+$M$2)</f>
        <v>1470</v>
      </c>
      <c r="N154" s="38">
        <f>(('Raw Data'!$F156 * 2)-10)*Bill!$AC154</f>
        <v>552</v>
      </c>
      <c r="O154" s="38">
        <f>('Raw Data'!F156+Bill!$O$2)*Bill!$AD154</f>
        <v>409.5</v>
      </c>
      <c r="P154" s="38">
        <f>('Raw Data'!F156+Bill!$P$2)*Bill!$AE154</f>
        <v>0</v>
      </c>
      <c r="Q154" s="38">
        <f>Bill!$Z154*('Raw Data'!$E156+$Q$2)</f>
        <v>0</v>
      </c>
      <c r="R154" s="38">
        <f>('Raw Data'!F156+Bill!$R$2)*Bill!$AF154</f>
        <v>0</v>
      </c>
      <c r="S154" s="48">
        <f>('Raw Data'!G156/100)*Bill!$AG154</f>
        <v>0</v>
      </c>
      <c r="T154" s="38">
        <f>SUM(Bill!$L154:$R154)</f>
        <v>3510.7</v>
      </c>
      <c r="U154" s="49">
        <v>3511.0</v>
      </c>
      <c r="V154" s="50"/>
      <c r="W154" s="38">
        <f>Bill!$U154-Bill!$T154</f>
        <v>0.3</v>
      </c>
      <c r="Y154" s="37">
        <f>'Raw Data'!D156</f>
        <v>45712</v>
      </c>
      <c r="Z154" s="41">
        <v>0.0</v>
      </c>
      <c r="AA154" s="47">
        <v>7.6</v>
      </c>
      <c r="AB154" s="47">
        <v>10.0</v>
      </c>
      <c r="AC154" s="47">
        <v>3.0</v>
      </c>
      <c r="AD154" s="47">
        <v>3.5</v>
      </c>
      <c r="AE154" s="47">
        <v>0.0</v>
      </c>
      <c r="AF154" s="47">
        <v>0.0</v>
      </c>
      <c r="AG154" s="47">
        <v>0.0</v>
      </c>
    </row>
    <row r="155" ht="15.75" customHeight="1">
      <c r="A155" s="35">
        <f>Bill!$Y155</f>
        <v>45713</v>
      </c>
      <c r="B155" s="43">
        <f>'Raw Data'!E157+Bill!$L$2</f>
        <v>142</v>
      </c>
      <c r="C155" s="43">
        <f>'Raw Data'!E157+Bill!$M$2</f>
        <v>147</v>
      </c>
      <c r="D155" s="43">
        <f>('Raw Data'!$F157*2)-10</f>
        <v>184</v>
      </c>
      <c r="E155" s="43">
        <f>'Raw Data'!F157+Bill!$O$2</f>
        <v>117</v>
      </c>
      <c r="F155" s="43">
        <f>'Raw Data'!F157+Bill!$P$2</f>
        <v>122</v>
      </c>
      <c r="G155" s="43"/>
      <c r="H155" s="43">
        <f>('Raw Data'!F157+Bill!$R$2)</f>
        <v>117</v>
      </c>
      <c r="I155" s="36">
        <f>'Raw Data'!G157/100</f>
        <v>4.8</v>
      </c>
      <c r="K155" s="37">
        <f>Bill!$Y155</f>
        <v>45713</v>
      </c>
      <c r="L155" s="38">
        <f>Bill!$AA155*('Raw Data'!$E157+$L$2)</f>
        <v>0</v>
      </c>
      <c r="M155" s="38">
        <f>Bill!$AB155*('Raw Data'!$E157+$M$2)</f>
        <v>455.7</v>
      </c>
      <c r="N155" s="38">
        <f>(('Raw Data'!$F157 * 2)-10)*Bill!$AC155</f>
        <v>368</v>
      </c>
      <c r="O155" s="38">
        <f>('Raw Data'!F157+Bill!$O$2)*Bill!$AD155</f>
        <v>0</v>
      </c>
      <c r="P155" s="38">
        <f>('Raw Data'!F157+Bill!$P$2)*Bill!$AE155</f>
        <v>0</v>
      </c>
      <c r="Q155" s="38">
        <f>Bill!$Z155*('Raw Data'!$E157+$Q$2)</f>
        <v>0</v>
      </c>
      <c r="R155" s="38">
        <f>('Raw Data'!F157+Bill!$R$2)*Bill!$AF155</f>
        <v>0</v>
      </c>
      <c r="S155" s="48">
        <f>('Raw Data'!G157/100)*Bill!$AG155</f>
        <v>0</v>
      </c>
      <c r="T155" s="38">
        <f>SUM(Bill!$L155:$R155)</f>
        <v>823.7</v>
      </c>
      <c r="U155" s="49">
        <v>823.0</v>
      </c>
      <c r="V155" s="50"/>
      <c r="W155" s="38">
        <f>Bill!$U155-Bill!$T155</f>
        <v>-0.7</v>
      </c>
      <c r="Y155" s="37">
        <f>'Raw Data'!D157</f>
        <v>45713</v>
      </c>
      <c r="Z155" s="41">
        <v>0.0</v>
      </c>
      <c r="AA155" s="47">
        <v>0.0</v>
      </c>
      <c r="AB155" s="47">
        <v>3.1</v>
      </c>
      <c r="AC155" s="47">
        <v>2.0</v>
      </c>
      <c r="AD155" s="47">
        <v>0.0</v>
      </c>
      <c r="AE155" s="47">
        <v>0.0</v>
      </c>
      <c r="AF155" s="47">
        <v>0.0</v>
      </c>
      <c r="AG155" s="47"/>
    </row>
    <row r="156" ht="15.75" customHeight="1">
      <c r="A156" s="35">
        <f>Bill!$Y156</f>
        <v>45714</v>
      </c>
      <c r="B156" s="43">
        <f>'Raw Data'!E158+Bill!$L$2</f>
        <v>142</v>
      </c>
      <c r="C156" s="43">
        <f>'Raw Data'!E158+Bill!$M$2</f>
        <v>147</v>
      </c>
      <c r="D156" s="43">
        <f>('Raw Data'!$F158*2)-10</f>
        <v>184</v>
      </c>
      <c r="E156" s="43">
        <f>'Raw Data'!F158+Bill!$O$2</f>
        <v>117</v>
      </c>
      <c r="F156" s="43">
        <f>'Raw Data'!F158+Bill!$P$2</f>
        <v>122</v>
      </c>
      <c r="G156" s="43"/>
      <c r="H156" s="43">
        <f>('Raw Data'!F158+Bill!$R$2)</f>
        <v>117</v>
      </c>
      <c r="I156" s="36">
        <f>'Raw Data'!G158/100</f>
        <v>5.06</v>
      </c>
      <c r="K156" s="37">
        <f>Bill!$Y156</f>
        <v>45714</v>
      </c>
      <c r="L156" s="38">
        <f>Bill!$AA156*('Raw Data'!$E158+$L$2)</f>
        <v>0</v>
      </c>
      <c r="M156" s="38">
        <f>Bill!$AB156*('Raw Data'!$E158+$M$2)</f>
        <v>0</v>
      </c>
      <c r="N156" s="38">
        <f>(('Raw Data'!$F158 * 2)-10)*Bill!$AC156</f>
        <v>0</v>
      </c>
      <c r="O156" s="38">
        <f>('Raw Data'!F158+Bill!$O$2)*Bill!$AD156</f>
        <v>0</v>
      </c>
      <c r="P156" s="38">
        <f>('Raw Data'!F158+Bill!$P$2)*Bill!$AE156</f>
        <v>0</v>
      </c>
      <c r="Q156" s="38">
        <f>Bill!$Z156*('Raw Data'!$E158+$Q$2)</f>
        <v>0</v>
      </c>
      <c r="R156" s="38">
        <f>('Raw Data'!F158+Bill!$R$2)*Bill!$AF156</f>
        <v>0</v>
      </c>
      <c r="S156" s="48">
        <f>('Raw Data'!G158/100)*Bill!$AG156</f>
        <v>0</v>
      </c>
      <c r="T156" s="38">
        <f>SUM(Bill!$L156:$R156)</f>
        <v>0</v>
      </c>
      <c r="U156" s="49">
        <v>0.0</v>
      </c>
      <c r="V156" s="50"/>
      <c r="W156" s="38">
        <f>Bill!$U156-Bill!$T156</f>
        <v>0</v>
      </c>
      <c r="Y156" s="37">
        <f>'Raw Data'!D158</f>
        <v>45714</v>
      </c>
      <c r="Z156" s="41">
        <v>0.0</v>
      </c>
      <c r="AA156" s="47">
        <v>0.0</v>
      </c>
      <c r="AB156" s="47">
        <v>0.0</v>
      </c>
      <c r="AC156" s="47">
        <v>0.0</v>
      </c>
      <c r="AD156" s="47">
        <v>0.0</v>
      </c>
      <c r="AE156" s="47">
        <v>0.0</v>
      </c>
      <c r="AF156" s="47">
        <v>0.0</v>
      </c>
      <c r="AG156" s="47">
        <v>0.0</v>
      </c>
    </row>
    <row r="157" ht="15.75" customHeight="1">
      <c r="A157" s="35">
        <f>Bill!$Y157</f>
        <v>45715</v>
      </c>
      <c r="B157" s="43">
        <f>'Raw Data'!E159+Bill!$L$2</f>
        <v>142</v>
      </c>
      <c r="C157" s="43">
        <f>'Raw Data'!E159+Bill!$M$2</f>
        <v>147</v>
      </c>
      <c r="D157" s="43">
        <f>('Raw Data'!$F159*2)-10</f>
        <v>184</v>
      </c>
      <c r="E157" s="43">
        <f>'Raw Data'!F159+Bill!$O$2</f>
        <v>117</v>
      </c>
      <c r="F157" s="43">
        <f>'Raw Data'!F159+Bill!$P$2</f>
        <v>122</v>
      </c>
      <c r="G157" s="43"/>
      <c r="H157" s="43">
        <f>('Raw Data'!F159+Bill!$R$2)</f>
        <v>117</v>
      </c>
      <c r="I157" s="36">
        <f>'Raw Data'!G159/100</f>
        <v>5.06</v>
      </c>
      <c r="K157" s="37">
        <f>Bill!$Y157</f>
        <v>45715</v>
      </c>
      <c r="L157" s="38">
        <f>Bill!$AA157*('Raw Data'!$E159+$L$2)</f>
        <v>2641.2</v>
      </c>
      <c r="M157" s="38">
        <f>Bill!$AB157*('Raw Data'!$E159+$M$2)</f>
        <v>2352</v>
      </c>
      <c r="N157" s="38">
        <f>(('Raw Data'!$F159 * 2)-10)*Bill!$AC157</f>
        <v>1104</v>
      </c>
      <c r="O157" s="38">
        <f>('Raw Data'!F159+Bill!$O$2)*Bill!$AD157</f>
        <v>0</v>
      </c>
      <c r="P157" s="38">
        <f>('Raw Data'!F159+Bill!$P$2)*Bill!$AE157</f>
        <v>244</v>
      </c>
      <c r="Q157" s="38">
        <f>Bill!$Z157*('Raw Data'!$E159+$Q$2)</f>
        <v>0</v>
      </c>
      <c r="R157" s="38">
        <f>('Raw Data'!F159+Bill!$R$2)*Bill!$AF157</f>
        <v>0</v>
      </c>
      <c r="S157" s="48">
        <f>('Raw Data'!G159/100)*Bill!$AG157</f>
        <v>0</v>
      </c>
      <c r="T157" s="38">
        <f>SUM(Bill!$L157:$R157)</f>
        <v>6341.2</v>
      </c>
      <c r="U157" s="49">
        <v>6351.0</v>
      </c>
      <c r="V157" s="50"/>
      <c r="W157" s="38">
        <f>Bill!$U157-Bill!$T157</f>
        <v>9.8</v>
      </c>
      <c r="Y157" s="37">
        <f>'Raw Data'!D159</f>
        <v>45715</v>
      </c>
      <c r="Z157" s="41">
        <v>0.0</v>
      </c>
      <c r="AA157" s="47">
        <v>18.6</v>
      </c>
      <c r="AB157" s="47">
        <v>16.0</v>
      </c>
      <c r="AC157" s="47">
        <v>6.0</v>
      </c>
      <c r="AD157" s="47">
        <v>0.0</v>
      </c>
      <c r="AE157" s="47">
        <v>2.0</v>
      </c>
      <c r="AF157" s="47">
        <v>0.0</v>
      </c>
      <c r="AG157" s="47">
        <v>0.0</v>
      </c>
    </row>
    <row r="158" ht="15.75" customHeight="1">
      <c r="A158" s="35">
        <f>Bill!$Y158</f>
        <v>45716</v>
      </c>
      <c r="B158" s="43">
        <f>'Raw Data'!E160+Bill!$L$2</f>
        <v>142</v>
      </c>
      <c r="C158" s="43">
        <f>'Raw Data'!E160+Bill!$M$2</f>
        <v>147</v>
      </c>
      <c r="D158" s="43">
        <f>('Raw Data'!$F160*2)-10</f>
        <v>200</v>
      </c>
      <c r="E158" s="43">
        <f>'Raw Data'!F160+Bill!$O$2</f>
        <v>125</v>
      </c>
      <c r="F158" s="43">
        <f>'Raw Data'!F160+Bill!$P$2</f>
        <v>130</v>
      </c>
      <c r="G158" s="43"/>
      <c r="H158" s="43">
        <f>('Raw Data'!F160+Bill!$R$2)</f>
        <v>125</v>
      </c>
      <c r="I158" s="36">
        <f>'Raw Data'!G160/100</f>
        <v>5.1</v>
      </c>
      <c r="K158" s="37">
        <f>Bill!$Y158</f>
        <v>45716</v>
      </c>
      <c r="L158" s="38">
        <f>Bill!$AA158*('Raw Data'!$E160+$L$2)</f>
        <v>3550</v>
      </c>
      <c r="M158" s="38">
        <f>Bill!$AB158*('Raw Data'!$E160+$M$2)</f>
        <v>2205</v>
      </c>
      <c r="N158" s="38">
        <f>(('Raw Data'!$F160 * 2)-10)*Bill!$AC158</f>
        <v>1600</v>
      </c>
      <c r="O158" s="38">
        <f>('Raw Data'!F160+Bill!$O$2)*Bill!$AD158</f>
        <v>0</v>
      </c>
      <c r="P158" s="38">
        <f>('Raw Data'!F160+Bill!$P$2)*Bill!$AE158</f>
        <v>520</v>
      </c>
      <c r="Q158" s="38">
        <f>Bill!$Z158*('Raw Data'!$E160+$Q$2)</f>
        <v>0</v>
      </c>
      <c r="R158" s="38">
        <f>('Raw Data'!F160+Bill!$R$2)*Bill!$AF158</f>
        <v>0</v>
      </c>
      <c r="S158" s="48">
        <f>('Raw Data'!G160/100)*Bill!$AG158</f>
        <v>765</v>
      </c>
      <c r="T158" s="38">
        <f>SUM(Bill!$L158:$R158)</f>
        <v>7875</v>
      </c>
      <c r="U158" s="49">
        <v>7910.0</v>
      </c>
      <c r="V158" s="50"/>
      <c r="W158" s="38">
        <f>Bill!$U158-Bill!$T158</f>
        <v>35</v>
      </c>
      <c r="Y158" s="37">
        <f>'Raw Data'!D160</f>
        <v>45716</v>
      </c>
      <c r="Z158" s="41">
        <v>0.0</v>
      </c>
      <c r="AA158" s="47">
        <v>25.0</v>
      </c>
      <c r="AB158" s="47">
        <v>15.0</v>
      </c>
      <c r="AC158" s="47">
        <v>8.0</v>
      </c>
      <c r="AD158" s="47">
        <v>0.0</v>
      </c>
      <c r="AE158" s="47">
        <v>4.0</v>
      </c>
      <c r="AF158" s="47">
        <v>0.0</v>
      </c>
      <c r="AG158" s="47">
        <v>150.0</v>
      </c>
    </row>
    <row r="159" ht="15.75" customHeight="1">
      <c r="A159" s="35">
        <f>Bill!$Y159</f>
        <v>45717</v>
      </c>
      <c r="B159" s="43">
        <f>'Raw Data'!E161+Bill!$L$2</f>
        <v>144</v>
      </c>
      <c r="C159" s="43">
        <f>'Raw Data'!E161+Bill!$M$2</f>
        <v>149</v>
      </c>
      <c r="D159" s="43">
        <f>('Raw Data'!$F161*2)-10</f>
        <v>210</v>
      </c>
      <c r="E159" s="43">
        <f>'Raw Data'!F161+Bill!$O$2</f>
        <v>130</v>
      </c>
      <c r="F159" s="43">
        <f>'Raw Data'!F161+Bill!$P$2</f>
        <v>135</v>
      </c>
      <c r="G159" s="43"/>
      <c r="H159" s="43">
        <f>('Raw Data'!F161+Bill!$R$2)</f>
        <v>130</v>
      </c>
      <c r="I159" s="36">
        <f>'Raw Data'!G161/100</f>
        <v>0</v>
      </c>
      <c r="K159" s="37">
        <f>Bill!$Y159</f>
        <v>45717</v>
      </c>
      <c r="L159" s="38">
        <f>Bill!$AA159*('Raw Data'!$E161+$L$2)</f>
        <v>2649.6</v>
      </c>
      <c r="M159" s="38">
        <f>Bill!$AB159*('Raw Data'!$E161+$M$2)</f>
        <v>2682</v>
      </c>
      <c r="N159" s="38">
        <f>(('Raw Data'!$F161 * 2)-10)*Bill!$AC159</f>
        <v>2730</v>
      </c>
      <c r="O159" s="38">
        <f>('Raw Data'!F161+Bill!$O$2)*Bill!$AD159</f>
        <v>0</v>
      </c>
      <c r="P159" s="38">
        <f>('Raw Data'!F161+Bill!$P$2)*Bill!$AE159</f>
        <v>405</v>
      </c>
      <c r="Q159" s="38">
        <f>Bill!$Z159*('Raw Data'!$E161+$Q$2)</f>
        <v>0</v>
      </c>
      <c r="R159" s="38">
        <f>('Raw Data'!F161+Bill!$R$2)*Bill!$AF159</f>
        <v>0</v>
      </c>
      <c r="S159" s="48">
        <f>('Raw Data'!G161/100)*Bill!$AG159</f>
        <v>0</v>
      </c>
      <c r="T159" s="38">
        <f>SUM(Bill!$L159:$R159)</f>
        <v>8466.6</v>
      </c>
      <c r="U159" s="49">
        <v>8352.0</v>
      </c>
      <c r="V159" s="50"/>
      <c r="W159" s="38">
        <f>Bill!$U159-Bill!$T159</f>
        <v>-114.6</v>
      </c>
      <c r="Y159" s="37">
        <f>'Raw Data'!D161</f>
        <v>45717</v>
      </c>
      <c r="Z159" s="41">
        <v>0.0</v>
      </c>
      <c r="AA159" s="47">
        <v>18.4</v>
      </c>
      <c r="AB159" s="47">
        <v>18.0</v>
      </c>
      <c r="AC159" s="47">
        <v>13.0</v>
      </c>
      <c r="AD159" s="47">
        <v>0.0</v>
      </c>
      <c r="AE159" s="47">
        <v>3.0</v>
      </c>
      <c r="AF159" s="47">
        <v>0.0</v>
      </c>
      <c r="AG159" s="47">
        <v>0.0</v>
      </c>
    </row>
    <row r="160" ht="15.75" customHeight="1">
      <c r="A160" s="35">
        <f>Bill!$Y160</f>
        <v>45718</v>
      </c>
      <c r="B160" s="43">
        <f>'Raw Data'!E162+Bill!$L$2</f>
        <v>148</v>
      </c>
      <c r="C160" s="43">
        <f>'Raw Data'!E162+Bill!$M$2</f>
        <v>153</v>
      </c>
      <c r="D160" s="43">
        <f>('Raw Data'!$F162*2)-10</f>
        <v>216</v>
      </c>
      <c r="E160" s="43">
        <f>'Raw Data'!F162+Bill!$O$2</f>
        <v>133</v>
      </c>
      <c r="F160" s="43">
        <f>'Raw Data'!F162+Bill!$P$2</f>
        <v>138</v>
      </c>
      <c r="G160" s="43"/>
      <c r="H160" s="43">
        <f>('Raw Data'!F162+Bill!$R$2)</f>
        <v>133</v>
      </c>
      <c r="I160" s="36">
        <f>'Raw Data'!G162/100</f>
        <v>5.1</v>
      </c>
      <c r="K160" s="37">
        <f>Bill!$Y160</f>
        <v>45718</v>
      </c>
      <c r="L160" s="38">
        <f>Bill!$AA160*('Raw Data'!$E162+$L$2)</f>
        <v>4366</v>
      </c>
      <c r="M160" s="38">
        <f>Bill!$AB160*('Raw Data'!$E162+$M$2)</f>
        <v>3060</v>
      </c>
      <c r="N160" s="38">
        <f>(('Raw Data'!$F162 * 2)-10)*Bill!$AC160</f>
        <v>1728</v>
      </c>
      <c r="O160" s="38">
        <f>('Raw Data'!F162+Bill!$O$2)*Bill!$AD160</f>
        <v>0</v>
      </c>
      <c r="P160" s="38">
        <f>('Raw Data'!F162+Bill!$P$2)*Bill!$AE160</f>
        <v>276</v>
      </c>
      <c r="Q160" s="38">
        <f>Bill!$Z160*('Raw Data'!$E162+$Q$2)</f>
        <v>0</v>
      </c>
      <c r="R160" s="38">
        <f>('Raw Data'!F162+Bill!$R$2)*Bill!$AF160</f>
        <v>0</v>
      </c>
      <c r="S160" s="48">
        <f>('Raw Data'!G162/100)*Bill!$AG160</f>
        <v>765</v>
      </c>
      <c r="T160" s="38">
        <f>SUM(Bill!$L160:$R160)</f>
        <v>9430</v>
      </c>
      <c r="U160" s="49">
        <v>9188.0</v>
      </c>
      <c r="V160" s="50"/>
      <c r="W160" s="38">
        <f>Bill!$U160-Bill!$T160</f>
        <v>-242</v>
      </c>
      <c r="Y160" s="37">
        <f>'Raw Data'!D162</f>
        <v>45718</v>
      </c>
      <c r="Z160" s="41">
        <v>0.0</v>
      </c>
      <c r="AA160" s="47">
        <v>29.5</v>
      </c>
      <c r="AB160" s="47">
        <v>20.0</v>
      </c>
      <c r="AC160" s="47">
        <v>8.0</v>
      </c>
      <c r="AD160" s="47">
        <v>0.0</v>
      </c>
      <c r="AE160" s="47">
        <v>2.0</v>
      </c>
      <c r="AF160" s="47">
        <v>0.0</v>
      </c>
      <c r="AG160" s="47">
        <v>150.0</v>
      </c>
    </row>
    <row r="161" ht="15.75" customHeight="1">
      <c r="A161" s="35">
        <f>Bill!$Y161</f>
        <v>45719</v>
      </c>
      <c r="B161" s="43">
        <f>'Raw Data'!E163+Bill!$L$2</f>
        <v>150</v>
      </c>
      <c r="C161" s="43">
        <f>'Raw Data'!E163+Bill!$M$2</f>
        <v>155</v>
      </c>
      <c r="D161" s="43">
        <f>('Raw Data'!$F163*2)-10</f>
        <v>216</v>
      </c>
      <c r="E161" s="43">
        <f>'Raw Data'!F163+Bill!$O$2</f>
        <v>133</v>
      </c>
      <c r="F161" s="43">
        <f>'Raw Data'!F163+Bill!$P$2</f>
        <v>138</v>
      </c>
      <c r="G161" s="43"/>
      <c r="H161" s="43">
        <f>('Raw Data'!F163+Bill!$R$2)</f>
        <v>133</v>
      </c>
      <c r="I161" s="36">
        <f>'Raw Data'!G163/100</f>
        <v>4.9</v>
      </c>
      <c r="K161" s="37">
        <f>Bill!$Y161</f>
        <v>45719</v>
      </c>
      <c r="L161" s="38">
        <f>Bill!$AA161*('Raw Data'!$E163+$L$2)</f>
        <v>2940</v>
      </c>
      <c r="M161" s="38">
        <f>Bill!$AB161*('Raw Data'!$E163+$M$2)</f>
        <v>3100</v>
      </c>
      <c r="N161" s="38">
        <f>(('Raw Data'!$F163 * 2)-10)*Bill!$AC161</f>
        <v>864</v>
      </c>
      <c r="O161" s="38">
        <f>('Raw Data'!F163+Bill!$O$2)*Bill!$AD161</f>
        <v>425.6</v>
      </c>
      <c r="P161" s="38">
        <f>('Raw Data'!F163+Bill!$P$2)*Bill!$AE161</f>
        <v>0</v>
      </c>
      <c r="Q161" s="38">
        <f>Bill!$Z161*('Raw Data'!$E163+$Q$2)</f>
        <v>0</v>
      </c>
      <c r="R161" s="38">
        <f>('Raw Data'!F163+Bill!$R$2)*Bill!$AF161</f>
        <v>0</v>
      </c>
      <c r="S161" s="48">
        <f>('Raw Data'!G163/100)*Bill!$AG161</f>
        <v>0</v>
      </c>
      <c r="T161" s="38">
        <f>SUM(Bill!$L161:$R161)</f>
        <v>7329.6</v>
      </c>
      <c r="U161" s="49">
        <v>7309.0</v>
      </c>
      <c r="V161" s="50"/>
      <c r="W161" s="38">
        <f>Bill!$U161-Bill!$T161</f>
        <v>-20.6</v>
      </c>
      <c r="Y161" s="37">
        <f>'Raw Data'!D163</f>
        <v>45719</v>
      </c>
      <c r="Z161" s="41">
        <v>0.0</v>
      </c>
      <c r="AA161" s="47">
        <v>19.6</v>
      </c>
      <c r="AB161" s="47">
        <v>20.0</v>
      </c>
      <c r="AC161" s="47">
        <v>4.0</v>
      </c>
      <c r="AD161" s="47">
        <v>3.2</v>
      </c>
      <c r="AE161" s="47">
        <v>0.0</v>
      </c>
      <c r="AF161" s="47">
        <v>0.0</v>
      </c>
      <c r="AG161" s="47">
        <v>0.0</v>
      </c>
    </row>
    <row r="162" ht="15.75" customHeight="1">
      <c r="A162" s="35">
        <f>Bill!$Y162</f>
        <v>45720</v>
      </c>
      <c r="B162" s="43">
        <f>'Raw Data'!E164+Bill!$L$2</f>
        <v>150</v>
      </c>
      <c r="C162" s="43">
        <f>'Raw Data'!E164+Bill!$M$2</f>
        <v>155</v>
      </c>
      <c r="D162" s="43">
        <f>('Raw Data'!$F164*2)-10</f>
        <v>216</v>
      </c>
      <c r="E162" s="43">
        <f>'Raw Data'!F164+Bill!$O$2</f>
        <v>133</v>
      </c>
      <c r="F162" s="43">
        <f>'Raw Data'!F164+Bill!$P$2</f>
        <v>138</v>
      </c>
      <c r="G162" s="43"/>
      <c r="H162" s="43">
        <f>('Raw Data'!F164+Bill!$R$2)</f>
        <v>133</v>
      </c>
      <c r="I162" s="36">
        <f>'Raw Data'!G164/100</f>
        <v>4.8</v>
      </c>
      <c r="K162" s="37">
        <f>Bill!$Y162</f>
        <v>45720</v>
      </c>
      <c r="L162" s="38">
        <f>Bill!$AA162*('Raw Data'!$E164+$L$2)</f>
        <v>0</v>
      </c>
      <c r="M162" s="38">
        <f>Bill!$AB162*('Raw Data'!$E164+$M$2)</f>
        <v>1581</v>
      </c>
      <c r="N162" s="38">
        <f>(('Raw Data'!$F164 * 2)-10)*Bill!$AC162</f>
        <v>1080</v>
      </c>
      <c r="O162" s="38">
        <f>('Raw Data'!F164+Bill!$O$2)*Bill!$AD162</f>
        <v>0</v>
      </c>
      <c r="P162" s="38">
        <f>('Raw Data'!F164+Bill!$P$2)*Bill!$AE162</f>
        <v>0</v>
      </c>
      <c r="Q162" s="38">
        <f>Bill!$Z162*('Raw Data'!$E164+$Q$2)</f>
        <v>0</v>
      </c>
      <c r="R162" s="38">
        <f>('Raw Data'!F164+Bill!$R$2)*Bill!$AF162</f>
        <v>0</v>
      </c>
      <c r="S162" s="48">
        <f>('Raw Data'!G164/100)*Bill!$AG162</f>
        <v>0</v>
      </c>
      <c r="T162" s="38">
        <f>SUM(Bill!$L162:$R162)</f>
        <v>2661</v>
      </c>
      <c r="U162" s="49">
        <v>2661.0</v>
      </c>
      <c r="V162" s="50"/>
      <c r="W162" s="38">
        <f>Bill!$U162-Bill!$T162</f>
        <v>0</v>
      </c>
      <c r="Y162" s="37">
        <f>'Raw Data'!D164</f>
        <v>45720</v>
      </c>
      <c r="Z162" s="41">
        <v>0.0</v>
      </c>
      <c r="AA162" s="47">
        <v>0.0</v>
      </c>
      <c r="AB162" s="47">
        <v>10.2</v>
      </c>
      <c r="AC162" s="47">
        <v>5.0</v>
      </c>
      <c r="AD162" s="47">
        <v>0.0</v>
      </c>
      <c r="AE162" s="47">
        <v>0.0</v>
      </c>
      <c r="AF162" s="47">
        <v>0.0</v>
      </c>
      <c r="AG162" s="47">
        <v>0.0</v>
      </c>
    </row>
    <row r="163" ht="15.75" customHeight="1">
      <c r="A163" s="35">
        <f>Bill!$Y163</f>
        <v>45721</v>
      </c>
      <c r="B163" s="43">
        <f>'Raw Data'!E165+Bill!$L$2</f>
        <v>148</v>
      </c>
      <c r="C163" s="43">
        <f>'Raw Data'!E165+Bill!$M$2</f>
        <v>153</v>
      </c>
      <c r="D163" s="43">
        <f>('Raw Data'!$F165*2)-10</f>
        <v>216</v>
      </c>
      <c r="E163" s="43">
        <f>'Raw Data'!F165+Bill!$O$2</f>
        <v>133</v>
      </c>
      <c r="F163" s="43">
        <f>'Raw Data'!F165+Bill!$P$2</f>
        <v>138</v>
      </c>
      <c r="G163" s="43"/>
      <c r="H163" s="43">
        <f>('Raw Data'!F165+Bill!$R$2)</f>
        <v>133</v>
      </c>
      <c r="I163" s="36">
        <f>'Raw Data'!G165/100</f>
        <v>0</v>
      </c>
      <c r="K163" s="37">
        <f>Bill!$Y163</f>
        <v>45721</v>
      </c>
      <c r="L163" s="38">
        <f>Bill!$AA163*('Raw Data'!$E165+$L$2)</f>
        <v>2412.4</v>
      </c>
      <c r="M163" s="38">
        <f>Bill!$AB163*('Raw Data'!$E165+$M$2)</f>
        <v>1575.9</v>
      </c>
      <c r="N163" s="38">
        <f>(('Raw Data'!$F165 * 2)-10)*Bill!$AC163</f>
        <v>1728</v>
      </c>
      <c r="O163" s="38">
        <f>('Raw Data'!F165+Bill!$O$2)*Bill!$AD163</f>
        <v>0</v>
      </c>
      <c r="P163" s="38">
        <f>('Raw Data'!F165+Bill!$P$2)*Bill!$AE163</f>
        <v>690</v>
      </c>
      <c r="Q163" s="38">
        <f>Bill!$Z163*('Raw Data'!$E165+$Q$2)</f>
        <v>0</v>
      </c>
      <c r="R163" s="38">
        <f>('Raw Data'!F165+Bill!$R$2)*Bill!$AF163</f>
        <v>0</v>
      </c>
      <c r="S163" s="48">
        <f>('Raw Data'!G165/100)*Bill!$AG163</f>
        <v>0</v>
      </c>
      <c r="T163" s="38">
        <f>SUM(Bill!$L163:$R163)</f>
        <v>6406.3</v>
      </c>
      <c r="U163" s="49">
        <v>6431.0</v>
      </c>
      <c r="V163" s="50"/>
      <c r="W163" s="38">
        <f>Bill!$U163-Bill!$T163</f>
        <v>24.7</v>
      </c>
      <c r="Y163" s="37">
        <f>'Raw Data'!D165</f>
        <v>45721</v>
      </c>
      <c r="Z163" s="41">
        <v>0.0</v>
      </c>
      <c r="AA163" s="47">
        <v>16.3</v>
      </c>
      <c r="AB163" s="47">
        <v>10.3</v>
      </c>
      <c r="AC163" s="47">
        <v>8.0</v>
      </c>
      <c r="AD163" s="47">
        <v>0.0</v>
      </c>
      <c r="AE163" s="47">
        <v>5.0</v>
      </c>
      <c r="AF163" s="47">
        <v>0.0</v>
      </c>
      <c r="AG163" s="47">
        <v>0.0</v>
      </c>
    </row>
    <row r="164" ht="15.75" customHeight="1">
      <c r="A164" s="35">
        <f>Bill!$Y164</f>
        <v>45722</v>
      </c>
      <c r="B164" s="43">
        <f>'Raw Data'!E166+Bill!$L$2</f>
        <v>146</v>
      </c>
      <c r="C164" s="43">
        <f>'Raw Data'!E166+Bill!$M$2</f>
        <v>151</v>
      </c>
      <c r="D164" s="43">
        <f>('Raw Data'!$F166*2)-10</f>
        <v>200</v>
      </c>
      <c r="E164" s="43">
        <f>'Raw Data'!F166+Bill!$O$2</f>
        <v>125</v>
      </c>
      <c r="F164" s="43">
        <f>'Raw Data'!F166+Bill!$P$2</f>
        <v>130</v>
      </c>
      <c r="G164" s="43"/>
      <c r="H164" s="43">
        <f>('Raw Data'!F166+Bill!$R$2)</f>
        <v>125</v>
      </c>
      <c r="I164" s="36">
        <f>'Raw Data'!G166/100</f>
        <v>0</v>
      </c>
      <c r="K164" s="37">
        <f>Bill!$Y164</f>
        <v>45722</v>
      </c>
      <c r="L164" s="38">
        <f>Bill!$AA164*('Raw Data'!$E166+$L$2)</f>
        <v>4861.8</v>
      </c>
      <c r="M164" s="38">
        <f>Bill!$AB164*('Raw Data'!$E166+$M$2)</f>
        <v>3775</v>
      </c>
      <c r="N164" s="38">
        <f>(('Raw Data'!$F166 * 2)-10)*Bill!$AC164</f>
        <v>1200</v>
      </c>
      <c r="O164" s="38">
        <f>('Raw Data'!F166+Bill!$O$2)*Bill!$AD164</f>
        <v>0</v>
      </c>
      <c r="P164" s="38">
        <f>('Raw Data'!F166+Bill!$P$2)*Bill!$AE164</f>
        <v>260</v>
      </c>
      <c r="Q164" s="38">
        <f>Bill!$Z164*('Raw Data'!$E166+$Q$2)</f>
        <v>0</v>
      </c>
      <c r="R164" s="38">
        <f>('Raw Data'!F166+Bill!$R$2)*Bill!$AF164</f>
        <v>0</v>
      </c>
      <c r="S164" s="48">
        <f>('Raw Data'!G166/100)*Bill!$AG164</f>
        <v>0</v>
      </c>
      <c r="T164" s="38">
        <f>SUM(Bill!$L164:$R164)</f>
        <v>10096.8</v>
      </c>
      <c r="U164" s="49">
        <v>10106.0</v>
      </c>
      <c r="V164" s="50"/>
      <c r="W164" s="38">
        <f>Bill!$U164-Bill!$T164</f>
        <v>9.2</v>
      </c>
      <c r="Y164" s="37">
        <f>'Raw Data'!D166</f>
        <v>45722</v>
      </c>
      <c r="Z164" s="41">
        <v>0.0</v>
      </c>
      <c r="AA164" s="47">
        <v>33.3</v>
      </c>
      <c r="AB164" s="47">
        <v>25.0</v>
      </c>
      <c r="AC164" s="47">
        <v>6.0</v>
      </c>
      <c r="AD164" s="47">
        <v>0.0</v>
      </c>
      <c r="AE164" s="47">
        <v>2.0</v>
      </c>
      <c r="AF164" s="47">
        <v>0.0</v>
      </c>
      <c r="AG164" s="47">
        <v>0.0</v>
      </c>
    </row>
    <row r="165" ht="15.75" customHeight="1">
      <c r="A165" s="35">
        <f>Bill!$Y165</f>
        <v>45723</v>
      </c>
      <c r="B165" s="43">
        <f>'Raw Data'!E167+Bill!$L$2</f>
        <v>144</v>
      </c>
      <c r="C165" s="43">
        <f>'Raw Data'!E167+Bill!$M$2</f>
        <v>149</v>
      </c>
      <c r="D165" s="43">
        <f>('Raw Data'!$F167*2)-10</f>
        <v>190</v>
      </c>
      <c r="E165" s="43">
        <f>'Raw Data'!F167+Bill!$O$2</f>
        <v>120</v>
      </c>
      <c r="F165" s="43">
        <f>'Raw Data'!F167+Bill!$P$2</f>
        <v>125</v>
      </c>
      <c r="G165" s="43"/>
      <c r="H165" s="43">
        <f>('Raw Data'!F167+Bill!$R$2)</f>
        <v>120</v>
      </c>
      <c r="I165" s="36">
        <f>'Raw Data'!G167/100</f>
        <v>4.55</v>
      </c>
      <c r="K165" s="37">
        <f>Bill!$Y165</f>
        <v>45723</v>
      </c>
      <c r="L165" s="38">
        <f>Bill!$AA165*('Raw Data'!$E167+$L$2)</f>
        <v>734.4</v>
      </c>
      <c r="M165" s="38">
        <f>Bill!$AB165*('Raw Data'!$E167+$M$2)</f>
        <v>1788</v>
      </c>
      <c r="N165" s="38">
        <f>(('Raw Data'!$F167 * 2)-10)*Bill!$AC165</f>
        <v>1140</v>
      </c>
      <c r="O165" s="38">
        <f>('Raw Data'!F167+Bill!$O$2)*Bill!$AD165</f>
        <v>0</v>
      </c>
      <c r="P165" s="38">
        <f>('Raw Data'!F167+Bill!$P$2)*Bill!$AE165</f>
        <v>0</v>
      </c>
      <c r="Q165" s="38">
        <f>Bill!$Z165*('Raw Data'!$E167+$Q$2)</f>
        <v>0</v>
      </c>
      <c r="R165" s="38">
        <f>('Raw Data'!F167+Bill!$R$2)*Bill!$AF165</f>
        <v>0</v>
      </c>
      <c r="S165" s="48">
        <f>('Raw Data'!G167/100)*Bill!$AG165</f>
        <v>0</v>
      </c>
      <c r="T165" s="38">
        <f>SUM(Bill!$L165:$R165)</f>
        <v>3662.4</v>
      </c>
      <c r="U165" s="49">
        <v>3662.0</v>
      </c>
      <c r="V165" s="50"/>
      <c r="W165" s="38">
        <f>Bill!$U165-Bill!$T165</f>
        <v>-0.4</v>
      </c>
      <c r="Y165" s="37">
        <f>'Raw Data'!D167</f>
        <v>45723</v>
      </c>
      <c r="Z165" s="41">
        <v>0.0</v>
      </c>
      <c r="AA165" s="47">
        <v>5.1</v>
      </c>
      <c r="AB165" s="47">
        <v>12.0</v>
      </c>
      <c r="AC165" s="47">
        <v>6.0</v>
      </c>
      <c r="AD165" s="47">
        <v>0.0</v>
      </c>
      <c r="AE165" s="47">
        <v>0.0</v>
      </c>
      <c r="AF165" s="47">
        <v>0.0</v>
      </c>
      <c r="AG165" s="47">
        <v>0.0</v>
      </c>
    </row>
    <row r="166" ht="15.75" customHeight="1">
      <c r="A166" s="35">
        <f>Bill!$Y166</f>
        <v>45724</v>
      </c>
      <c r="B166" s="43">
        <f>'Raw Data'!E168+Bill!$L$2</f>
        <v>142</v>
      </c>
      <c r="C166" s="43">
        <f>'Raw Data'!E168+Bill!$M$2</f>
        <v>147</v>
      </c>
      <c r="D166" s="43">
        <f>('Raw Data'!$F168*2)-10</f>
        <v>170</v>
      </c>
      <c r="E166" s="43">
        <f>'Raw Data'!F168+Bill!$O$2</f>
        <v>110</v>
      </c>
      <c r="F166" s="43">
        <f>'Raw Data'!F168+Bill!$P$2</f>
        <v>115</v>
      </c>
      <c r="G166" s="43"/>
      <c r="H166" s="43">
        <f>('Raw Data'!F168+Bill!$R$2)</f>
        <v>110</v>
      </c>
      <c r="I166" s="36">
        <f>'Raw Data'!G168/100</f>
        <v>4.55</v>
      </c>
      <c r="K166" s="37">
        <f>Bill!$Y166</f>
        <v>45724</v>
      </c>
      <c r="L166" s="38">
        <f>Bill!$AA166*('Raw Data'!$E168+$L$2)</f>
        <v>1405.8</v>
      </c>
      <c r="M166" s="38">
        <f>Bill!$AB166*('Raw Data'!$E168+$M$2)</f>
        <v>1793.4</v>
      </c>
      <c r="N166" s="38">
        <f>(('Raw Data'!$F168 * 2)-10)*Bill!$AC166</f>
        <v>1360</v>
      </c>
      <c r="O166" s="38">
        <f>('Raw Data'!F168+Bill!$O$2)*Bill!$AD166</f>
        <v>0</v>
      </c>
      <c r="P166" s="38">
        <f>('Raw Data'!F168+Bill!$P$2)*Bill!$AE166</f>
        <v>460</v>
      </c>
      <c r="Q166" s="38">
        <f>Bill!$Z166*('Raw Data'!$E168+$Q$2)</f>
        <v>0</v>
      </c>
      <c r="R166" s="38">
        <f>('Raw Data'!F168+Bill!$R$2)*Bill!$AF166</f>
        <v>0</v>
      </c>
      <c r="S166" s="48">
        <f>('Raw Data'!G168/100)*Bill!$AG166</f>
        <v>1092</v>
      </c>
      <c r="T166" s="38">
        <f>SUM(Bill!$L166:$R166)</f>
        <v>5019.2</v>
      </c>
      <c r="U166" s="49">
        <v>5038.0</v>
      </c>
      <c r="V166" s="50"/>
      <c r="W166" s="38">
        <f>Bill!$U166-Bill!$T166</f>
        <v>18.8</v>
      </c>
      <c r="Y166" s="37">
        <f>'Raw Data'!D168</f>
        <v>45724</v>
      </c>
      <c r="Z166" s="41">
        <v>0.0</v>
      </c>
      <c r="AA166" s="47">
        <v>9.9</v>
      </c>
      <c r="AB166" s="47">
        <v>12.2</v>
      </c>
      <c r="AC166" s="47">
        <v>8.0</v>
      </c>
      <c r="AD166" s="47">
        <v>0.0</v>
      </c>
      <c r="AE166" s="47">
        <v>4.0</v>
      </c>
      <c r="AF166" s="47">
        <v>0.0</v>
      </c>
      <c r="AG166" s="47">
        <v>240.0</v>
      </c>
    </row>
    <row r="167" ht="15.75" customHeight="1">
      <c r="A167" s="35">
        <f>Bill!$Y167</f>
        <v>45725</v>
      </c>
      <c r="B167" s="43">
        <f>'Raw Data'!E169+Bill!$L$2</f>
        <v>140</v>
      </c>
      <c r="C167" s="43">
        <f>'Raw Data'!E169+Bill!$M$2</f>
        <v>145</v>
      </c>
      <c r="D167" s="43">
        <f>('Raw Data'!$F169*2)-10</f>
        <v>170</v>
      </c>
      <c r="E167" s="43">
        <f>'Raw Data'!F169+Bill!$O$2</f>
        <v>110</v>
      </c>
      <c r="F167" s="43">
        <f>'Raw Data'!F169+Bill!$P$2</f>
        <v>115</v>
      </c>
      <c r="G167" s="43"/>
      <c r="H167" s="43">
        <f>('Raw Data'!F169+Bill!$R$2)</f>
        <v>110</v>
      </c>
      <c r="I167" s="36">
        <f>'Raw Data'!G169/100</f>
        <v>4.55</v>
      </c>
      <c r="K167" s="37">
        <f>Bill!$Y167</f>
        <v>45725</v>
      </c>
      <c r="L167" s="38">
        <f>Bill!$AA167*('Raw Data'!$E169+$L$2)</f>
        <v>2800</v>
      </c>
      <c r="M167" s="38">
        <f>Bill!$AB167*('Raw Data'!$E169+$M$2)</f>
        <v>2900</v>
      </c>
      <c r="N167" s="38">
        <f>(('Raw Data'!$F169 * 2)-10)*Bill!$AC167</f>
        <v>1360</v>
      </c>
      <c r="O167" s="38">
        <f>('Raw Data'!F169+Bill!$O$2)*Bill!$AD167</f>
        <v>0</v>
      </c>
      <c r="P167" s="38">
        <f>('Raw Data'!F169+Bill!$P$2)*Bill!$AE167</f>
        <v>345</v>
      </c>
      <c r="Q167" s="38">
        <f>Bill!$Z167*('Raw Data'!$E169+$Q$2)</f>
        <v>0</v>
      </c>
      <c r="R167" s="38">
        <f>('Raw Data'!F169+Bill!$R$2)*Bill!$AF167</f>
        <v>429</v>
      </c>
      <c r="S167" s="48">
        <f>('Raw Data'!G169/100)*Bill!$AG167</f>
        <v>0</v>
      </c>
      <c r="T167" s="38">
        <f>SUM(Bill!$L167:$R167)</f>
        <v>7834</v>
      </c>
      <c r="U167" s="49">
        <v>7849.0</v>
      </c>
      <c r="V167" s="50"/>
      <c r="W167" s="38">
        <f>Bill!$U167-Bill!$T167</f>
        <v>15</v>
      </c>
      <c r="Y167" s="37">
        <f>'Raw Data'!D169</f>
        <v>45725</v>
      </c>
      <c r="Z167" s="41">
        <v>0.0</v>
      </c>
      <c r="AA167" s="47">
        <v>20.0</v>
      </c>
      <c r="AB167" s="47">
        <v>20.0</v>
      </c>
      <c r="AC167" s="47">
        <v>8.0</v>
      </c>
      <c r="AD167" s="47">
        <v>0.0</v>
      </c>
      <c r="AE167" s="47">
        <v>3.0</v>
      </c>
      <c r="AF167" s="47">
        <v>3.9</v>
      </c>
      <c r="AG167" s="47">
        <v>0.0</v>
      </c>
    </row>
    <row r="168" ht="15.75" customHeight="1">
      <c r="A168" s="35">
        <f>Bill!$Y168</f>
        <v>45726</v>
      </c>
      <c r="B168" s="43">
        <f>'Raw Data'!E170+Bill!$L$2</f>
        <v>140</v>
      </c>
      <c r="C168" s="43">
        <f>'Raw Data'!E170+Bill!$M$2</f>
        <v>145</v>
      </c>
      <c r="D168" s="43">
        <f>('Raw Data'!$F170*2)-10</f>
        <v>170</v>
      </c>
      <c r="E168" s="43">
        <f>'Raw Data'!F170+Bill!$O$2</f>
        <v>110</v>
      </c>
      <c r="F168" s="43">
        <f>'Raw Data'!F170+Bill!$P$2</f>
        <v>115</v>
      </c>
      <c r="G168" s="43"/>
      <c r="H168" s="43">
        <f>('Raw Data'!F170+Bill!$R$2)</f>
        <v>110</v>
      </c>
      <c r="I168" s="36">
        <f>'Raw Data'!G170/100</f>
        <v>4.55</v>
      </c>
      <c r="K168" s="37">
        <f>Bill!$Y168</f>
        <v>45726</v>
      </c>
      <c r="L168" s="38">
        <f>Bill!$AA168*('Raw Data'!$E170+$L$2)</f>
        <v>1540</v>
      </c>
      <c r="M168" s="38">
        <f>Bill!$AB168*('Raw Data'!$E170+$M$2)</f>
        <v>2175</v>
      </c>
      <c r="N168" s="38">
        <f>(('Raw Data'!$F170 * 2)-10)*Bill!$AC168</f>
        <v>1360</v>
      </c>
      <c r="O168" s="38">
        <f>('Raw Data'!F170+Bill!$O$2)*Bill!$AD168</f>
        <v>0</v>
      </c>
      <c r="P168" s="38">
        <f>('Raw Data'!F170+Bill!$P$2)*Bill!$AE168</f>
        <v>345</v>
      </c>
      <c r="Q168" s="38">
        <f>Bill!$Z168*('Raw Data'!$E170+$Q$2)</f>
        <v>0</v>
      </c>
      <c r="R168" s="38">
        <f>('Raw Data'!F170+Bill!$R$2)*Bill!$AF168</f>
        <v>0</v>
      </c>
      <c r="S168" s="48">
        <f>('Raw Data'!G170/100)*Bill!$AG168</f>
        <v>0</v>
      </c>
      <c r="T168" s="38">
        <f>SUM(Bill!$L168:$R168)</f>
        <v>5420</v>
      </c>
      <c r="U168" s="49">
        <v>5465.0</v>
      </c>
      <c r="V168" s="50"/>
      <c r="W168" s="38">
        <f>Bill!$U168-Bill!$T168</f>
        <v>45</v>
      </c>
      <c r="Y168" s="37">
        <f>'Raw Data'!D170</f>
        <v>45726</v>
      </c>
      <c r="Z168" s="41">
        <v>0.0</v>
      </c>
      <c r="AA168" s="47">
        <v>11.0</v>
      </c>
      <c r="AB168" s="47">
        <v>15.0</v>
      </c>
      <c r="AC168" s="47">
        <v>8.0</v>
      </c>
      <c r="AD168" s="47">
        <v>0.0</v>
      </c>
      <c r="AE168" s="47">
        <v>3.0</v>
      </c>
      <c r="AF168" s="47">
        <v>0.0</v>
      </c>
      <c r="AG168" s="47">
        <v>0.0</v>
      </c>
    </row>
    <row r="169" ht="15.75" customHeight="1">
      <c r="A169" s="35">
        <f>Bill!$Y169</f>
        <v>45727</v>
      </c>
      <c r="B169" s="43">
        <f>'Raw Data'!E171+Bill!$L$2</f>
        <v>140</v>
      </c>
      <c r="C169" s="43">
        <f>'Raw Data'!E171+Bill!$M$2</f>
        <v>145</v>
      </c>
      <c r="D169" s="43">
        <f>('Raw Data'!$F171*2)-10</f>
        <v>170</v>
      </c>
      <c r="E169" s="43">
        <f>'Raw Data'!F171+Bill!$O$2</f>
        <v>110</v>
      </c>
      <c r="F169" s="43">
        <f>'Raw Data'!F171+Bill!$P$2</f>
        <v>115</v>
      </c>
      <c r="G169" s="43"/>
      <c r="H169" s="43">
        <f>('Raw Data'!F171+Bill!$R$2)</f>
        <v>110</v>
      </c>
      <c r="I169" s="36">
        <f>'Raw Data'!G171/100</f>
        <v>4.55</v>
      </c>
      <c r="K169" s="37">
        <f>Bill!$Y169</f>
        <v>45727</v>
      </c>
      <c r="L169" s="38">
        <f>Bill!$AA169*('Raw Data'!$E171+$L$2)</f>
        <v>672</v>
      </c>
      <c r="M169" s="38">
        <f>Bill!$AB169*('Raw Data'!$E171+$M$2)</f>
        <v>2349</v>
      </c>
      <c r="N169" s="38">
        <f>(('Raw Data'!$F171 * 2)-10)*Bill!$AC169</f>
        <v>850</v>
      </c>
      <c r="O169" s="38">
        <f>('Raw Data'!F171+Bill!$O$2)*Bill!$AD169</f>
        <v>0</v>
      </c>
      <c r="P169" s="38">
        <f>('Raw Data'!F171+Bill!$P$2)*Bill!$AE169</f>
        <v>0</v>
      </c>
      <c r="Q169" s="38">
        <f>Bill!$Z169*('Raw Data'!$E171+$Q$2)</f>
        <v>0</v>
      </c>
      <c r="R169" s="38">
        <f>('Raw Data'!F171+Bill!$R$2)*Bill!$AF169</f>
        <v>0</v>
      </c>
      <c r="S169" s="48">
        <f>('Raw Data'!G171/100)*Bill!$AG169</f>
        <v>819</v>
      </c>
      <c r="T169" s="38">
        <f>SUM(Bill!$L169:$R169)</f>
        <v>3871</v>
      </c>
      <c r="U169" s="49">
        <v>3871.0</v>
      </c>
      <c r="V169" s="50"/>
      <c r="W169" s="38">
        <f>Bill!$U169-Bill!$T169</f>
        <v>0</v>
      </c>
      <c r="Y169" s="37">
        <f>'Raw Data'!D171</f>
        <v>45727</v>
      </c>
      <c r="Z169" s="41">
        <v>0.0</v>
      </c>
      <c r="AA169" s="47">
        <v>4.8</v>
      </c>
      <c r="AB169" s="47">
        <v>16.2</v>
      </c>
      <c r="AC169" s="47">
        <v>5.0</v>
      </c>
      <c r="AD169" s="47">
        <v>0.0</v>
      </c>
      <c r="AE169" s="47">
        <v>0.0</v>
      </c>
      <c r="AF169" s="47">
        <v>0.0</v>
      </c>
      <c r="AG169" s="47">
        <v>180.0</v>
      </c>
    </row>
    <row r="170" ht="15.75" customHeight="1">
      <c r="A170" s="35">
        <f>Bill!$Y170</f>
        <v>45728</v>
      </c>
      <c r="B170" s="43">
        <f>'Raw Data'!E172+Bill!$L$2</f>
        <v>140</v>
      </c>
      <c r="C170" s="43">
        <f>'Raw Data'!E172+Bill!$M$2</f>
        <v>145</v>
      </c>
      <c r="D170" s="43">
        <f>('Raw Data'!$F172*2)-10</f>
        <v>170</v>
      </c>
      <c r="E170" s="43">
        <f>'Raw Data'!F172+Bill!$O$2</f>
        <v>110</v>
      </c>
      <c r="F170" s="43">
        <f>'Raw Data'!F172+Bill!$P$2</f>
        <v>115</v>
      </c>
      <c r="G170" s="43"/>
      <c r="H170" s="43">
        <f>('Raw Data'!F172+Bill!$R$2)</f>
        <v>110</v>
      </c>
      <c r="I170" s="36">
        <f>'Raw Data'!G172/100</f>
        <v>4.55</v>
      </c>
      <c r="K170" s="37">
        <f>Bill!$Y170</f>
        <v>45728</v>
      </c>
      <c r="L170" s="38">
        <f>Bill!$AA170*('Raw Data'!$E172+$L$2)</f>
        <v>833</v>
      </c>
      <c r="M170" s="38">
        <f>Bill!$AB170*('Raw Data'!$E172+$M$2)</f>
        <v>1450</v>
      </c>
      <c r="N170" s="38">
        <f>(('Raw Data'!$F172 * 2)-10)*Bill!$AC170</f>
        <v>1360</v>
      </c>
      <c r="O170" s="38">
        <f>('Raw Data'!F172+Bill!$O$2)*Bill!$AD170</f>
        <v>0</v>
      </c>
      <c r="P170" s="38">
        <f>('Raw Data'!F172+Bill!$P$2)*Bill!$AE170</f>
        <v>0</v>
      </c>
      <c r="Q170" s="38">
        <f>Bill!$Z170*('Raw Data'!$E172+$Q$2)</f>
        <v>0</v>
      </c>
      <c r="R170" s="38">
        <f>('Raw Data'!F172+Bill!$R$2)*Bill!$AF170</f>
        <v>0</v>
      </c>
      <c r="S170" s="48">
        <f>('Raw Data'!G172/100)*Bill!$AG170</f>
        <v>0</v>
      </c>
      <c r="T170" s="38">
        <f>SUM(Bill!$L170:$R170)</f>
        <v>3643</v>
      </c>
      <c r="U170" s="49">
        <v>3643.0</v>
      </c>
      <c r="V170" s="50"/>
      <c r="W170" s="38">
        <f>Bill!$U170-Bill!$T170</f>
        <v>0</v>
      </c>
      <c r="Y170" s="37">
        <f>'Raw Data'!D172</f>
        <v>45728</v>
      </c>
      <c r="Z170" s="41">
        <v>0.0</v>
      </c>
      <c r="AA170" s="47">
        <v>5.95</v>
      </c>
      <c r="AB170" s="47">
        <v>10.0</v>
      </c>
      <c r="AC170" s="47">
        <v>8.0</v>
      </c>
      <c r="AD170" s="47">
        <v>0.0</v>
      </c>
      <c r="AE170" s="47">
        <v>0.0</v>
      </c>
      <c r="AF170" s="47">
        <v>0.0</v>
      </c>
      <c r="AG170" s="47">
        <v>0.0</v>
      </c>
    </row>
    <row r="171" ht="15.75" customHeight="1">
      <c r="A171" s="35">
        <f>Bill!$Y171</f>
        <v>45729</v>
      </c>
      <c r="B171" s="43">
        <f>'Raw Data'!E173+Bill!$L$2</f>
        <v>140</v>
      </c>
      <c r="C171" s="43">
        <f>'Raw Data'!E173+Bill!$M$2</f>
        <v>145</v>
      </c>
      <c r="D171" s="43">
        <f>('Raw Data'!$F173*2)-10</f>
        <v>180</v>
      </c>
      <c r="E171" s="43">
        <f>'Raw Data'!F173+Bill!$O$2</f>
        <v>115</v>
      </c>
      <c r="F171" s="43">
        <f>'Raw Data'!F173+Bill!$P$2</f>
        <v>120</v>
      </c>
      <c r="G171" s="43"/>
      <c r="H171" s="43">
        <f>('Raw Data'!F173+Bill!$R$2)</f>
        <v>115</v>
      </c>
      <c r="I171" s="36">
        <f>'Raw Data'!G173/100</f>
        <v>4.45</v>
      </c>
      <c r="K171" s="37">
        <f>Bill!$Y171</f>
        <v>45729</v>
      </c>
      <c r="L171" s="38">
        <f>Bill!$AA171*('Raw Data'!$E173+$L$2)</f>
        <v>4354</v>
      </c>
      <c r="M171" s="38">
        <f>Bill!$AB171*('Raw Data'!$E173+$M$2)</f>
        <v>3625</v>
      </c>
      <c r="N171" s="38">
        <f>(('Raw Data'!$F173 * 2)-10)*Bill!$AC171</f>
        <v>1440</v>
      </c>
      <c r="O171" s="38">
        <f>('Raw Data'!F173+Bill!$O$2)*Bill!$AD171</f>
        <v>253</v>
      </c>
      <c r="P171" s="38">
        <f>('Raw Data'!F173+Bill!$P$2)*Bill!$AE171</f>
        <v>960</v>
      </c>
      <c r="Q171" s="38">
        <f>Bill!$Z171*('Raw Data'!$E173+$Q$2)</f>
        <v>0</v>
      </c>
      <c r="R171" s="38">
        <f>('Raw Data'!F173+Bill!$R$2)*Bill!$AF171</f>
        <v>0</v>
      </c>
      <c r="S171" s="48">
        <f>('Raw Data'!G173/100)*Bill!$AG171</f>
        <v>1068</v>
      </c>
      <c r="T171" s="38">
        <f>SUM(Bill!$L171:$R171)</f>
        <v>10632</v>
      </c>
      <c r="U171" s="49">
        <v>10672.0</v>
      </c>
      <c r="V171" s="50"/>
      <c r="W171" s="38">
        <f>Bill!$U171-Bill!$T171</f>
        <v>40</v>
      </c>
      <c r="Y171" s="37">
        <f>'Raw Data'!D173</f>
        <v>45729</v>
      </c>
      <c r="Z171" s="41">
        <v>0.0</v>
      </c>
      <c r="AA171" s="47">
        <v>31.1</v>
      </c>
      <c r="AB171" s="47">
        <v>25.0</v>
      </c>
      <c r="AC171" s="47">
        <v>8.0</v>
      </c>
      <c r="AD171" s="47">
        <v>2.2</v>
      </c>
      <c r="AE171" s="47">
        <v>8.0</v>
      </c>
      <c r="AF171" s="47">
        <v>0.0</v>
      </c>
      <c r="AG171" s="47">
        <v>240.0</v>
      </c>
    </row>
    <row r="172" ht="15.75" customHeight="1">
      <c r="A172" s="35">
        <f>Bill!$Y172</f>
        <v>45730</v>
      </c>
      <c r="B172" s="43">
        <f>'Raw Data'!E174+Bill!$L$2</f>
        <v>140</v>
      </c>
      <c r="C172" s="43">
        <f>'Raw Data'!E174+Bill!$M$2</f>
        <v>145</v>
      </c>
      <c r="D172" s="43">
        <f>('Raw Data'!$F174*2)-10</f>
        <v>204</v>
      </c>
      <c r="E172" s="43">
        <f>'Raw Data'!F174+Bill!$O$2</f>
        <v>127</v>
      </c>
      <c r="F172" s="43">
        <f>'Raw Data'!F174+Bill!$P$2</f>
        <v>132</v>
      </c>
      <c r="G172" s="43"/>
      <c r="H172" s="43">
        <f>('Raw Data'!F174+Bill!$R$2)</f>
        <v>127</v>
      </c>
      <c r="I172" s="36">
        <f>'Raw Data'!G174/100</f>
        <v>4.35</v>
      </c>
      <c r="K172" s="37">
        <f>Bill!$Y172</f>
        <v>45730</v>
      </c>
      <c r="L172" s="38">
        <f>Bill!$AA172*('Raw Data'!$E174+$L$2)</f>
        <v>0</v>
      </c>
      <c r="M172" s="38">
        <f>Bill!$AB172*('Raw Data'!$E174+$M$2)</f>
        <v>435</v>
      </c>
      <c r="N172" s="38">
        <f>(('Raw Data'!$F174 * 2)-10)*Bill!$AC172</f>
        <v>1020</v>
      </c>
      <c r="O172" s="38">
        <f>('Raw Data'!F174+Bill!$O$2)*Bill!$AD172</f>
        <v>0</v>
      </c>
      <c r="P172" s="38">
        <f>('Raw Data'!F174+Bill!$P$2)*Bill!$AE172</f>
        <v>0</v>
      </c>
      <c r="Q172" s="38">
        <f>Bill!$Z172*('Raw Data'!$E174+$Q$2)</f>
        <v>0</v>
      </c>
      <c r="R172" s="38">
        <f>('Raw Data'!F174+Bill!$R$2)*Bill!$AF172</f>
        <v>0</v>
      </c>
      <c r="S172" s="48">
        <f>('Raw Data'!G174/100)*Bill!$AG172</f>
        <v>0</v>
      </c>
      <c r="T172" s="38">
        <f>SUM(Bill!$L172:$R172)</f>
        <v>1455</v>
      </c>
      <c r="U172" s="49">
        <v>1455.0</v>
      </c>
      <c r="V172" s="50"/>
      <c r="W172" s="38">
        <f>Bill!$U172-Bill!$T172</f>
        <v>0</v>
      </c>
      <c r="Y172" s="37">
        <f>'Raw Data'!D174</f>
        <v>45730</v>
      </c>
      <c r="Z172" s="41">
        <v>0.0</v>
      </c>
      <c r="AA172" s="47">
        <v>0.0</v>
      </c>
      <c r="AB172" s="47">
        <v>3.0</v>
      </c>
      <c r="AC172" s="47">
        <v>5.0</v>
      </c>
      <c r="AD172" s="47">
        <v>0.0</v>
      </c>
      <c r="AE172" s="47">
        <v>0.0</v>
      </c>
      <c r="AF172" s="47">
        <v>0.0</v>
      </c>
      <c r="AG172" s="47">
        <v>0.0</v>
      </c>
    </row>
    <row r="173" ht="15.75" customHeight="1">
      <c r="A173" s="35">
        <f>Bill!$Y173</f>
        <v>45731</v>
      </c>
      <c r="B173" s="43">
        <f>'Raw Data'!E175+Bill!$L$2</f>
        <v>142</v>
      </c>
      <c r="C173" s="43">
        <f>'Raw Data'!E175+Bill!$M$2</f>
        <v>147</v>
      </c>
      <c r="D173" s="43">
        <f>('Raw Data'!$F175*2)-10</f>
        <v>214</v>
      </c>
      <c r="E173" s="43">
        <f>'Raw Data'!F175+Bill!$O$2</f>
        <v>132</v>
      </c>
      <c r="F173" s="43">
        <f>'Raw Data'!F175+Bill!$P$2</f>
        <v>137</v>
      </c>
      <c r="G173" s="43"/>
      <c r="H173" s="43">
        <f>('Raw Data'!F175+Bill!$R$2)</f>
        <v>132</v>
      </c>
      <c r="I173" s="36">
        <f>'Raw Data'!G175/100</f>
        <v>4.35</v>
      </c>
      <c r="K173" s="37">
        <f>Bill!$Y173</f>
        <v>45731</v>
      </c>
      <c r="L173" s="38">
        <f>Bill!$AA173*('Raw Data'!$E175+$L$2)</f>
        <v>0</v>
      </c>
      <c r="M173" s="38">
        <f>Bill!$AB173*('Raw Data'!$E175+$M$2)</f>
        <v>3234</v>
      </c>
      <c r="N173" s="38">
        <f>(('Raw Data'!$F175 * 2)-10)*Bill!$AC173</f>
        <v>2568</v>
      </c>
      <c r="O173" s="38">
        <f>('Raw Data'!F175+Bill!$O$2)*Bill!$AD173</f>
        <v>0</v>
      </c>
      <c r="P173" s="38">
        <f>('Raw Data'!F175+Bill!$P$2)*Bill!$AE173</f>
        <v>822</v>
      </c>
      <c r="Q173" s="38">
        <f>Bill!$Z173*('Raw Data'!$E175+$Q$2)</f>
        <v>0</v>
      </c>
      <c r="R173" s="38">
        <f>('Raw Data'!F175+Bill!$R$2)*Bill!$AF173</f>
        <v>0</v>
      </c>
      <c r="S173" s="48">
        <f>('Raw Data'!G175/100)*Bill!$AG173</f>
        <v>0</v>
      </c>
      <c r="T173" s="38">
        <f>SUM(Bill!$L173:$R173)</f>
        <v>6624</v>
      </c>
      <c r="U173" s="49">
        <v>6654.0</v>
      </c>
      <c r="V173" s="50"/>
      <c r="W173" s="38">
        <f>Bill!$U173-Bill!$T173</f>
        <v>30</v>
      </c>
      <c r="Y173" s="37">
        <f>'Raw Data'!D175</f>
        <v>45731</v>
      </c>
      <c r="Z173" s="41">
        <v>0.0</v>
      </c>
      <c r="AA173" s="47">
        <v>0.0</v>
      </c>
      <c r="AB173" s="47">
        <v>22.0</v>
      </c>
      <c r="AC173" s="47">
        <v>12.0</v>
      </c>
      <c r="AD173" s="47">
        <v>0.0</v>
      </c>
      <c r="AE173" s="47">
        <v>6.0</v>
      </c>
      <c r="AF173" s="47">
        <v>0.0</v>
      </c>
      <c r="AG173" s="47">
        <v>0.0</v>
      </c>
    </row>
    <row r="174" ht="15.75" customHeight="1">
      <c r="A174" s="35">
        <f>Bill!$Y174</f>
        <v>45732</v>
      </c>
      <c r="B174" s="43">
        <f>'Raw Data'!E176+Bill!$L$2</f>
        <v>137</v>
      </c>
      <c r="C174" s="43">
        <f>'Raw Data'!E176+Bill!$M$2</f>
        <v>142</v>
      </c>
      <c r="D174" s="43">
        <f>('Raw Data'!$F176*2)-10</f>
        <v>238</v>
      </c>
      <c r="E174" s="43">
        <f>'Raw Data'!F176+Bill!$O$2</f>
        <v>144</v>
      </c>
      <c r="F174" s="43">
        <f>'Raw Data'!F176+Bill!$P$2</f>
        <v>149</v>
      </c>
      <c r="G174" s="43"/>
      <c r="H174" s="43">
        <f>('Raw Data'!F176+Bill!$R$2)</f>
        <v>144</v>
      </c>
      <c r="I174" s="36">
        <f>'Raw Data'!G176/100</f>
        <v>4.35</v>
      </c>
      <c r="K174" s="37">
        <f>Bill!$Y174</f>
        <v>45732</v>
      </c>
      <c r="L174" s="38">
        <f>Bill!$AA174*('Raw Data'!$E176+$L$2)</f>
        <v>2260.5</v>
      </c>
      <c r="M174" s="38">
        <f>Bill!$AB174*('Raw Data'!$E176+$M$2)</f>
        <v>454.4</v>
      </c>
      <c r="N174" s="38">
        <f>(('Raw Data'!$F176 * 2)-10)*Bill!$AC174</f>
        <v>1904</v>
      </c>
      <c r="O174" s="38">
        <f>('Raw Data'!F176+Bill!$O$2)*Bill!$AD174</f>
        <v>0</v>
      </c>
      <c r="P174" s="38">
        <f>('Raw Data'!F176+Bill!$P$2)*Bill!$AE174</f>
        <v>0</v>
      </c>
      <c r="Q174" s="38">
        <f>Bill!$Z174*('Raw Data'!$E176+$Q$2)</f>
        <v>0</v>
      </c>
      <c r="R174" s="38">
        <f>('Raw Data'!F176+Bill!$R$2)*Bill!$AF174</f>
        <v>0</v>
      </c>
      <c r="S174" s="48">
        <f>('Raw Data'!G176/100)*Bill!$AG174</f>
        <v>0</v>
      </c>
      <c r="T174" s="38">
        <f>SUM(Bill!$L174:$R174)</f>
        <v>4618.9</v>
      </c>
      <c r="U174" s="49">
        <v>4644.0</v>
      </c>
      <c r="V174" s="50"/>
      <c r="W174" s="38">
        <f>Bill!$U174-Bill!$T174</f>
        <v>25.1</v>
      </c>
      <c r="Y174" s="37">
        <f>'Raw Data'!D176</f>
        <v>45732</v>
      </c>
      <c r="Z174" s="41">
        <v>0.0</v>
      </c>
      <c r="AA174" s="47">
        <v>16.5</v>
      </c>
      <c r="AB174" s="47">
        <v>3.2</v>
      </c>
      <c r="AC174" s="47">
        <v>8.0</v>
      </c>
      <c r="AD174" s="47">
        <v>0.0</v>
      </c>
      <c r="AE174" s="47">
        <v>0.0</v>
      </c>
      <c r="AF174" s="47">
        <v>0.0</v>
      </c>
      <c r="AG174" s="47">
        <v>0.0</v>
      </c>
    </row>
    <row r="175" ht="15.75" customHeight="1">
      <c r="A175" s="35">
        <f>Bill!$Y175</f>
        <v>45733</v>
      </c>
      <c r="B175" s="43">
        <f>'Raw Data'!E177+Bill!$L$2</f>
        <v>137</v>
      </c>
      <c r="C175" s="43">
        <f>'Raw Data'!E177+Bill!$M$2</f>
        <v>142</v>
      </c>
      <c r="D175" s="43">
        <f>('Raw Data'!$F177*2)-10</f>
        <v>238</v>
      </c>
      <c r="E175" s="43">
        <f>'Raw Data'!F177+Bill!$O$2</f>
        <v>144</v>
      </c>
      <c r="F175" s="43">
        <f>'Raw Data'!F177+Bill!$P$2</f>
        <v>149</v>
      </c>
      <c r="G175" s="43"/>
      <c r="H175" s="43">
        <f>('Raw Data'!F177+Bill!$R$2)</f>
        <v>144</v>
      </c>
      <c r="I175" s="36">
        <f>'Raw Data'!G177/100</f>
        <v>4.45</v>
      </c>
      <c r="K175" s="37">
        <f>Bill!$Y175</f>
        <v>45733</v>
      </c>
      <c r="L175" s="38">
        <f>Bill!$AA175*('Raw Data'!$E177+$L$2)</f>
        <v>0</v>
      </c>
      <c r="M175" s="38">
        <f>Bill!$AB175*('Raw Data'!$E177+$M$2)</f>
        <v>1420</v>
      </c>
      <c r="N175" s="38">
        <f>(('Raw Data'!$F177 * 2)-10)*Bill!$AC175</f>
        <v>1428</v>
      </c>
      <c r="O175" s="38">
        <f>('Raw Data'!F177+Bill!$O$2)*Bill!$AD175</f>
        <v>0</v>
      </c>
      <c r="P175" s="38">
        <f>('Raw Data'!F177+Bill!$P$2)*Bill!$AE175</f>
        <v>0</v>
      </c>
      <c r="Q175" s="38">
        <f>Bill!$Z175*('Raw Data'!$E177+$Q$2)</f>
        <v>0</v>
      </c>
      <c r="R175" s="38">
        <f>('Raw Data'!F177+Bill!$R$2)*Bill!$AF175</f>
        <v>432</v>
      </c>
      <c r="S175" s="48">
        <f>('Raw Data'!G177/100)*Bill!$AG175</f>
        <v>934.5</v>
      </c>
      <c r="T175" s="38">
        <f>SUM(Bill!$L175:$R175)</f>
        <v>3280</v>
      </c>
      <c r="U175" s="49">
        <v>3245.0</v>
      </c>
      <c r="V175" s="50"/>
      <c r="W175" s="38">
        <f>Bill!$U175-Bill!$T175</f>
        <v>-35</v>
      </c>
      <c r="Y175" s="37">
        <f>'Raw Data'!D177</f>
        <v>45733</v>
      </c>
      <c r="Z175" s="41">
        <v>0.0</v>
      </c>
      <c r="AA175" s="47">
        <v>0.0</v>
      </c>
      <c r="AB175" s="47">
        <v>10.0</v>
      </c>
      <c r="AC175" s="47">
        <v>6.0</v>
      </c>
      <c r="AD175" s="47">
        <v>0.0</v>
      </c>
      <c r="AE175" s="47">
        <v>0.0</v>
      </c>
      <c r="AF175" s="47">
        <v>3.0</v>
      </c>
      <c r="AG175" s="47">
        <v>210.0</v>
      </c>
    </row>
    <row r="176" ht="15.75" customHeight="1">
      <c r="A176" s="35">
        <f>Bill!$Y176</f>
        <v>45734</v>
      </c>
      <c r="B176" s="43">
        <f>'Raw Data'!E178+Bill!$L$2</f>
        <v>137</v>
      </c>
      <c r="C176" s="43">
        <f>'Raw Data'!E178+Bill!$M$2</f>
        <v>142</v>
      </c>
      <c r="D176" s="43">
        <f>('Raw Data'!$F178*2)-10</f>
        <v>238</v>
      </c>
      <c r="E176" s="43">
        <f>'Raw Data'!F178+Bill!$O$2</f>
        <v>144</v>
      </c>
      <c r="F176" s="43">
        <f>'Raw Data'!F178+Bill!$P$2</f>
        <v>149</v>
      </c>
      <c r="G176" s="43"/>
      <c r="H176" s="43">
        <f>('Raw Data'!F178+Bill!$R$2)</f>
        <v>144</v>
      </c>
      <c r="I176" s="36">
        <f>'Raw Data'!G178/100</f>
        <v>4.55</v>
      </c>
      <c r="K176" s="37">
        <f>Bill!$Y176</f>
        <v>45734</v>
      </c>
      <c r="L176" s="38">
        <f>Bill!$AA176*('Raw Data'!$E178+$L$2)</f>
        <v>822</v>
      </c>
      <c r="M176" s="38">
        <f>Bill!$AB176*('Raw Data'!$E178+$M$2)</f>
        <v>454.4</v>
      </c>
      <c r="N176" s="38">
        <f>(('Raw Data'!$F178 * 2)-10)*Bill!$AC176</f>
        <v>952</v>
      </c>
      <c r="O176" s="38">
        <f>('Raw Data'!F178+Bill!$O$2)*Bill!$AD176</f>
        <v>0</v>
      </c>
      <c r="P176" s="38">
        <f>('Raw Data'!F178+Bill!$P$2)*Bill!$AE176</f>
        <v>0</v>
      </c>
      <c r="Q176" s="38">
        <f>Bill!$Z176*('Raw Data'!$E178+$Q$2)</f>
        <v>0</v>
      </c>
      <c r="R176" s="38">
        <f>('Raw Data'!F178+Bill!$R$2)*Bill!$AF176</f>
        <v>0</v>
      </c>
      <c r="S176" s="48">
        <f>('Raw Data'!G178/100)*Bill!$AG176</f>
        <v>0</v>
      </c>
      <c r="T176" s="38">
        <f>SUM(Bill!$L176:$R176)</f>
        <v>2228.4</v>
      </c>
      <c r="U176" s="49">
        <v>2236.0</v>
      </c>
      <c r="V176" s="50"/>
      <c r="W176" s="38">
        <f>Bill!$U176-Bill!$T176</f>
        <v>7.6</v>
      </c>
      <c r="Y176" s="37">
        <f>'Raw Data'!D178</f>
        <v>45734</v>
      </c>
      <c r="Z176" s="41">
        <v>0.0</v>
      </c>
      <c r="AA176" s="47">
        <v>6.0</v>
      </c>
      <c r="AB176" s="47">
        <v>3.2</v>
      </c>
      <c r="AC176" s="47">
        <v>4.0</v>
      </c>
      <c r="AD176" s="47">
        <v>0.0</v>
      </c>
      <c r="AE176" s="47">
        <v>0.0</v>
      </c>
      <c r="AF176" s="47">
        <v>0.0</v>
      </c>
      <c r="AG176" s="47">
        <v>0.0</v>
      </c>
    </row>
    <row r="177" ht="15.75" customHeight="1">
      <c r="A177" s="35">
        <f>Bill!$Y177</f>
        <v>45735</v>
      </c>
      <c r="B177" s="43">
        <f>'Raw Data'!E179+Bill!$L$2</f>
        <v>137</v>
      </c>
      <c r="C177" s="43">
        <f>'Raw Data'!E179+Bill!$M$2</f>
        <v>142</v>
      </c>
      <c r="D177" s="43">
        <f>('Raw Data'!$F179*2)-10</f>
        <v>238</v>
      </c>
      <c r="E177" s="43">
        <f>'Raw Data'!F179+Bill!$O$2</f>
        <v>144</v>
      </c>
      <c r="F177" s="43">
        <f>'Raw Data'!F179+Bill!$P$2</f>
        <v>149</v>
      </c>
      <c r="G177" s="43"/>
      <c r="H177" s="43">
        <f>('Raw Data'!F179+Bill!$R$2)</f>
        <v>144</v>
      </c>
      <c r="I177" s="36">
        <f>'Raw Data'!G179/100</f>
        <v>4.6</v>
      </c>
      <c r="K177" s="37">
        <f>Bill!$Y177</f>
        <v>45735</v>
      </c>
      <c r="L177" s="38">
        <f>Bill!$AA177*('Raw Data'!$E179+$L$2)</f>
        <v>0</v>
      </c>
      <c r="M177" s="38">
        <f>Bill!$AB177*('Raw Data'!$E179+$M$2)</f>
        <v>1420</v>
      </c>
      <c r="N177" s="38">
        <f>(('Raw Data'!$F179 * 2)-10)*Bill!$AC177</f>
        <v>1190</v>
      </c>
      <c r="O177" s="38">
        <f>('Raw Data'!F179+Bill!$O$2)*Bill!$AD177</f>
        <v>288</v>
      </c>
      <c r="P177" s="38">
        <f>('Raw Data'!F179+Bill!$P$2)*Bill!$AE177</f>
        <v>447</v>
      </c>
      <c r="Q177" s="38">
        <f>Bill!$Z177*('Raw Data'!$E179+$Q$2)</f>
        <v>0</v>
      </c>
      <c r="R177" s="38">
        <f>('Raw Data'!F179+Bill!$R$2)*Bill!$AF177</f>
        <v>0</v>
      </c>
      <c r="S177" s="48">
        <f>('Raw Data'!G179/100)*Bill!$AG177</f>
        <v>0</v>
      </c>
      <c r="T177" s="38">
        <f>SUM(Bill!$L177:$R177)</f>
        <v>3345</v>
      </c>
      <c r="U177" s="49">
        <v>3352.0</v>
      </c>
      <c r="V177" s="50"/>
      <c r="W177" s="38">
        <f>Bill!$U177-Bill!$T177</f>
        <v>7</v>
      </c>
      <c r="Y177" s="37">
        <f>'Raw Data'!D179</f>
        <v>45735</v>
      </c>
      <c r="Z177" s="41">
        <v>0.0</v>
      </c>
      <c r="AA177" s="47">
        <v>0.0</v>
      </c>
      <c r="AB177" s="47">
        <v>10.0</v>
      </c>
      <c r="AC177" s="47">
        <v>5.0</v>
      </c>
      <c r="AD177" s="47">
        <v>2.0</v>
      </c>
      <c r="AE177" s="47">
        <v>3.0</v>
      </c>
      <c r="AF177" s="47">
        <v>0.0</v>
      </c>
      <c r="AG177" s="47">
        <v>0.0</v>
      </c>
    </row>
    <row r="178" ht="15.75" customHeight="1">
      <c r="A178" s="35">
        <f>Bill!$Y178</f>
        <v>45736</v>
      </c>
      <c r="B178" s="43">
        <f>'Raw Data'!E180+Bill!$L$2</f>
        <v>137</v>
      </c>
      <c r="C178" s="43">
        <f>'Raw Data'!E180+Bill!$M$2</f>
        <v>142</v>
      </c>
      <c r="D178" s="43">
        <f>('Raw Data'!$F180*2)-10</f>
        <v>234</v>
      </c>
      <c r="E178" s="43">
        <f>'Raw Data'!F180+Bill!$O$2</f>
        <v>142</v>
      </c>
      <c r="F178" s="43">
        <f>'Raw Data'!F180+Bill!$P$2</f>
        <v>147</v>
      </c>
      <c r="G178" s="43"/>
      <c r="H178" s="43">
        <f>('Raw Data'!F180+Bill!$R$2)</f>
        <v>142</v>
      </c>
      <c r="I178" s="36">
        <f>'Raw Data'!G180/100</f>
        <v>4.65</v>
      </c>
      <c r="K178" s="37">
        <f>Bill!$Y178</f>
        <v>45736</v>
      </c>
      <c r="L178" s="38">
        <f>Bill!$AA178*('Raw Data'!$E180+$L$2)</f>
        <v>2041.3</v>
      </c>
      <c r="M178" s="38">
        <f>Bill!$AB178*('Raw Data'!$E180+$M$2)</f>
        <v>454.4</v>
      </c>
      <c r="N178" s="38">
        <f>(('Raw Data'!$F180 * 2)-10)*Bill!$AC178</f>
        <v>702</v>
      </c>
      <c r="O178" s="38">
        <f>('Raw Data'!F180+Bill!$O$2)*Bill!$AD178</f>
        <v>0</v>
      </c>
      <c r="P178" s="38">
        <f>('Raw Data'!F180+Bill!$P$2)*Bill!$AE178</f>
        <v>0</v>
      </c>
      <c r="Q178" s="38">
        <f>Bill!$Z178*('Raw Data'!$E180+$Q$2)</f>
        <v>0</v>
      </c>
      <c r="R178" s="38">
        <f>('Raw Data'!F180+Bill!$R$2)*Bill!$AF178</f>
        <v>0</v>
      </c>
      <c r="S178" s="48">
        <f>('Raw Data'!G180/100)*Bill!$AG178</f>
        <v>418.5</v>
      </c>
      <c r="T178" s="38">
        <f>SUM(Bill!$L178:$R178)</f>
        <v>3197.7</v>
      </c>
      <c r="U178" s="49">
        <v>3293.0</v>
      </c>
      <c r="V178" s="50"/>
      <c r="W178" s="38">
        <f>Bill!$U178-Bill!$T178</f>
        <v>95.3</v>
      </c>
      <c r="Y178" s="37">
        <f>'Raw Data'!D180</f>
        <v>45736</v>
      </c>
      <c r="Z178" s="41">
        <v>0.0</v>
      </c>
      <c r="AA178" s="47">
        <v>14.9</v>
      </c>
      <c r="AB178" s="47">
        <v>3.2</v>
      </c>
      <c r="AC178" s="47">
        <v>3.0</v>
      </c>
      <c r="AD178" s="47">
        <v>0.0</v>
      </c>
      <c r="AE178" s="47">
        <v>0.0</v>
      </c>
      <c r="AF178" s="47">
        <v>0.0</v>
      </c>
      <c r="AG178" s="47">
        <v>90.0</v>
      </c>
    </row>
    <row r="179" ht="15.75" customHeight="1">
      <c r="A179" s="35">
        <f>Bill!$Y179</f>
        <v>45737</v>
      </c>
      <c r="B179" s="43">
        <f>'Raw Data'!E181+Bill!$L$2</f>
        <v>138</v>
      </c>
      <c r="C179" s="43">
        <f>'Raw Data'!E181+Bill!$M$2</f>
        <v>143</v>
      </c>
      <c r="D179" s="43">
        <f>('Raw Data'!$F181*2)-10</f>
        <v>234</v>
      </c>
      <c r="E179" s="43">
        <f>'Raw Data'!F181+Bill!$O$2</f>
        <v>142</v>
      </c>
      <c r="F179" s="43">
        <f>'Raw Data'!F181+Bill!$P$2</f>
        <v>147</v>
      </c>
      <c r="G179" s="43"/>
      <c r="H179" s="43">
        <f>('Raw Data'!F181+Bill!$R$2)</f>
        <v>142</v>
      </c>
      <c r="I179" s="36">
        <f>'Raw Data'!G181/100</f>
        <v>4.65</v>
      </c>
      <c r="K179" s="37">
        <f>Bill!$Y179</f>
        <v>45737</v>
      </c>
      <c r="L179" s="38">
        <f>Bill!$AA179*('Raw Data'!$E181+$L$2)</f>
        <v>0</v>
      </c>
      <c r="M179" s="38">
        <f>Bill!$AB179*('Raw Data'!$E181+$M$2)</f>
        <v>1716</v>
      </c>
      <c r="N179" s="38">
        <f>(('Raw Data'!$F181 * 2)-10)*Bill!$AC179</f>
        <v>2340</v>
      </c>
      <c r="O179" s="38">
        <f>('Raw Data'!F181+Bill!$O$2)*Bill!$AD179</f>
        <v>0</v>
      </c>
      <c r="P179" s="38">
        <f>('Raw Data'!F181+Bill!$P$2)*Bill!$AE179</f>
        <v>0</v>
      </c>
      <c r="Q179" s="38">
        <f>Bill!$Z179*('Raw Data'!$E181+$Q$2)</f>
        <v>0</v>
      </c>
      <c r="R179" s="38">
        <f>('Raw Data'!F181+Bill!$R$2)*Bill!$AF179</f>
        <v>0</v>
      </c>
      <c r="S179" s="48">
        <f>('Raw Data'!G181/100)*Bill!$AG179</f>
        <v>0</v>
      </c>
      <c r="T179" s="38">
        <f>SUM(Bill!$L179:$R179)</f>
        <v>4056</v>
      </c>
      <c r="U179" s="49">
        <v>4024.0</v>
      </c>
      <c r="V179" s="50"/>
      <c r="W179" s="38">
        <f>Bill!$U179-Bill!$T179</f>
        <v>-32</v>
      </c>
      <c r="Y179" s="37">
        <f>'Raw Data'!D181</f>
        <v>45737</v>
      </c>
      <c r="Z179" s="41">
        <v>0.0</v>
      </c>
      <c r="AA179" s="47">
        <v>0.0</v>
      </c>
      <c r="AB179" s="47">
        <v>12.0</v>
      </c>
      <c r="AC179" s="47">
        <v>10.0</v>
      </c>
      <c r="AD179" s="47">
        <v>0.0</v>
      </c>
      <c r="AE179" s="47">
        <v>0.0</v>
      </c>
      <c r="AF179" s="47">
        <v>0.0</v>
      </c>
      <c r="AG179" s="47">
        <v>0.0</v>
      </c>
    </row>
    <row r="180" ht="15.75" customHeight="1">
      <c r="A180" s="35">
        <f>Bill!$Y180</f>
        <v>45738</v>
      </c>
      <c r="B180" s="43">
        <f>'Raw Data'!E182+Bill!$L$2</f>
        <v>138</v>
      </c>
      <c r="C180" s="43">
        <f>'Raw Data'!E182+Bill!$M$2</f>
        <v>143</v>
      </c>
      <c r="D180" s="43">
        <f>('Raw Data'!$F182*2)-10</f>
        <v>234</v>
      </c>
      <c r="E180" s="43">
        <f>'Raw Data'!F182+Bill!$O$2</f>
        <v>142</v>
      </c>
      <c r="F180" s="43">
        <f>'Raw Data'!F182+Bill!$P$2</f>
        <v>147</v>
      </c>
      <c r="G180" s="43"/>
      <c r="H180" s="43">
        <f>('Raw Data'!F182+Bill!$R$2)</f>
        <v>142</v>
      </c>
      <c r="I180" s="36">
        <f>'Raw Data'!G182/100</f>
        <v>4.65</v>
      </c>
      <c r="K180" s="37">
        <f>Bill!$Y180</f>
        <v>45738</v>
      </c>
      <c r="L180" s="38">
        <f>Bill!$AA180*('Raw Data'!$E182+$L$2)</f>
        <v>2746.2</v>
      </c>
      <c r="M180" s="38">
        <f>Bill!$AB180*('Raw Data'!$E182+$M$2)</f>
        <v>3575</v>
      </c>
      <c r="N180" s="38">
        <f>(('Raw Data'!$F182 * 2)-10)*Bill!$AC180</f>
        <v>2340</v>
      </c>
      <c r="O180" s="38">
        <f>('Raw Data'!F182+Bill!$O$2)*Bill!$AD180</f>
        <v>269.8</v>
      </c>
      <c r="P180" s="38">
        <f>('Raw Data'!F182+Bill!$P$2)*Bill!$AE180</f>
        <v>441</v>
      </c>
      <c r="Q180" s="38">
        <f>Bill!$Z180*('Raw Data'!$E182+$Q$2)</f>
        <v>0</v>
      </c>
      <c r="R180" s="38">
        <f>('Raw Data'!F182+Bill!$R$2)*Bill!$AF180</f>
        <v>0</v>
      </c>
      <c r="S180" s="48">
        <f>('Raw Data'!G182/100)*Bill!$AG180</f>
        <v>837</v>
      </c>
      <c r="T180" s="38">
        <f>SUM(Bill!$L180:$R180)</f>
        <v>9372</v>
      </c>
      <c r="U180" s="49">
        <v>9466.0</v>
      </c>
      <c r="V180" s="50"/>
      <c r="W180" s="38">
        <f>Bill!$U180-Bill!$T180</f>
        <v>94</v>
      </c>
      <c r="Y180" s="37">
        <f>'Raw Data'!D182</f>
        <v>45738</v>
      </c>
      <c r="Z180" s="41">
        <v>0.0</v>
      </c>
      <c r="AA180" s="47">
        <v>19.9</v>
      </c>
      <c r="AB180" s="47">
        <v>25.0</v>
      </c>
      <c r="AC180" s="47">
        <v>10.0</v>
      </c>
      <c r="AD180" s="47">
        <v>1.9</v>
      </c>
      <c r="AE180" s="47">
        <v>3.0</v>
      </c>
      <c r="AF180" s="47">
        <v>0.0</v>
      </c>
      <c r="AG180" s="47">
        <v>180.0</v>
      </c>
    </row>
    <row r="181" ht="15.75" customHeight="1">
      <c r="A181" s="35">
        <f>Bill!$Y181</f>
        <v>45739</v>
      </c>
      <c r="B181" s="43">
        <f>'Raw Data'!E183+Bill!$L$2</f>
        <v>138</v>
      </c>
      <c r="C181" s="43">
        <f>'Raw Data'!E183+Bill!$M$2</f>
        <v>143</v>
      </c>
      <c r="D181" s="43">
        <f>('Raw Data'!$F183*2)-10</f>
        <v>234</v>
      </c>
      <c r="E181" s="43">
        <f>'Raw Data'!F183+Bill!$O$2</f>
        <v>142</v>
      </c>
      <c r="F181" s="43">
        <f>'Raw Data'!F183+Bill!$P$2</f>
        <v>147</v>
      </c>
      <c r="G181" s="43"/>
      <c r="H181" s="43">
        <f>('Raw Data'!F183+Bill!$R$2)</f>
        <v>142</v>
      </c>
      <c r="I181" s="36">
        <f>'Raw Data'!G183/100</f>
        <v>4.65</v>
      </c>
      <c r="K181" s="37">
        <f>Bill!$Y181</f>
        <v>45739</v>
      </c>
      <c r="L181" s="38">
        <f>Bill!$AA181*('Raw Data'!$E183+$L$2)</f>
        <v>1518</v>
      </c>
      <c r="M181" s="38">
        <f>Bill!$AB181*('Raw Data'!$E183+$M$2)</f>
        <v>2145</v>
      </c>
      <c r="N181" s="38">
        <f>(('Raw Data'!$F183 * 2)-10)*Bill!$AC181</f>
        <v>1872</v>
      </c>
      <c r="O181" s="38">
        <f>('Raw Data'!F183+Bill!$O$2)*Bill!$AD181</f>
        <v>0</v>
      </c>
      <c r="P181" s="38">
        <f>('Raw Data'!F183+Bill!$P$2)*Bill!$AE181</f>
        <v>441</v>
      </c>
      <c r="Q181" s="38">
        <f>Bill!$Z181*('Raw Data'!$E183+$Q$2)</f>
        <v>0</v>
      </c>
      <c r="R181" s="38">
        <f>('Raw Data'!F183+Bill!$R$2)*Bill!$AF181</f>
        <v>0</v>
      </c>
      <c r="S181" s="48">
        <f>('Raw Data'!G183/100)*Bill!$AG181</f>
        <v>0</v>
      </c>
      <c r="T181" s="38">
        <f>SUM(Bill!$L181:$R181)</f>
        <v>5976</v>
      </c>
      <c r="U181" s="49">
        <v>6019.0</v>
      </c>
      <c r="V181" s="50"/>
      <c r="W181" s="38">
        <f>Bill!$U181-Bill!$T181</f>
        <v>43</v>
      </c>
      <c r="Y181" s="37">
        <f>'Raw Data'!D183</f>
        <v>45739</v>
      </c>
      <c r="Z181" s="41">
        <v>0.0</v>
      </c>
      <c r="AA181" s="47">
        <v>11.0</v>
      </c>
      <c r="AB181" s="47">
        <v>15.0</v>
      </c>
      <c r="AC181" s="47">
        <v>8.0</v>
      </c>
      <c r="AD181" s="47">
        <v>0.0</v>
      </c>
      <c r="AE181" s="47">
        <v>3.0</v>
      </c>
      <c r="AF181" s="47">
        <v>0.0</v>
      </c>
      <c r="AG181" s="47">
        <v>0.0</v>
      </c>
    </row>
    <row r="182" ht="15.75" customHeight="1">
      <c r="A182" s="35">
        <f>Bill!$Y182</f>
        <v>45740</v>
      </c>
      <c r="B182" s="43">
        <f>'Raw Data'!E184+Bill!$L$2</f>
        <v>133</v>
      </c>
      <c r="C182" s="43">
        <f>'Raw Data'!E184+Bill!$M$2</f>
        <v>138</v>
      </c>
      <c r="D182" s="43">
        <f>('Raw Data'!$F184*2)-10</f>
        <v>234</v>
      </c>
      <c r="E182" s="43">
        <f>'Raw Data'!F184+Bill!$O$2</f>
        <v>142</v>
      </c>
      <c r="F182" s="43">
        <f>'Raw Data'!F184+Bill!$P$2</f>
        <v>147</v>
      </c>
      <c r="G182" s="43"/>
      <c r="H182" s="43">
        <f>('Raw Data'!F184+Bill!$R$2)</f>
        <v>142</v>
      </c>
      <c r="I182" s="36">
        <f>'Raw Data'!G184/100</f>
        <v>4.55</v>
      </c>
      <c r="K182" s="37">
        <f>Bill!$Y182</f>
        <v>45740</v>
      </c>
      <c r="L182" s="38">
        <f>Bill!$AA182*('Raw Data'!$E184+$L$2)</f>
        <v>0</v>
      </c>
      <c r="M182" s="38">
        <f>Bill!$AB182*('Raw Data'!$E184+$M$2)</f>
        <v>414</v>
      </c>
      <c r="N182" s="38">
        <f>(('Raw Data'!$F184 * 2)-10)*Bill!$AC182</f>
        <v>1872</v>
      </c>
      <c r="O182" s="38">
        <f>('Raw Data'!F184+Bill!$O$2)*Bill!$AD182</f>
        <v>0</v>
      </c>
      <c r="P182" s="38">
        <f>('Raw Data'!F184+Bill!$P$2)*Bill!$AE182</f>
        <v>294</v>
      </c>
      <c r="Q182" s="38">
        <f>Bill!$Z182*('Raw Data'!$E184+$Q$2)</f>
        <v>0</v>
      </c>
      <c r="R182" s="38">
        <f>('Raw Data'!F184+Bill!$R$2)*Bill!$AF182</f>
        <v>426</v>
      </c>
      <c r="S182" s="48">
        <f>('Raw Data'!G184/100)*Bill!$AG182</f>
        <v>0</v>
      </c>
      <c r="T182" s="38">
        <f>SUM(Bill!$L182:$R182)</f>
        <v>3006</v>
      </c>
      <c r="U182" s="49">
        <v>2854.0</v>
      </c>
      <c r="V182" s="50"/>
      <c r="W182" s="38">
        <f>Bill!$U182-Bill!$T182</f>
        <v>-152</v>
      </c>
      <c r="Y182" s="37">
        <f>'Raw Data'!D184</f>
        <v>45740</v>
      </c>
      <c r="Z182" s="41">
        <v>0.0</v>
      </c>
      <c r="AA182" s="47">
        <v>0.0</v>
      </c>
      <c r="AB182" s="47">
        <v>3.0</v>
      </c>
      <c r="AC182" s="47">
        <v>8.0</v>
      </c>
      <c r="AD182" s="47">
        <v>0.0</v>
      </c>
      <c r="AE182" s="47">
        <v>2.0</v>
      </c>
      <c r="AF182" s="47">
        <v>3.0</v>
      </c>
      <c r="AG182" s="47">
        <v>0.0</v>
      </c>
    </row>
    <row r="183" ht="15.75" customHeight="1">
      <c r="A183" s="35">
        <f>Bill!$Y183</f>
        <v>45741</v>
      </c>
      <c r="B183" s="43">
        <f>'Raw Data'!E185+Bill!$L$2</f>
        <v>135</v>
      </c>
      <c r="C183" s="43">
        <f>'Raw Data'!E185+Bill!$M$2</f>
        <v>140</v>
      </c>
      <c r="D183" s="43">
        <f>('Raw Data'!$F185*2)-10</f>
        <v>234</v>
      </c>
      <c r="E183" s="43">
        <f>'Raw Data'!F185+Bill!$O$2</f>
        <v>142</v>
      </c>
      <c r="F183" s="43">
        <f>'Raw Data'!F185+Bill!$P$2</f>
        <v>147</v>
      </c>
      <c r="G183" s="43"/>
      <c r="H183" s="43">
        <f>('Raw Data'!F185+Bill!$R$2)</f>
        <v>142</v>
      </c>
      <c r="I183" s="36">
        <f>'Raw Data'!G185/100</f>
        <v>4.55</v>
      </c>
      <c r="K183" s="37">
        <f>Bill!$Y183</f>
        <v>45741</v>
      </c>
      <c r="L183" s="38">
        <f>Bill!$AA183*('Raw Data'!$E185+$L$2)</f>
        <v>1431</v>
      </c>
      <c r="M183" s="38">
        <f>Bill!$AB183*('Raw Data'!$E185+$M$2)</f>
        <v>1134</v>
      </c>
      <c r="N183" s="38">
        <f>(('Raw Data'!$F185 * 2)-10)*Bill!$AC183</f>
        <v>702</v>
      </c>
      <c r="O183" s="38">
        <f>('Raw Data'!F185+Bill!$O$2)*Bill!$AD183</f>
        <v>312.4</v>
      </c>
      <c r="P183" s="38">
        <f>('Raw Data'!F185+Bill!$P$2)*Bill!$AE183</f>
        <v>0</v>
      </c>
      <c r="Q183" s="38">
        <f>Bill!$Z183*('Raw Data'!$E185+$Q$2)</f>
        <v>0</v>
      </c>
      <c r="R183" s="38">
        <f>('Raw Data'!F185+Bill!$R$2)*Bill!$AF183</f>
        <v>0</v>
      </c>
      <c r="S183" s="48">
        <f>('Raw Data'!G185/100)*Bill!$AG183</f>
        <v>0</v>
      </c>
      <c r="T183" s="38">
        <f>SUM(Bill!$L183:$R183)</f>
        <v>3579.4</v>
      </c>
      <c r="U183" s="49">
        <v>3674.0</v>
      </c>
      <c r="V183" s="50"/>
      <c r="W183" s="38">
        <f>Bill!$U183-Bill!$T183</f>
        <v>94.6</v>
      </c>
      <c r="Y183" s="37">
        <f>'Raw Data'!D185</f>
        <v>45741</v>
      </c>
      <c r="Z183" s="41">
        <v>0.0</v>
      </c>
      <c r="AA183" s="47">
        <v>10.6</v>
      </c>
      <c r="AB183" s="47">
        <v>8.1</v>
      </c>
      <c r="AC183" s="47">
        <v>3.0</v>
      </c>
      <c r="AD183" s="47">
        <v>2.2</v>
      </c>
      <c r="AE183" s="47">
        <v>0.0</v>
      </c>
      <c r="AF183" s="47">
        <v>0.0</v>
      </c>
      <c r="AG183" s="47">
        <v>0.0</v>
      </c>
    </row>
    <row r="184" ht="15.75" customHeight="1">
      <c r="A184" s="35">
        <f>Bill!$Y184</f>
        <v>45742</v>
      </c>
      <c r="B184" s="43">
        <f>'Raw Data'!E186+Bill!$L$2</f>
        <v>135</v>
      </c>
      <c r="C184" s="43">
        <f>'Raw Data'!E186+Bill!$M$2</f>
        <v>140</v>
      </c>
      <c r="D184" s="43">
        <f>('Raw Data'!$F186*2)-10</f>
        <v>234</v>
      </c>
      <c r="E184" s="43">
        <f>'Raw Data'!F186+Bill!$O$2</f>
        <v>142</v>
      </c>
      <c r="F184" s="43">
        <f>'Raw Data'!F186+Bill!$P$2</f>
        <v>147</v>
      </c>
      <c r="G184" s="43"/>
      <c r="H184" s="43">
        <f>('Raw Data'!F186+Bill!$R$2)</f>
        <v>142</v>
      </c>
      <c r="I184" s="36">
        <f>'Raw Data'!G186/100</f>
        <v>4.55</v>
      </c>
      <c r="K184" s="37">
        <f>Bill!$Y184</f>
        <v>45742</v>
      </c>
      <c r="L184" s="38">
        <f>Bill!$AA184*('Raw Data'!$E186+$L$2)</f>
        <v>1417.5</v>
      </c>
      <c r="M184" s="38">
        <f>Bill!$AB184*('Raw Data'!$E186+$M$2)</f>
        <v>1148</v>
      </c>
      <c r="N184" s="38">
        <f>(('Raw Data'!$F186 * 2)-10)*Bill!$AC184</f>
        <v>1872</v>
      </c>
      <c r="O184" s="38">
        <f>('Raw Data'!F186+Bill!$O$2)*Bill!$AD184</f>
        <v>0</v>
      </c>
      <c r="P184" s="38">
        <f>('Raw Data'!F186+Bill!$P$2)*Bill!$AE184</f>
        <v>0</v>
      </c>
      <c r="Q184" s="38">
        <f>Bill!$Z184*('Raw Data'!$E186+$Q$2)</f>
        <v>0</v>
      </c>
      <c r="R184" s="38">
        <f>('Raw Data'!F186+Bill!$R$2)*Bill!$AF184</f>
        <v>0</v>
      </c>
      <c r="S184" s="48">
        <f>('Raw Data'!G186/100)*Bill!$AG184</f>
        <v>955.5</v>
      </c>
      <c r="T184" s="38">
        <f>SUM(Bill!$L184:$R184)</f>
        <v>4437.5</v>
      </c>
      <c r="U184" s="49">
        <v>4456.0</v>
      </c>
      <c r="V184" s="50"/>
      <c r="W184" s="38">
        <f>Bill!$U184-Bill!$T184</f>
        <v>18.5</v>
      </c>
      <c r="Y184" s="37">
        <f>'Raw Data'!D186</f>
        <v>45742</v>
      </c>
      <c r="Z184" s="41">
        <v>0.0</v>
      </c>
      <c r="AA184" s="47">
        <v>10.5</v>
      </c>
      <c r="AB184" s="47">
        <v>8.2</v>
      </c>
      <c r="AC184" s="47">
        <v>8.0</v>
      </c>
      <c r="AD184" s="47">
        <v>0.0</v>
      </c>
      <c r="AE184" s="47">
        <v>0.0</v>
      </c>
      <c r="AF184" s="47">
        <v>0.0</v>
      </c>
      <c r="AG184" s="47">
        <v>210.0</v>
      </c>
    </row>
    <row r="185" ht="15.75" customHeight="1">
      <c r="A185" s="35">
        <f>Bill!$Y185</f>
        <v>45743</v>
      </c>
      <c r="B185" s="43">
        <f>'Raw Data'!E187+Bill!$L$2</f>
        <v>135</v>
      </c>
      <c r="C185" s="43">
        <f>'Raw Data'!E187+Bill!$M$2</f>
        <v>140</v>
      </c>
      <c r="D185" s="43">
        <f>('Raw Data'!$F187*2)-10</f>
        <v>234</v>
      </c>
      <c r="E185" s="43">
        <f>'Raw Data'!F187+Bill!$O$2</f>
        <v>142</v>
      </c>
      <c r="F185" s="43">
        <f>'Raw Data'!F187+Bill!$P$2</f>
        <v>147</v>
      </c>
      <c r="G185" s="43"/>
      <c r="H185" s="43">
        <f>('Raw Data'!F187+Bill!$R$2)</f>
        <v>142</v>
      </c>
      <c r="I185" s="36">
        <f>'Raw Data'!G187/100</f>
        <v>4.65</v>
      </c>
      <c r="K185" s="37">
        <f>Bill!$Y185</f>
        <v>45743</v>
      </c>
      <c r="L185" s="38">
        <f>Bill!$AA185*('Raw Data'!$E187+$L$2)</f>
        <v>1525.5</v>
      </c>
      <c r="M185" s="38">
        <f>Bill!$AB185*('Raw Data'!$E187+$M$2)</f>
        <v>2562</v>
      </c>
      <c r="N185" s="38">
        <f>(('Raw Data'!$F187 * 2)-10)*Bill!$AC185</f>
        <v>1872</v>
      </c>
      <c r="O185" s="38">
        <f>('Raw Data'!F187+Bill!$O$2)*Bill!$AD185</f>
        <v>411.8</v>
      </c>
      <c r="P185" s="38">
        <f>('Raw Data'!F187+Bill!$P$2)*Bill!$AE185</f>
        <v>294</v>
      </c>
      <c r="Q185" s="38">
        <f>Bill!$Z185*('Raw Data'!$E187+$Q$2)</f>
        <v>0</v>
      </c>
      <c r="R185" s="38">
        <f>('Raw Data'!F187+Bill!$R$2)*Bill!$AF185</f>
        <v>0</v>
      </c>
      <c r="S185" s="48">
        <f>('Raw Data'!G187/100)*Bill!$AG185</f>
        <v>0</v>
      </c>
      <c r="T185" s="38">
        <f>SUM(Bill!$L185:$R185)</f>
        <v>6665.3</v>
      </c>
      <c r="U185" s="49">
        <v>6735.0</v>
      </c>
      <c r="V185" s="50"/>
      <c r="W185" s="38">
        <f>Bill!$U185-Bill!$T185</f>
        <v>69.7</v>
      </c>
      <c r="Y185" s="37">
        <f>'Raw Data'!D187</f>
        <v>45743</v>
      </c>
      <c r="Z185" s="41">
        <v>0.0</v>
      </c>
      <c r="AA185" s="47">
        <v>11.3</v>
      </c>
      <c r="AB185" s="47">
        <v>18.3</v>
      </c>
      <c r="AC185" s="47">
        <v>8.0</v>
      </c>
      <c r="AD185" s="47">
        <v>2.9</v>
      </c>
      <c r="AE185" s="47">
        <v>2.0</v>
      </c>
      <c r="AF185" s="47">
        <v>0.0</v>
      </c>
      <c r="AG185" s="47">
        <v>0.0</v>
      </c>
    </row>
    <row r="186" ht="15.75" customHeight="1">
      <c r="A186" s="35">
        <f>Bill!$Y186</f>
        <v>45744</v>
      </c>
      <c r="B186" s="43">
        <f>'Raw Data'!E188+Bill!$L$2</f>
        <v>137</v>
      </c>
      <c r="C186" s="43">
        <f>'Raw Data'!E188+Bill!$M$2</f>
        <v>142</v>
      </c>
      <c r="D186" s="43">
        <f>('Raw Data'!$F188*2)-10</f>
        <v>234</v>
      </c>
      <c r="E186" s="43">
        <f>'Raw Data'!F188+Bill!$O$2</f>
        <v>142</v>
      </c>
      <c r="F186" s="43">
        <f>'Raw Data'!F188+Bill!$P$2</f>
        <v>147</v>
      </c>
      <c r="G186" s="43"/>
      <c r="H186" s="43">
        <f>('Raw Data'!F188+Bill!$R$2)</f>
        <v>142</v>
      </c>
      <c r="I186" s="36">
        <f>'Raw Data'!G188/100</f>
        <v>4.7</v>
      </c>
      <c r="K186" s="37">
        <f>Bill!$Y186</f>
        <v>45744</v>
      </c>
      <c r="L186" s="38">
        <f>Bill!$AA186*('Raw Data'!$E188+$L$2)</f>
        <v>0</v>
      </c>
      <c r="M186" s="38">
        <f>Bill!$AB186*('Raw Data'!$E188+$M$2)</f>
        <v>1164.4</v>
      </c>
      <c r="N186" s="38">
        <f>(('Raw Data'!$F188 * 2)-10)*Bill!$AC186</f>
        <v>468</v>
      </c>
      <c r="O186" s="38">
        <f>('Raw Data'!F188+Bill!$O$2)*Bill!$AD186</f>
        <v>0</v>
      </c>
      <c r="P186" s="38">
        <f>('Raw Data'!F188+Bill!$P$2)*Bill!$AE186</f>
        <v>294</v>
      </c>
      <c r="Q186" s="38">
        <f>Bill!$Z186*('Raw Data'!$E188+$Q$2)</f>
        <v>0</v>
      </c>
      <c r="R186" s="38">
        <f>('Raw Data'!F188+Bill!$R$2)*Bill!$AF186</f>
        <v>0</v>
      </c>
      <c r="S186" s="48">
        <f>('Raw Data'!G188/100)*Bill!$AG186</f>
        <v>0</v>
      </c>
      <c r="T186" s="38">
        <f>SUM(Bill!$L186:$R186)</f>
        <v>1926.4</v>
      </c>
      <c r="U186" s="49">
        <v>1947.0</v>
      </c>
      <c r="V186" s="50"/>
      <c r="W186" s="38">
        <f>Bill!$U186-Bill!$T186</f>
        <v>20.6</v>
      </c>
      <c r="Y186" s="37">
        <f>'Raw Data'!D188</f>
        <v>45744</v>
      </c>
      <c r="Z186" s="41">
        <v>0.0</v>
      </c>
      <c r="AA186" s="47">
        <v>0.0</v>
      </c>
      <c r="AB186" s="47">
        <v>8.2</v>
      </c>
      <c r="AC186" s="47">
        <v>2.0</v>
      </c>
      <c r="AD186" s="47">
        <v>0.0</v>
      </c>
      <c r="AE186" s="47">
        <v>2.0</v>
      </c>
      <c r="AF186" s="47">
        <v>0.0</v>
      </c>
      <c r="AG186" s="47">
        <v>0.0</v>
      </c>
    </row>
    <row r="187" ht="15.75" customHeight="1">
      <c r="A187" s="35">
        <f>Bill!$Y187</f>
        <v>45745</v>
      </c>
      <c r="B187" s="43">
        <f>'Raw Data'!E189+Bill!$L$2</f>
        <v>142</v>
      </c>
      <c r="C187" s="43">
        <f>'Raw Data'!E189+Bill!$M$2</f>
        <v>147</v>
      </c>
      <c r="D187" s="43">
        <f>('Raw Data'!$F189*2)-10</f>
        <v>224</v>
      </c>
      <c r="E187" s="43">
        <f>'Raw Data'!F189+Bill!$O$2</f>
        <v>137</v>
      </c>
      <c r="F187" s="43">
        <f>'Raw Data'!F189+Bill!$P$2</f>
        <v>142</v>
      </c>
      <c r="G187" s="43"/>
      <c r="H187" s="43">
        <f>('Raw Data'!F189+Bill!$R$2)</f>
        <v>137</v>
      </c>
      <c r="I187" s="36">
        <f>'Raw Data'!G189/100</f>
        <v>4.9</v>
      </c>
      <c r="K187" s="37">
        <f>Bill!$Y187</f>
        <v>45745</v>
      </c>
      <c r="L187" s="38">
        <f>Bill!$AA187*('Raw Data'!$E189+$L$2)</f>
        <v>1519.4</v>
      </c>
      <c r="M187" s="38">
        <f>Bill!$AB187*('Raw Data'!$E189+$M$2)</f>
        <v>2205</v>
      </c>
      <c r="N187" s="38">
        <f>(('Raw Data'!$F189 * 2)-10)*Bill!$AC187</f>
        <v>672</v>
      </c>
      <c r="O187" s="38">
        <f>('Raw Data'!F189+Bill!$O$2)*Bill!$AD187</f>
        <v>0</v>
      </c>
      <c r="P187" s="38">
        <f>('Raw Data'!F189+Bill!$P$2)*Bill!$AE187</f>
        <v>284</v>
      </c>
      <c r="Q187" s="38">
        <f>Bill!$Z187*('Raw Data'!$E189+$Q$2)</f>
        <v>0</v>
      </c>
      <c r="R187" s="38">
        <f>('Raw Data'!F189+Bill!$R$2)*Bill!$AF187</f>
        <v>0</v>
      </c>
      <c r="S187" s="48">
        <f>('Raw Data'!G189/100)*Bill!$AG187</f>
        <v>735</v>
      </c>
      <c r="T187" s="38">
        <f>SUM(Bill!$L187:$R187)</f>
        <v>4680.4</v>
      </c>
      <c r="U187" s="49">
        <v>4690.0</v>
      </c>
      <c r="V187" s="50"/>
      <c r="W187" s="38">
        <f>Bill!$U187-Bill!$T187</f>
        <v>9.6</v>
      </c>
      <c r="Y187" s="37">
        <f>'Raw Data'!D189</f>
        <v>45745</v>
      </c>
      <c r="Z187" s="41">
        <v>0.0</v>
      </c>
      <c r="AA187" s="47">
        <v>10.7</v>
      </c>
      <c r="AB187" s="47">
        <v>15.0</v>
      </c>
      <c r="AC187" s="47">
        <v>3.0</v>
      </c>
      <c r="AD187" s="47">
        <v>0.0</v>
      </c>
      <c r="AE187" s="47">
        <v>2.0</v>
      </c>
      <c r="AF187" s="47">
        <v>0.0</v>
      </c>
      <c r="AG187" s="47">
        <v>150.0</v>
      </c>
    </row>
    <row r="188" ht="15.75" customHeight="1">
      <c r="A188" s="35">
        <f>Bill!$Y188</f>
        <v>45746</v>
      </c>
      <c r="B188" s="43">
        <f>'Raw Data'!E190+Bill!$L$2</f>
        <v>142</v>
      </c>
      <c r="C188" s="43">
        <f>'Raw Data'!E190+Bill!$M$2</f>
        <v>147</v>
      </c>
      <c r="D188" s="43">
        <f>('Raw Data'!$F190*2)-10</f>
        <v>234</v>
      </c>
      <c r="E188" s="43">
        <f>'Raw Data'!F190+Bill!$O$2</f>
        <v>142</v>
      </c>
      <c r="F188" s="43">
        <f>'Raw Data'!F190+Bill!$P$2</f>
        <v>147</v>
      </c>
      <c r="G188" s="43"/>
      <c r="H188" s="43">
        <f>('Raw Data'!F190+Bill!$R$2)</f>
        <v>142</v>
      </c>
      <c r="I188" s="36">
        <f>'Raw Data'!G190/100</f>
        <v>5</v>
      </c>
      <c r="K188" s="37">
        <f>Bill!$Y188</f>
        <v>45746</v>
      </c>
      <c r="L188" s="38">
        <f>Bill!$AA188*('Raw Data'!$E190+$L$2)</f>
        <v>639</v>
      </c>
      <c r="M188" s="38">
        <f>Bill!$AB188*('Raw Data'!$E190+$M$2)</f>
        <v>749.7</v>
      </c>
      <c r="N188" s="38">
        <f>(('Raw Data'!$F190 * 2)-10)*Bill!$AC188</f>
        <v>936</v>
      </c>
      <c r="O188" s="38">
        <f>('Raw Data'!F190+Bill!$O$2)*Bill!$AD188</f>
        <v>0</v>
      </c>
      <c r="P188" s="38">
        <f>('Raw Data'!F190+Bill!$P$2)*Bill!$AE188</f>
        <v>0</v>
      </c>
      <c r="Q188" s="38">
        <f>Bill!$Z188*('Raw Data'!$E190+$Q$2)</f>
        <v>0</v>
      </c>
      <c r="R188" s="38">
        <f>('Raw Data'!F190+Bill!$R$2)*Bill!$AF188</f>
        <v>0</v>
      </c>
      <c r="S188" s="48">
        <f>('Raw Data'!G190/100)*Bill!$AG188</f>
        <v>0</v>
      </c>
      <c r="T188" s="38">
        <f>SUM(Bill!$L188:$R188)</f>
        <v>2324.7</v>
      </c>
      <c r="U188" s="49">
        <v>2324.0</v>
      </c>
      <c r="V188" s="50"/>
      <c r="W188" s="38">
        <f>Bill!$U188-Bill!$T188</f>
        <v>-0.7</v>
      </c>
      <c r="Y188" s="37">
        <f>'Raw Data'!D190</f>
        <v>45746</v>
      </c>
      <c r="Z188" s="41">
        <v>0.0</v>
      </c>
      <c r="AA188" s="47">
        <v>4.5</v>
      </c>
      <c r="AB188" s="47">
        <v>5.1</v>
      </c>
      <c r="AC188" s="47">
        <v>4.0</v>
      </c>
      <c r="AD188" s="47">
        <v>0.0</v>
      </c>
      <c r="AE188" s="47">
        <v>0.0</v>
      </c>
      <c r="AF188" s="47">
        <v>0.0</v>
      </c>
      <c r="AG188" s="47">
        <v>0.0</v>
      </c>
    </row>
    <row r="189" ht="15.75" customHeight="1">
      <c r="A189" s="35">
        <f>Bill!$Y189</f>
        <v>45747</v>
      </c>
      <c r="B189" s="43">
        <f>'Raw Data'!E191+Bill!$L$2</f>
        <v>142</v>
      </c>
      <c r="C189" s="43">
        <f>'Raw Data'!E191+Bill!$M$2</f>
        <v>147</v>
      </c>
      <c r="D189" s="43">
        <f>('Raw Data'!$F191*2)-10</f>
        <v>244</v>
      </c>
      <c r="E189" s="43">
        <f>'Raw Data'!F191+Bill!$O$2</f>
        <v>147</v>
      </c>
      <c r="F189" s="43">
        <f>'Raw Data'!F191+Bill!$P$2</f>
        <v>152</v>
      </c>
      <c r="G189" s="43"/>
      <c r="H189" s="43">
        <f>('Raw Data'!F191+Bill!$R$2)</f>
        <v>147</v>
      </c>
      <c r="I189" s="36">
        <f>'Raw Data'!G191/100</f>
        <v>5</v>
      </c>
      <c r="K189" s="37">
        <f>Bill!$Y189</f>
        <v>45747</v>
      </c>
      <c r="L189" s="38">
        <f>Bill!$AA189*('Raw Data'!$E191+$L$2)</f>
        <v>0</v>
      </c>
      <c r="M189" s="38">
        <f>Bill!$AB189*('Raw Data'!$E191+$M$2)</f>
        <v>316.05</v>
      </c>
      <c r="N189" s="38">
        <f>(('Raw Data'!$F191 * 2)-10)*Bill!$AC189</f>
        <v>1220</v>
      </c>
      <c r="O189" s="38">
        <f>('Raw Data'!F191+Bill!$O$2)*Bill!$AD189</f>
        <v>0</v>
      </c>
      <c r="P189" s="38">
        <f>('Raw Data'!F191+Bill!$P$2)*Bill!$AE189</f>
        <v>0</v>
      </c>
      <c r="Q189" s="38">
        <f>Bill!$Z189*('Raw Data'!$E191+$Q$2)</f>
        <v>0</v>
      </c>
      <c r="R189" s="38">
        <f>('Raw Data'!F191+Bill!$R$2)*Bill!$AF189</f>
        <v>551.25</v>
      </c>
      <c r="S189" s="48">
        <f>('Raw Data'!G191/100)*Bill!$AG189</f>
        <v>0</v>
      </c>
      <c r="T189" s="38">
        <f>SUM(Bill!$L189:$R189)</f>
        <v>2087.3</v>
      </c>
      <c r="U189" s="49">
        <v>2087.0</v>
      </c>
      <c r="V189" s="50"/>
      <c r="W189" s="38">
        <f>Bill!$U189-Bill!$T189</f>
        <v>-0.3</v>
      </c>
      <c r="Y189" s="37">
        <f>'Raw Data'!D191</f>
        <v>45747</v>
      </c>
      <c r="Z189" s="41">
        <v>0.0</v>
      </c>
      <c r="AA189" s="47">
        <v>0.0</v>
      </c>
      <c r="AB189" s="47">
        <v>2.15</v>
      </c>
      <c r="AC189" s="47">
        <v>5.0</v>
      </c>
      <c r="AD189" s="47">
        <v>0.0</v>
      </c>
      <c r="AE189" s="47">
        <v>0.0</v>
      </c>
      <c r="AF189" s="47">
        <v>3.75</v>
      </c>
      <c r="AG189" s="47">
        <v>0.0</v>
      </c>
    </row>
    <row r="190" ht="15.75" customHeight="1">
      <c r="A190" s="35">
        <f>Bill!$Y190</f>
        <v>45748</v>
      </c>
      <c r="B190" s="43">
        <f>'Raw Data'!E192+Bill!$L$2</f>
        <v>144</v>
      </c>
      <c r="C190" s="43">
        <f>'Raw Data'!E192+Bill!$M$2</f>
        <v>149</v>
      </c>
      <c r="D190" s="43">
        <f>('Raw Data'!$F192*2)-10</f>
        <v>250</v>
      </c>
      <c r="E190" s="43">
        <f>'Raw Data'!F192+Bill!$O$2</f>
        <v>150</v>
      </c>
      <c r="F190" s="43">
        <f>'Raw Data'!F192+Bill!$P$2</f>
        <v>155</v>
      </c>
      <c r="G190" s="43"/>
      <c r="H190" s="43">
        <f>('Raw Data'!F192+Bill!$R$2)</f>
        <v>150</v>
      </c>
      <c r="I190" s="36">
        <f>'Raw Data'!G192/100</f>
        <v>5</v>
      </c>
      <c r="K190" s="37">
        <f>Bill!$Y190</f>
        <v>45748</v>
      </c>
      <c r="L190" s="38">
        <f>Bill!$AA190*('Raw Data'!$E192+$L$2)</f>
        <v>2858.4</v>
      </c>
      <c r="M190" s="38">
        <f>Bill!$AB190*('Raw Data'!$E192+$M$2)</f>
        <v>1817.8</v>
      </c>
      <c r="N190" s="38">
        <f>(('Raw Data'!$F192 * 2)-10)*Bill!$AC190</f>
        <v>1000</v>
      </c>
      <c r="O190" s="38">
        <f>('Raw Data'!F192+Bill!$O$2)*Bill!$AD190</f>
        <v>300</v>
      </c>
      <c r="P190" s="38">
        <f>('Raw Data'!F192+Bill!$P$2)*Bill!$AE190</f>
        <v>310</v>
      </c>
      <c r="Q190" s="38">
        <f>Bill!$Z190*('Raw Data'!$E192+$Q$2)</f>
        <v>0</v>
      </c>
      <c r="R190" s="38">
        <f>('Raw Data'!F192+Bill!$R$2)*Bill!$AF190</f>
        <v>0</v>
      </c>
      <c r="S190" s="48">
        <f>('Raw Data'!G192/100)*Bill!$AG190</f>
        <v>0</v>
      </c>
      <c r="T190" s="38">
        <f>SUM(Bill!$L190:$R190)</f>
        <v>6286.2</v>
      </c>
      <c r="U190" s="49">
        <v>6295.0</v>
      </c>
      <c r="V190" s="50"/>
      <c r="W190" s="38">
        <f>Bill!$U190-Bill!$T190</f>
        <v>8.8</v>
      </c>
      <c r="Y190" s="37">
        <f>'Raw Data'!D192</f>
        <v>45748</v>
      </c>
      <c r="Z190" s="41">
        <v>0.0</v>
      </c>
      <c r="AA190" s="47">
        <v>19.85</v>
      </c>
      <c r="AB190" s="47">
        <v>12.2</v>
      </c>
      <c r="AC190" s="47">
        <v>4.0</v>
      </c>
      <c r="AD190" s="47">
        <v>2.0</v>
      </c>
      <c r="AE190" s="47">
        <v>2.0</v>
      </c>
      <c r="AF190" s="47">
        <v>0.0</v>
      </c>
      <c r="AG190" s="47">
        <v>0.0</v>
      </c>
    </row>
    <row r="191" ht="15.75" customHeight="1">
      <c r="A191" s="35">
        <f>Bill!$Y191</f>
        <v>45749</v>
      </c>
      <c r="B191" s="43">
        <f>'Raw Data'!E193+Bill!$L$2</f>
        <v>148</v>
      </c>
      <c r="C191" s="43">
        <f>'Raw Data'!E193+Bill!$M$2</f>
        <v>153</v>
      </c>
      <c r="D191" s="43">
        <f>('Raw Data'!$F193*2)-10</f>
        <v>254</v>
      </c>
      <c r="E191" s="43">
        <f>'Raw Data'!F193+Bill!$O$2</f>
        <v>152</v>
      </c>
      <c r="F191" s="43">
        <f>'Raw Data'!F193+Bill!$P$2</f>
        <v>157</v>
      </c>
      <c r="G191" s="43"/>
      <c r="H191" s="43">
        <f>('Raw Data'!F193+Bill!$R$2)</f>
        <v>152</v>
      </c>
      <c r="I191" s="36">
        <f>'Raw Data'!G193/100</f>
        <v>4.85</v>
      </c>
      <c r="K191" s="37">
        <f>Bill!$Y191</f>
        <v>45749</v>
      </c>
      <c r="L191" s="38">
        <f>Bill!$AA191*('Raw Data'!$E193+$L$2)</f>
        <v>0</v>
      </c>
      <c r="M191" s="38">
        <f>Bill!$AB191*('Raw Data'!$E193+$M$2)</f>
        <v>474.3</v>
      </c>
      <c r="N191" s="38">
        <f>(('Raw Data'!$F193 * 2)-10)*Bill!$AC191</f>
        <v>508</v>
      </c>
      <c r="O191" s="38">
        <f>('Raw Data'!F193+Bill!$O$2)*Bill!$AD191</f>
        <v>0</v>
      </c>
      <c r="P191" s="38">
        <f>('Raw Data'!F193+Bill!$P$2)*Bill!$AE191</f>
        <v>0</v>
      </c>
      <c r="Q191" s="38">
        <f>Bill!$Z191*('Raw Data'!$E193+$Q$2)</f>
        <v>0</v>
      </c>
      <c r="R191" s="38">
        <f>('Raw Data'!F193+Bill!$R$2)*Bill!$AF191</f>
        <v>0</v>
      </c>
      <c r="S191" s="48">
        <f>('Raw Data'!G193/100)*Bill!$AG191</f>
        <v>582</v>
      </c>
      <c r="T191" s="38">
        <f>SUM(Bill!$L191:$R191)</f>
        <v>982.3</v>
      </c>
      <c r="U191" s="49">
        <v>982.0</v>
      </c>
      <c r="V191" s="50"/>
      <c r="W191" s="38">
        <f>Bill!$U191-Bill!$T191</f>
        <v>-0.3</v>
      </c>
      <c r="Y191" s="37">
        <f>'Raw Data'!D193</f>
        <v>45749</v>
      </c>
      <c r="Z191" s="41">
        <v>0.0</v>
      </c>
      <c r="AA191" s="47">
        <v>0.0</v>
      </c>
      <c r="AB191" s="47">
        <v>3.1</v>
      </c>
      <c r="AC191" s="47">
        <v>2.0</v>
      </c>
      <c r="AD191" s="47">
        <v>0.0</v>
      </c>
      <c r="AE191" s="47">
        <v>0.0</v>
      </c>
      <c r="AF191" s="47">
        <v>0.0</v>
      </c>
      <c r="AG191" s="47">
        <v>120.0</v>
      </c>
    </row>
    <row r="192" ht="15.75" customHeight="1">
      <c r="A192" s="35">
        <f>Bill!$Y192</f>
        <v>45750</v>
      </c>
      <c r="B192" s="43">
        <f>'Raw Data'!E194+Bill!$L$2</f>
        <v>148</v>
      </c>
      <c r="C192" s="43">
        <f>'Raw Data'!E194+Bill!$M$2</f>
        <v>153</v>
      </c>
      <c r="D192" s="43">
        <f>('Raw Data'!$F194*2)-10</f>
        <v>254</v>
      </c>
      <c r="E192" s="43">
        <f>'Raw Data'!F194+Bill!$O$2</f>
        <v>152</v>
      </c>
      <c r="F192" s="43">
        <f>'Raw Data'!F194+Bill!$P$2</f>
        <v>157</v>
      </c>
      <c r="G192" s="43"/>
      <c r="H192" s="43">
        <f>('Raw Data'!F194+Bill!$R$2)</f>
        <v>152</v>
      </c>
      <c r="I192" s="36">
        <f>'Raw Data'!G194/100</f>
        <v>4.85</v>
      </c>
      <c r="K192" s="37">
        <f>Bill!$Y192</f>
        <v>45750</v>
      </c>
      <c r="L192" s="38">
        <f>Bill!$AA192*('Raw Data'!$E194+$L$2)</f>
        <v>1613.2</v>
      </c>
      <c r="M192" s="38">
        <f>Bill!$AB192*('Raw Data'!$E194+$M$2)</f>
        <v>474.3</v>
      </c>
      <c r="N192" s="38">
        <f>(('Raw Data'!$F194 * 2)-10)*Bill!$AC192</f>
        <v>1016</v>
      </c>
      <c r="O192" s="38">
        <f>('Raw Data'!F194+Bill!$O$2)*Bill!$AD192</f>
        <v>0</v>
      </c>
      <c r="P192" s="38">
        <f>('Raw Data'!F194+Bill!$P$2)*Bill!$AE192</f>
        <v>0</v>
      </c>
      <c r="Q192" s="38">
        <f>Bill!$Z192*('Raw Data'!$E194+$Q$2)</f>
        <v>0</v>
      </c>
      <c r="R192" s="38">
        <f>('Raw Data'!F194+Bill!$R$2)*Bill!$AF192</f>
        <v>0</v>
      </c>
      <c r="S192" s="48">
        <f>('Raw Data'!G194/100)*Bill!$AG192</f>
        <v>0</v>
      </c>
      <c r="T192" s="38">
        <f>SUM(Bill!$L192:$R192)</f>
        <v>3103.5</v>
      </c>
      <c r="U192" s="49">
        <v>3103.0</v>
      </c>
      <c r="V192" s="50"/>
      <c r="W192" s="38">
        <f>Bill!$U192-Bill!$T192</f>
        <v>-0.5</v>
      </c>
      <c r="Y192" s="37">
        <f>'Raw Data'!D194</f>
        <v>45750</v>
      </c>
      <c r="Z192" s="41">
        <v>0.0</v>
      </c>
      <c r="AA192" s="47">
        <v>10.9</v>
      </c>
      <c r="AB192" s="47">
        <v>3.1</v>
      </c>
      <c r="AC192" s="47">
        <v>4.0</v>
      </c>
      <c r="AD192" s="47">
        <v>0.0</v>
      </c>
      <c r="AE192" s="47">
        <v>0.0</v>
      </c>
      <c r="AF192" s="47">
        <v>0.0</v>
      </c>
      <c r="AG192" s="47">
        <v>0.0</v>
      </c>
    </row>
    <row r="193" ht="15.75" customHeight="1">
      <c r="A193" s="35">
        <f>Bill!$Y193</f>
        <v>45751</v>
      </c>
      <c r="B193" s="43">
        <f>'Raw Data'!E195+Bill!$L$2</f>
        <v>148</v>
      </c>
      <c r="C193" s="43">
        <f>'Raw Data'!E195+Bill!$M$2</f>
        <v>153</v>
      </c>
      <c r="D193" s="43">
        <f>('Raw Data'!$F195*2)-10</f>
        <v>254</v>
      </c>
      <c r="E193" s="43">
        <f>'Raw Data'!F195+Bill!$O$2</f>
        <v>152</v>
      </c>
      <c r="F193" s="43">
        <f>'Raw Data'!F195+Bill!$P$2</f>
        <v>157</v>
      </c>
      <c r="G193" s="43"/>
      <c r="H193" s="43">
        <f>('Raw Data'!F195+Bill!$R$2)</f>
        <v>152</v>
      </c>
      <c r="I193" s="36">
        <f>'Raw Data'!G195/100</f>
        <v>4.65</v>
      </c>
      <c r="K193" s="37">
        <f>Bill!$Y193</f>
        <v>45751</v>
      </c>
      <c r="L193" s="38">
        <f>Bill!$AA193*('Raw Data'!$E195+$L$2)</f>
        <v>0</v>
      </c>
      <c r="M193" s="38">
        <f>Bill!$AB193*('Raw Data'!$E195+$M$2)</f>
        <v>2295</v>
      </c>
      <c r="N193" s="38">
        <f>(('Raw Data'!$F195 * 2)-10)*Bill!$AC193</f>
        <v>1524</v>
      </c>
      <c r="O193" s="38">
        <f>('Raw Data'!F195+Bill!$O$2)*Bill!$AD193</f>
        <v>0</v>
      </c>
      <c r="P193" s="38">
        <f>('Raw Data'!F195+Bill!$P$2)*Bill!$AE193</f>
        <v>471</v>
      </c>
      <c r="Q193" s="38">
        <f>Bill!$Z193*('Raw Data'!$E195+$Q$2)</f>
        <v>0</v>
      </c>
      <c r="R193" s="38">
        <f>('Raw Data'!F195+Bill!$R$2)*Bill!$AF193</f>
        <v>0</v>
      </c>
      <c r="S193" s="48">
        <f>('Raw Data'!G195/100)*Bill!$AG193</f>
        <v>0</v>
      </c>
      <c r="T193" s="38">
        <f>SUM(Bill!$L193:$R193)</f>
        <v>4290</v>
      </c>
      <c r="U193" s="49">
        <v>4305.0</v>
      </c>
      <c r="V193" s="50"/>
      <c r="W193" s="38">
        <f>Bill!$U193-Bill!$T193</f>
        <v>15</v>
      </c>
      <c r="Y193" s="37">
        <f>'Raw Data'!D195</f>
        <v>45751</v>
      </c>
      <c r="Z193" s="41">
        <v>0.0</v>
      </c>
      <c r="AA193" s="47">
        <v>0.0</v>
      </c>
      <c r="AB193" s="47">
        <v>15.0</v>
      </c>
      <c r="AC193" s="47">
        <v>6.0</v>
      </c>
      <c r="AD193" s="47">
        <v>0.0</v>
      </c>
      <c r="AE193" s="47">
        <v>3.0</v>
      </c>
      <c r="AF193" s="47">
        <v>0.0</v>
      </c>
      <c r="AG193" s="47">
        <v>0.0</v>
      </c>
    </row>
    <row r="194" ht="15.75" customHeight="1">
      <c r="A194" s="35">
        <f>Bill!$Y194</f>
        <v>45752</v>
      </c>
      <c r="B194" s="43">
        <f>'Raw Data'!E196+Bill!$L$2</f>
        <v>148</v>
      </c>
      <c r="C194" s="43">
        <f>'Raw Data'!E196+Bill!$M$2</f>
        <v>153</v>
      </c>
      <c r="D194" s="43">
        <f>('Raw Data'!$F196*2)-10</f>
        <v>228</v>
      </c>
      <c r="E194" s="43">
        <f>'Raw Data'!F196+Bill!$O$2</f>
        <v>139</v>
      </c>
      <c r="F194" s="43">
        <f>'Raw Data'!F196+Bill!$P$2</f>
        <v>144</v>
      </c>
      <c r="G194" s="43"/>
      <c r="H194" s="43">
        <f>('Raw Data'!F196+Bill!$R$2)</f>
        <v>139</v>
      </c>
      <c r="I194" s="36">
        <f>'Raw Data'!G196/100</f>
        <v>4.65</v>
      </c>
      <c r="K194" s="37">
        <f>Bill!$Y194</f>
        <v>45752</v>
      </c>
      <c r="L194" s="38">
        <f>Bill!$AA194*('Raw Data'!$E196+$L$2)</f>
        <v>1554</v>
      </c>
      <c r="M194" s="38">
        <f>Bill!$AB194*('Raw Data'!$E196+$M$2)</f>
        <v>765</v>
      </c>
      <c r="N194" s="38">
        <f>(('Raw Data'!$F196 * 2)-10)*Bill!$AC194</f>
        <v>456</v>
      </c>
      <c r="O194" s="38">
        <f>('Raw Data'!F196+Bill!$O$2)*Bill!$AD194</f>
        <v>0</v>
      </c>
      <c r="P194" s="38">
        <f>('Raw Data'!F196+Bill!$P$2)*Bill!$AE194</f>
        <v>0</v>
      </c>
      <c r="Q194" s="38">
        <f>Bill!$Z194*('Raw Data'!$E196+$Q$2)</f>
        <v>0</v>
      </c>
      <c r="R194" s="38">
        <f>('Raw Data'!F196+Bill!$R$2)*Bill!$AF194</f>
        <v>0</v>
      </c>
      <c r="S194" s="48">
        <f>('Raw Data'!G196/100)*Bill!$AG194</f>
        <v>0</v>
      </c>
      <c r="T194" s="38">
        <f>SUM(Bill!$L194:$R194)</f>
        <v>2775</v>
      </c>
      <c r="U194" s="49">
        <v>2775.0</v>
      </c>
      <c r="V194" s="50"/>
      <c r="W194" s="38">
        <f>Bill!$U194-Bill!$T194</f>
        <v>0</v>
      </c>
      <c r="Y194" s="37">
        <f>'Raw Data'!D196</f>
        <v>45752</v>
      </c>
      <c r="Z194" s="41">
        <v>0.0</v>
      </c>
      <c r="AA194" s="47">
        <v>10.5</v>
      </c>
      <c r="AB194" s="47">
        <v>5.0</v>
      </c>
      <c r="AC194" s="47">
        <v>2.0</v>
      </c>
      <c r="AD194" s="47">
        <v>0.0</v>
      </c>
      <c r="AE194" s="47">
        <v>0.0</v>
      </c>
      <c r="AF194" s="47">
        <v>0.0</v>
      </c>
      <c r="AG194" s="47">
        <v>0.0</v>
      </c>
    </row>
    <row r="195" ht="15.75" customHeight="1">
      <c r="A195" s="35">
        <f>Bill!$Y195</f>
        <v>45753</v>
      </c>
      <c r="B195" s="43">
        <f>'Raw Data'!E197+Bill!$L$2</f>
        <v>146</v>
      </c>
      <c r="C195" s="43">
        <f>'Raw Data'!E197+Bill!$M$2</f>
        <v>151</v>
      </c>
      <c r="D195" s="43">
        <f>('Raw Data'!$F197*2)-10</f>
        <v>224</v>
      </c>
      <c r="E195" s="43">
        <f>'Raw Data'!F197+Bill!$O$2</f>
        <v>137</v>
      </c>
      <c r="F195" s="43">
        <f>'Raw Data'!F197+Bill!$P$2</f>
        <v>142</v>
      </c>
      <c r="G195" s="43"/>
      <c r="H195" s="43">
        <f>('Raw Data'!F197+Bill!$R$2)</f>
        <v>137</v>
      </c>
      <c r="I195" s="36">
        <f>'Raw Data'!G197/100</f>
        <v>4.65</v>
      </c>
      <c r="K195" s="37">
        <f>Bill!$Y195</f>
        <v>45753</v>
      </c>
      <c r="L195" s="38">
        <f>Bill!$AA195*('Raw Data'!$E197+$L$2)</f>
        <v>0</v>
      </c>
      <c r="M195" s="38">
        <f>Bill!$AB195*('Raw Data'!$E197+$M$2)</f>
        <v>1510</v>
      </c>
      <c r="N195" s="38">
        <f>(('Raw Data'!$F197 * 2)-10)*Bill!$AC195</f>
        <v>896</v>
      </c>
      <c r="O195" s="38">
        <f>('Raw Data'!F197+Bill!$O$2)*Bill!$AD195</f>
        <v>0</v>
      </c>
      <c r="P195" s="38">
        <f>('Raw Data'!F197+Bill!$P$2)*Bill!$AE195</f>
        <v>0</v>
      </c>
      <c r="Q195" s="38">
        <f>Bill!$Z195*('Raw Data'!$E197+$Q$2)</f>
        <v>0</v>
      </c>
      <c r="R195" s="38">
        <f>('Raw Data'!F197+Bill!$R$2)*Bill!$AF195</f>
        <v>328.8</v>
      </c>
      <c r="S195" s="48">
        <f>('Raw Data'!G197/100)*Bill!$AG195</f>
        <v>0</v>
      </c>
      <c r="T195" s="38">
        <f>SUM(Bill!$L195:$R195)</f>
        <v>2734.8</v>
      </c>
      <c r="U195" s="49">
        <v>2693.0</v>
      </c>
      <c r="V195" s="50"/>
      <c r="W195" s="38">
        <f>Bill!$U195-Bill!$T195</f>
        <v>-41.8</v>
      </c>
      <c r="Y195" s="37">
        <f>'Raw Data'!D197</f>
        <v>45753</v>
      </c>
      <c r="Z195" s="41">
        <v>0.0</v>
      </c>
      <c r="AA195" s="47">
        <v>0.0</v>
      </c>
      <c r="AB195" s="47">
        <v>10.0</v>
      </c>
      <c r="AC195" s="47">
        <v>4.0</v>
      </c>
      <c r="AD195" s="47">
        <v>0.0</v>
      </c>
      <c r="AE195" s="47">
        <v>0.0</v>
      </c>
      <c r="AF195" s="47">
        <v>2.4</v>
      </c>
      <c r="AG195" s="47">
        <v>0.0</v>
      </c>
    </row>
    <row r="196" ht="15.75" customHeight="1">
      <c r="A196" s="35">
        <f>Bill!$Y196</f>
        <v>45754</v>
      </c>
      <c r="B196" s="43">
        <f>'Raw Data'!E198+Bill!$L$2</f>
        <v>144</v>
      </c>
      <c r="C196" s="43">
        <f>'Raw Data'!E198+Bill!$M$2</f>
        <v>149</v>
      </c>
      <c r="D196" s="43">
        <f>('Raw Data'!$F198*2)-10</f>
        <v>224</v>
      </c>
      <c r="E196" s="43">
        <f>'Raw Data'!F198+Bill!$O$2</f>
        <v>137</v>
      </c>
      <c r="F196" s="43">
        <f>'Raw Data'!F198+Bill!$P$2</f>
        <v>142</v>
      </c>
      <c r="G196" s="43"/>
      <c r="H196" s="43">
        <f>('Raw Data'!F198+Bill!$R$2)</f>
        <v>137</v>
      </c>
      <c r="I196" s="36">
        <f>'Raw Data'!G198/100</f>
        <v>4.7</v>
      </c>
      <c r="K196" s="37">
        <f>Bill!$Y196</f>
        <v>45754</v>
      </c>
      <c r="L196" s="38">
        <f>Bill!$AA196*('Raw Data'!$E198+$L$2)</f>
        <v>1209.6</v>
      </c>
      <c r="M196" s="38">
        <f>Bill!$AB196*('Raw Data'!$E198+$M$2)</f>
        <v>1490</v>
      </c>
      <c r="N196" s="38">
        <f>(('Raw Data'!$F198 * 2)-10)*Bill!$AC196</f>
        <v>1568</v>
      </c>
      <c r="O196" s="38">
        <f>('Raw Data'!F198+Bill!$O$2)*Bill!$AD196</f>
        <v>335.65</v>
      </c>
      <c r="P196" s="38">
        <f>('Raw Data'!F198+Bill!$P$2)*Bill!$AE196</f>
        <v>0</v>
      </c>
      <c r="Q196" s="38">
        <f>Bill!$Z196*('Raw Data'!$E198+$Q$2)</f>
        <v>0</v>
      </c>
      <c r="R196" s="38">
        <f>('Raw Data'!F198+Bill!$R$2)*Bill!$AF196</f>
        <v>0</v>
      </c>
      <c r="S196" s="48">
        <f>('Raw Data'!G198/100)*Bill!$AG196</f>
        <v>705</v>
      </c>
      <c r="T196" s="38">
        <f>SUM(Bill!$L196:$R196)</f>
        <v>4603.25</v>
      </c>
      <c r="U196" s="49">
        <v>4603.0</v>
      </c>
      <c r="V196" s="50"/>
      <c r="W196" s="38">
        <f>Bill!$U196-Bill!$T196</f>
        <v>-0.25</v>
      </c>
      <c r="Y196" s="37">
        <f>'Raw Data'!D198</f>
        <v>45754</v>
      </c>
      <c r="Z196" s="41">
        <v>0.0</v>
      </c>
      <c r="AA196" s="47">
        <v>8.4</v>
      </c>
      <c r="AB196" s="47">
        <v>10.0</v>
      </c>
      <c r="AC196" s="47">
        <v>7.0</v>
      </c>
      <c r="AD196" s="47">
        <v>2.45</v>
      </c>
      <c r="AE196" s="47">
        <v>0.0</v>
      </c>
      <c r="AF196" s="47">
        <v>0.0</v>
      </c>
      <c r="AG196" s="47">
        <v>150.0</v>
      </c>
    </row>
    <row r="197" ht="15.75" customHeight="1">
      <c r="A197" s="35">
        <f>Bill!$Y197</f>
        <v>45755</v>
      </c>
      <c r="B197" s="43">
        <f>'Raw Data'!E199+Bill!$L$2</f>
        <v>140</v>
      </c>
      <c r="C197" s="43">
        <f>'Raw Data'!E199+Bill!$M$2</f>
        <v>145</v>
      </c>
      <c r="D197" s="43">
        <f>('Raw Data'!$F199*2)-10</f>
        <v>204</v>
      </c>
      <c r="E197" s="43">
        <f>'Raw Data'!F199+Bill!$O$2</f>
        <v>127</v>
      </c>
      <c r="F197" s="43">
        <f>'Raw Data'!F199+Bill!$P$2</f>
        <v>132</v>
      </c>
      <c r="G197" s="43"/>
      <c r="H197" s="43">
        <f>('Raw Data'!F199+Bill!$R$2)</f>
        <v>127</v>
      </c>
      <c r="I197" s="36">
        <f>'Raw Data'!G199/100</f>
        <v>4.7</v>
      </c>
      <c r="K197" s="37">
        <f>Bill!$Y197</f>
        <v>45755</v>
      </c>
      <c r="L197" s="38">
        <f>Bill!$AA197*('Raw Data'!$E199+$L$2)</f>
        <v>0</v>
      </c>
      <c r="M197" s="38">
        <f>Bill!$AB197*('Raw Data'!$E199+$M$2)</f>
        <v>2218.5</v>
      </c>
      <c r="N197" s="38">
        <f>(('Raw Data'!$F199 * 2)-10)*Bill!$AC197</f>
        <v>1020</v>
      </c>
      <c r="O197" s="38">
        <f>('Raw Data'!F199+Bill!$O$2)*Bill!$AD197</f>
        <v>0</v>
      </c>
      <c r="P197" s="38">
        <f>('Raw Data'!F199+Bill!$P$2)*Bill!$AE197</f>
        <v>0</v>
      </c>
      <c r="Q197" s="38">
        <f>Bill!$Z197*('Raw Data'!$E199+$Q$2)</f>
        <v>0</v>
      </c>
      <c r="R197" s="38">
        <f>('Raw Data'!F199+Bill!$R$2)*Bill!$AF197</f>
        <v>0</v>
      </c>
      <c r="S197" s="48">
        <f>('Raw Data'!G199/100)*Bill!$AG197</f>
        <v>0</v>
      </c>
      <c r="T197" s="38">
        <f>SUM(Bill!$L197:$R197)</f>
        <v>3238.5</v>
      </c>
      <c r="U197" s="49">
        <v>3238.0</v>
      </c>
      <c r="V197" s="50"/>
      <c r="W197" s="38">
        <f>Bill!$U197-Bill!$T197</f>
        <v>-0.5</v>
      </c>
      <c r="Y197" s="37">
        <f>'Raw Data'!D199</f>
        <v>45755</v>
      </c>
      <c r="Z197" s="41">
        <v>0.0</v>
      </c>
      <c r="AA197" s="47">
        <v>0.0</v>
      </c>
      <c r="AB197" s="47">
        <v>15.3</v>
      </c>
      <c r="AC197" s="47">
        <v>5.0</v>
      </c>
      <c r="AD197" s="47">
        <v>0.0</v>
      </c>
      <c r="AE197" s="47">
        <v>0.0</v>
      </c>
      <c r="AF197" s="47">
        <v>0.0</v>
      </c>
      <c r="AG197" s="47">
        <v>0.0</v>
      </c>
    </row>
    <row r="198" ht="15.75" customHeight="1">
      <c r="A198" s="35">
        <f>Bill!$Y198</f>
        <v>45756</v>
      </c>
      <c r="B198" s="43">
        <f>'Raw Data'!E200+Bill!$L$2</f>
        <v>140</v>
      </c>
      <c r="C198" s="43">
        <f>'Raw Data'!E200+Bill!$M$2</f>
        <v>145</v>
      </c>
      <c r="D198" s="43">
        <f>('Raw Data'!$F200*2)-10</f>
        <v>212</v>
      </c>
      <c r="E198" s="43">
        <f>'Raw Data'!F200+Bill!$O$2</f>
        <v>131</v>
      </c>
      <c r="F198" s="43">
        <f>'Raw Data'!F200+Bill!$P$2</f>
        <v>136</v>
      </c>
      <c r="G198" s="43"/>
      <c r="H198" s="43">
        <f>('Raw Data'!F200+Bill!$R$2)</f>
        <v>131</v>
      </c>
      <c r="I198" s="36">
        <f>'Raw Data'!G200/100</f>
        <v>4.6</v>
      </c>
      <c r="K198" s="37">
        <f>Bill!$Y198</f>
        <v>45756</v>
      </c>
      <c r="L198" s="38">
        <f>Bill!$AA198*('Raw Data'!$E200+$L$2)</f>
        <v>1540</v>
      </c>
      <c r="M198" s="38">
        <f>Bill!$AB198*('Raw Data'!$E200+$M$2)</f>
        <v>725</v>
      </c>
      <c r="N198" s="38">
        <f>(('Raw Data'!$F200 * 2)-10)*Bill!$AC198</f>
        <v>1060</v>
      </c>
      <c r="O198" s="38">
        <f>('Raw Data'!F200+Bill!$O$2)*Bill!$AD198</f>
        <v>0</v>
      </c>
      <c r="P198" s="38">
        <f>('Raw Data'!F200+Bill!$P$2)*Bill!$AE198</f>
        <v>272</v>
      </c>
      <c r="Q198" s="38">
        <f>Bill!$Z198*('Raw Data'!$E200+$Q$2)</f>
        <v>0</v>
      </c>
      <c r="R198" s="38">
        <f>('Raw Data'!F200+Bill!$R$2)*Bill!$AF198</f>
        <v>0</v>
      </c>
      <c r="S198" s="48">
        <f>('Raw Data'!G200/100)*Bill!$AG198</f>
        <v>690</v>
      </c>
      <c r="T198" s="38">
        <f>SUM(Bill!$L198:$R198)</f>
        <v>3597</v>
      </c>
      <c r="U198" s="49">
        <v>3607.0</v>
      </c>
      <c r="V198" s="50"/>
      <c r="W198" s="38">
        <f>Bill!$U198-Bill!$T198</f>
        <v>10</v>
      </c>
      <c r="Y198" s="37">
        <f>'Raw Data'!D200</f>
        <v>45756</v>
      </c>
      <c r="Z198" s="41">
        <v>0.0</v>
      </c>
      <c r="AA198" s="47">
        <v>11.0</v>
      </c>
      <c r="AB198" s="47">
        <v>5.0</v>
      </c>
      <c r="AC198" s="47">
        <v>5.0</v>
      </c>
      <c r="AD198" s="47">
        <v>0.0</v>
      </c>
      <c r="AE198" s="47">
        <v>2.0</v>
      </c>
      <c r="AF198" s="47">
        <v>0.0</v>
      </c>
      <c r="AG198" s="47">
        <v>150.0</v>
      </c>
    </row>
    <row r="199" ht="15.75" customHeight="1">
      <c r="A199" s="35">
        <f>Bill!$Y199</f>
        <v>45757</v>
      </c>
      <c r="B199" s="43">
        <f>'Raw Data'!E201+Bill!$L$2</f>
        <v>140</v>
      </c>
      <c r="C199" s="43">
        <f>'Raw Data'!E201+Bill!$M$2</f>
        <v>145</v>
      </c>
      <c r="D199" s="43">
        <f>('Raw Data'!$F201*2)-10</f>
        <v>220</v>
      </c>
      <c r="E199" s="43">
        <f>'Raw Data'!F201+Bill!$O$2</f>
        <v>135</v>
      </c>
      <c r="F199" s="43">
        <f>'Raw Data'!F201+Bill!$P$2</f>
        <v>140</v>
      </c>
      <c r="G199" s="43"/>
      <c r="H199" s="43">
        <f>('Raw Data'!F201+Bill!$R$2)</f>
        <v>135</v>
      </c>
      <c r="I199" s="36">
        <f>'Raw Data'!G201/100</f>
        <v>4.5</v>
      </c>
      <c r="K199" s="37">
        <f>Bill!$Y199</f>
        <v>45757</v>
      </c>
      <c r="L199" s="38">
        <f>Bill!$AA199*('Raw Data'!$E201+$L$2)</f>
        <v>0</v>
      </c>
      <c r="M199" s="38">
        <f>Bill!$AB199*('Raw Data'!$E201+$M$2)</f>
        <v>2943.5</v>
      </c>
      <c r="N199" s="38">
        <f>(('Raw Data'!$F201 * 2)-10)*Bill!$AC199</f>
        <v>1100</v>
      </c>
      <c r="O199" s="38">
        <f>('Raw Data'!F201+Bill!$O$2)*Bill!$AD199</f>
        <v>0</v>
      </c>
      <c r="P199" s="38">
        <f>('Raw Data'!F201+Bill!$P$2)*Bill!$AE199</f>
        <v>280</v>
      </c>
      <c r="Q199" s="38">
        <f>Bill!$Z199*('Raw Data'!$E201+$Q$2)</f>
        <v>0</v>
      </c>
      <c r="R199" s="38">
        <f>('Raw Data'!F201+Bill!$R$2)*Bill!$AF199</f>
        <v>0</v>
      </c>
      <c r="S199" s="48">
        <f>('Raw Data'!G201/100)*Bill!$AG199</f>
        <v>0</v>
      </c>
      <c r="T199" s="38">
        <f>SUM(Bill!$L199:$R199)</f>
        <v>4323.5</v>
      </c>
      <c r="U199" s="49">
        <v>4333.0</v>
      </c>
      <c r="V199" s="50"/>
      <c r="W199" s="38">
        <f>Bill!$U199-Bill!$T199</f>
        <v>9.5</v>
      </c>
      <c r="Y199" s="37">
        <f>'Raw Data'!D201</f>
        <v>45757</v>
      </c>
      <c r="Z199" s="41">
        <v>0.0</v>
      </c>
      <c r="AA199" s="47">
        <v>0.0</v>
      </c>
      <c r="AB199" s="47">
        <v>20.3</v>
      </c>
      <c r="AC199" s="47">
        <v>5.0</v>
      </c>
      <c r="AD199" s="47">
        <v>0.0</v>
      </c>
      <c r="AE199" s="47">
        <v>2.0</v>
      </c>
      <c r="AF199" s="47">
        <v>0.0</v>
      </c>
      <c r="AG199" s="47">
        <v>0.0</v>
      </c>
    </row>
    <row r="200" ht="15.75" customHeight="1">
      <c r="A200" s="35">
        <f>Bill!$Y200</f>
        <v>45758</v>
      </c>
      <c r="B200" s="43">
        <f>'Raw Data'!E202+Bill!$L$2</f>
        <v>142</v>
      </c>
      <c r="C200" s="43">
        <f>'Raw Data'!E202+Bill!$M$2</f>
        <v>147</v>
      </c>
      <c r="D200" s="43">
        <f>('Raw Data'!$F202*2)-10</f>
        <v>230</v>
      </c>
      <c r="E200" s="43">
        <f>'Raw Data'!F202+Bill!$O$2</f>
        <v>140</v>
      </c>
      <c r="F200" s="43">
        <f>'Raw Data'!F202+Bill!$P$2</f>
        <v>145</v>
      </c>
      <c r="G200" s="43"/>
      <c r="H200" s="43">
        <f>('Raw Data'!F202+Bill!$R$2)</f>
        <v>140</v>
      </c>
      <c r="I200" s="36">
        <f>'Raw Data'!G202/100</f>
        <v>4.4</v>
      </c>
      <c r="K200" s="37">
        <f>Bill!$Y200</f>
        <v>45758</v>
      </c>
      <c r="L200" s="38">
        <f>Bill!$AA200*('Raw Data'!$E202+$L$2)</f>
        <v>1633</v>
      </c>
      <c r="M200" s="38">
        <f>Bill!$AB200*('Raw Data'!$E202+$M$2)</f>
        <v>749.7</v>
      </c>
      <c r="N200" s="38">
        <f>(('Raw Data'!$F202 * 2)-10)*Bill!$AC200</f>
        <v>1150</v>
      </c>
      <c r="O200" s="38">
        <f>('Raw Data'!F202+Bill!$O$2)*Bill!$AD200</f>
        <v>273</v>
      </c>
      <c r="P200" s="38">
        <f>('Raw Data'!F202+Bill!$P$2)*Bill!$AE200</f>
        <v>0</v>
      </c>
      <c r="Q200" s="38">
        <f>Bill!$Z200*('Raw Data'!$E202+$Q$2)</f>
        <v>0</v>
      </c>
      <c r="R200" s="38">
        <f>('Raw Data'!F202+Bill!$R$2)*Bill!$AF200</f>
        <v>0</v>
      </c>
      <c r="S200" s="48">
        <f>('Raw Data'!G202/100)*Bill!$AG200</f>
        <v>0</v>
      </c>
      <c r="T200" s="38">
        <f>SUM(Bill!$L200:$R200)</f>
        <v>3805.7</v>
      </c>
      <c r="U200" s="49">
        <v>3806.0</v>
      </c>
      <c r="V200" s="50"/>
      <c r="W200" s="38">
        <f>Bill!$U200-Bill!$T200</f>
        <v>0.3</v>
      </c>
      <c r="Y200" s="37">
        <f>'Raw Data'!D202</f>
        <v>45758</v>
      </c>
      <c r="Z200" s="41">
        <v>0.0</v>
      </c>
      <c r="AA200" s="47">
        <v>11.5</v>
      </c>
      <c r="AB200" s="47">
        <v>5.1</v>
      </c>
      <c r="AC200" s="47">
        <v>5.0</v>
      </c>
      <c r="AD200" s="47">
        <v>1.95</v>
      </c>
      <c r="AE200" s="47">
        <v>0.0</v>
      </c>
      <c r="AF200" s="47">
        <v>0.0</v>
      </c>
      <c r="AG200" s="47">
        <v>0.0</v>
      </c>
    </row>
    <row r="201" ht="15.75" customHeight="1">
      <c r="A201" s="35">
        <f>Bill!$Y201</f>
        <v>45759</v>
      </c>
      <c r="B201" s="43">
        <f>'Raw Data'!E203+Bill!$L$2</f>
        <v>144</v>
      </c>
      <c r="C201" s="43">
        <f>'Raw Data'!E203+Bill!$M$2</f>
        <v>149</v>
      </c>
      <c r="D201" s="43">
        <f>('Raw Data'!$F203*2)-10</f>
        <v>234</v>
      </c>
      <c r="E201" s="43">
        <f>'Raw Data'!F203+Bill!$O$2</f>
        <v>142</v>
      </c>
      <c r="F201" s="43">
        <f>'Raw Data'!F203+Bill!$P$2</f>
        <v>147</v>
      </c>
      <c r="G201" s="43"/>
      <c r="H201" s="43">
        <f>('Raw Data'!F203+Bill!$R$2)</f>
        <v>142</v>
      </c>
      <c r="I201" s="36">
        <f>'Raw Data'!G203/100</f>
        <v>4.4</v>
      </c>
      <c r="K201" s="37">
        <f>Bill!$Y201</f>
        <v>45759</v>
      </c>
      <c r="L201" s="38">
        <f>Bill!$AA201*('Raw Data'!$E203+$L$2)</f>
        <v>0</v>
      </c>
      <c r="M201" s="38">
        <f>Bill!$AB201*('Raw Data'!$E203+$M$2)</f>
        <v>1504.9</v>
      </c>
      <c r="N201" s="38">
        <f>(('Raw Data'!$F203 * 2)-10)*Bill!$AC201</f>
        <v>1170</v>
      </c>
      <c r="O201" s="38">
        <f>('Raw Data'!F203+Bill!$O$2)*Bill!$AD201</f>
        <v>0</v>
      </c>
      <c r="P201" s="38">
        <f>('Raw Data'!F203+Bill!$P$2)*Bill!$AE201</f>
        <v>294</v>
      </c>
      <c r="Q201" s="38">
        <f>Bill!$Z201*('Raw Data'!$E203+$Q$2)</f>
        <v>0</v>
      </c>
      <c r="R201" s="38">
        <f>('Raw Data'!F203+Bill!$R$2)*Bill!$AF201</f>
        <v>0</v>
      </c>
      <c r="S201" s="48">
        <f>('Raw Data'!G203/100)*Bill!$AG201</f>
        <v>0</v>
      </c>
      <c r="T201" s="38">
        <f>SUM(Bill!$L201:$R201)</f>
        <v>2968.9</v>
      </c>
      <c r="U201" s="49">
        <v>2969.0</v>
      </c>
      <c r="V201" s="50"/>
      <c r="W201" s="38">
        <f>Bill!$U201-Bill!$T201</f>
        <v>0.1</v>
      </c>
      <c r="Y201" s="37">
        <f>'Raw Data'!D203</f>
        <v>45759</v>
      </c>
      <c r="Z201" s="41">
        <v>0.0</v>
      </c>
      <c r="AA201" s="47">
        <v>0.0</v>
      </c>
      <c r="AB201" s="47">
        <v>10.1</v>
      </c>
      <c r="AC201" s="47">
        <v>5.0</v>
      </c>
      <c r="AD201" s="47">
        <v>0.0</v>
      </c>
      <c r="AE201" s="47">
        <v>2.0</v>
      </c>
      <c r="AF201" s="47">
        <v>0.0</v>
      </c>
      <c r="AG201" s="47">
        <v>0.0</v>
      </c>
    </row>
    <row r="202" ht="15.75" customHeight="1">
      <c r="A202" s="35">
        <f>Bill!$Y202</f>
        <v>45760</v>
      </c>
      <c r="B202" s="43">
        <f>'Raw Data'!E204+Bill!$L$2</f>
        <v>144</v>
      </c>
      <c r="C202" s="43">
        <f>'Raw Data'!E204+Bill!$M$2</f>
        <v>149</v>
      </c>
      <c r="D202" s="43">
        <f>('Raw Data'!$F204*2)-10</f>
        <v>244</v>
      </c>
      <c r="E202" s="43">
        <f>'Raw Data'!F204+Bill!$O$2</f>
        <v>147</v>
      </c>
      <c r="F202" s="43">
        <f>'Raw Data'!F204+Bill!$P$2</f>
        <v>152</v>
      </c>
      <c r="G202" s="43"/>
      <c r="H202" s="43">
        <f>('Raw Data'!F204+Bill!$R$2)</f>
        <v>147</v>
      </c>
      <c r="I202" s="36">
        <f>'Raw Data'!G204/100</f>
        <v>4.4</v>
      </c>
      <c r="K202" s="37">
        <f>Bill!$Y202</f>
        <v>45760</v>
      </c>
      <c r="L202" s="38">
        <f>Bill!$AA202*('Raw Data'!$E204+$L$2)</f>
        <v>1598.4</v>
      </c>
      <c r="M202" s="38">
        <f>Bill!$AB202*('Raw Data'!$E204+$M$2)</f>
        <v>774.8</v>
      </c>
      <c r="N202" s="38">
        <f>(('Raw Data'!$F204 * 2)-10)*Bill!$AC202</f>
        <v>976</v>
      </c>
      <c r="O202" s="38">
        <f>('Raw Data'!F204+Bill!$O$2)*Bill!$AD202</f>
        <v>0</v>
      </c>
      <c r="P202" s="38">
        <f>('Raw Data'!F204+Bill!$P$2)*Bill!$AE202</f>
        <v>0</v>
      </c>
      <c r="Q202" s="38">
        <f>Bill!$Z202*('Raw Data'!$E204+$Q$2)</f>
        <v>0</v>
      </c>
      <c r="R202" s="38">
        <f>('Raw Data'!F204+Bill!$R$2)*Bill!$AF202</f>
        <v>345.45</v>
      </c>
      <c r="S202" s="48">
        <f>('Raw Data'!G204/100)*Bill!$AG202</f>
        <v>0</v>
      </c>
      <c r="T202" s="38">
        <f>SUM(Bill!$L202:$R202)</f>
        <v>3694.65</v>
      </c>
      <c r="U202" s="49">
        <v>3694.0</v>
      </c>
      <c r="V202" s="50"/>
      <c r="W202" s="38">
        <f>Bill!$U202-Bill!$T202</f>
        <v>-0.65</v>
      </c>
      <c r="Y202" s="37">
        <f>'Raw Data'!D204</f>
        <v>45760</v>
      </c>
      <c r="Z202" s="41">
        <v>0.0</v>
      </c>
      <c r="AA202" s="47">
        <v>11.1</v>
      </c>
      <c r="AB202" s="47">
        <v>5.2</v>
      </c>
      <c r="AC202" s="47">
        <v>4.0</v>
      </c>
      <c r="AD202" s="47">
        <v>0.0</v>
      </c>
      <c r="AE202" s="47">
        <v>0.0</v>
      </c>
      <c r="AF202" s="47">
        <v>2.35</v>
      </c>
      <c r="AG202" s="47">
        <v>0.0</v>
      </c>
    </row>
    <row r="203" ht="15.75" customHeight="1">
      <c r="A203" s="35">
        <f>Bill!$Y203</f>
        <v>45761</v>
      </c>
      <c r="B203" s="43">
        <f>'Raw Data'!E205+Bill!$L$2</f>
        <v>144</v>
      </c>
      <c r="C203" s="43">
        <f>'Raw Data'!E205+Bill!$M$2</f>
        <v>149</v>
      </c>
      <c r="D203" s="43">
        <f>('Raw Data'!$F205*2)-10</f>
        <v>244</v>
      </c>
      <c r="E203" s="43">
        <f>'Raw Data'!F205+Bill!$O$2</f>
        <v>147</v>
      </c>
      <c r="F203" s="43">
        <f>'Raw Data'!F205+Bill!$P$2</f>
        <v>152</v>
      </c>
      <c r="G203" s="43"/>
      <c r="H203" s="43">
        <f>('Raw Data'!F205+Bill!$R$2)</f>
        <v>147</v>
      </c>
      <c r="I203" s="36">
        <f>'Raw Data'!G205/100</f>
        <v>4.45</v>
      </c>
      <c r="K203" s="37">
        <f>Bill!$Y203</f>
        <v>45761</v>
      </c>
      <c r="L203" s="38">
        <f>Bill!$AA203*('Raw Data'!$E205+$L$2)</f>
        <v>0</v>
      </c>
      <c r="M203" s="38">
        <f>Bill!$AB203*('Raw Data'!$E205+$M$2)</f>
        <v>1639</v>
      </c>
      <c r="N203" s="38">
        <f>(('Raw Data'!$F205 * 2)-10)*Bill!$AC203</f>
        <v>976</v>
      </c>
      <c r="O203" s="38">
        <f>('Raw Data'!F205+Bill!$O$2)*Bill!$AD203</f>
        <v>0</v>
      </c>
      <c r="P203" s="38">
        <f>('Raw Data'!F205+Bill!$P$2)*Bill!$AE203</f>
        <v>456</v>
      </c>
      <c r="Q203" s="38">
        <f>Bill!$Z203*('Raw Data'!$E205+$Q$2)</f>
        <v>0</v>
      </c>
      <c r="R203" s="38">
        <f>('Raw Data'!F205+Bill!$R$2)*Bill!$AF203</f>
        <v>0</v>
      </c>
      <c r="S203" s="48">
        <f>('Raw Data'!G205/100)*Bill!$AG203</f>
        <v>801</v>
      </c>
      <c r="T203" s="38">
        <f>SUM(Bill!$L203:$R203)</f>
        <v>3071</v>
      </c>
      <c r="U203" s="49">
        <v>3086.0</v>
      </c>
      <c r="V203" s="50"/>
      <c r="W203" s="38">
        <f>Bill!$U203-Bill!$T203</f>
        <v>15</v>
      </c>
      <c r="Y203" s="37">
        <f>'Raw Data'!D205</f>
        <v>45761</v>
      </c>
      <c r="Z203" s="41">
        <v>0.0</v>
      </c>
      <c r="AA203" s="47">
        <v>0.0</v>
      </c>
      <c r="AB203" s="47">
        <v>11.0</v>
      </c>
      <c r="AC203" s="47">
        <v>4.0</v>
      </c>
      <c r="AD203" s="47">
        <v>0.0</v>
      </c>
      <c r="AE203" s="47">
        <v>3.0</v>
      </c>
      <c r="AF203" s="47">
        <v>0.0</v>
      </c>
      <c r="AG203" s="47">
        <v>180.0</v>
      </c>
    </row>
    <row r="204" ht="15.75" customHeight="1">
      <c r="A204" s="35">
        <f>Bill!$Y204</f>
        <v>45762</v>
      </c>
      <c r="B204" s="43">
        <f>'Raw Data'!E206+Bill!$L$2</f>
        <v>146</v>
      </c>
      <c r="C204" s="43">
        <f>'Raw Data'!E206+Bill!$M$2</f>
        <v>151</v>
      </c>
      <c r="D204" s="43">
        <f>('Raw Data'!$F206*2)-10</f>
        <v>252</v>
      </c>
      <c r="E204" s="43">
        <f>'Raw Data'!F206+Bill!$O$2</f>
        <v>151</v>
      </c>
      <c r="F204" s="43">
        <f>'Raw Data'!F206+Bill!$P$2</f>
        <v>156</v>
      </c>
      <c r="G204" s="43"/>
      <c r="H204" s="43">
        <f>('Raw Data'!F206+Bill!$R$2)</f>
        <v>151</v>
      </c>
      <c r="I204" s="36">
        <f>'Raw Data'!G206/100</f>
        <v>4.55</v>
      </c>
      <c r="K204" s="37">
        <f>Bill!$Y204</f>
        <v>45762</v>
      </c>
      <c r="L204" s="38">
        <f>Bill!$AA204*('Raw Data'!$E206+$L$2)</f>
        <v>0</v>
      </c>
      <c r="M204" s="38">
        <f>Bill!$AB204*('Raw Data'!$E206+$M$2)</f>
        <v>1540.2</v>
      </c>
      <c r="N204" s="38">
        <f>(('Raw Data'!$F206 * 2)-10)*Bill!$AC204</f>
        <v>504</v>
      </c>
      <c r="O204" s="38">
        <f>('Raw Data'!F206+Bill!$O$2)*Bill!$AD204</f>
        <v>0</v>
      </c>
      <c r="P204" s="38">
        <f>('Raw Data'!F206+Bill!$P$2)*Bill!$AE204</f>
        <v>0</v>
      </c>
      <c r="Q204" s="38">
        <f>Bill!$Z204*('Raw Data'!$E206+$Q$2)</f>
        <v>0</v>
      </c>
      <c r="R204" s="38">
        <f>('Raw Data'!F206+Bill!$R$2)*Bill!$AF204</f>
        <v>0</v>
      </c>
      <c r="S204" s="48">
        <f>('Raw Data'!G206/100)*Bill!$AG204</f>
        <v>0</v>
      </c>
      <c r="T204" s="38">
        <f>SUM(Bill!$L204:$R204)</f>
        <v>2044.2</v>
      </c>
      <c r="U204" s="49">
        <v>2044.0</v>
      </c>
      <c r="V204" s="50"/>
      <c r="W204" s="38">
        <f>Bill!$U204-Bill!$T204</f>
        <v>-0.2</v>
      </c>
      <c r="Y204" s="37">
        <f>'Raw Data'!D206</f>
        <v>45762</v>
      </c>
      <c r="Z204" s="41">
        <v>0.0</v>
      </c>
      <c r="AA204" s="47">
        <v>0.0</v>
      </c>
      <c r="AB204" s="47">
        <v>10.2</v>
      </c>
      <c r="AC204" s="47">
        <v>2.0</v>
      </c>
      <c r="AD204" s="47">
        <v>0.0</v>
      </c>
      <c r="AE204" s="47">
        <v>0.0</v>
      </c>
      <c r="AF204" s="47">
        <v>0.0</v>
      </c>
      <c r="AG204" s="47">
        <v>0.0</v>
      </c>
    </row>
    <row r="205" ht="15.75" customHeight="1">
      <c r="A205" s="35">
        <f>Bill!$Y205</f>
        <v>45763</v>
      </c>
      <c r="B205" s="43">
        <f>'Raw Data'!E207+Bill!$L$2</f>
        <v>146</v>
      </c>
      <c r="C205" s="43">
        <f>'Raw Data'!E207+Bill!$M$2</f>
        <v>151</v>
      </c>
      <c r="D205" s="43">
        <f>('Raw Data'!$F207*2)-10</f>
        <v>252</v>
      </c>
      <c r="E205" s="43">
        <f>'Raw Data'!F207+Bill!$O$2</f>
        <v>151</v>
      </c>
      <c r="F205" s="43">
        <f>'Raw Data'!F207+Bill!$P$2</f>
        <v>156</v>
      </c>
      <c r="G205" s="43"/>
      <c r="H205" s="43">
        <f>('Raw Data'!F207+Bill!$R$2)</f>
        <v>151</v>
      </c>
      <c r="I205" s="36">
        <f>'Raw Data'!G207/100</f>
        <v>4.55</v>
      </c>
      <c r="K205" s="37">
        <f>Bill!$Y205</f>
        <v>45763</v>
      </c>
      <c r="L205" s="38">
        <f>Bill!$AA205*('Raw Data'!$E207+$L$2)</f>
        <v>1693.6</v>
      </c>
      <c r="M205" s="38">
        <f>Bill!$AB205*('Raw Data'!$E207+$M$2)</f>
        <v>1525.1</v>
      </c>
      <c r="N205" s="38">
        <f>(('Raw Data'!$F207 * 2)-10)*Bill!$AC205</f>
        <v>1260</v>
      </c>
      <c r="O205" s="38">
        <f>('Raw Data'!F207+Bill!$O$2)*Bill!$AD205</f>
        <v>0</v>
      </c>
      <c r="P205" s="38">
        <f>('Raw Data'!F207+Bill!$P$2)*Bill!$AE205</f>
        <v>312</v>
      </c>
      <c r="Q205" s="38">
        <f>Bill!$Z205*('Raw Data'!$E207+$Q$2)</f>
        <v>0</v>
      </c>
      <c r="R205" s="38">
        <f>('Raw Data'!F207+Bill!$R$2)*Bill!$AF205</f>
        <v>0</v>
      </c>
      <c r="S205" s="48">
        <f>('Raw Data'!G207/100)*Bill!$AG205</f>
        <v>0</v>
      </c>
      <c r="T205" s="38">
        <f>SUM(Bill!$L205:$R205)</f>
        <v>4790.7</v>
      </c>
      <c r="U205" s="49">
        <v>4801.0</v>
      </c>
      <c r="V205" s="50"/>
      <c r="W205" s="38">
        <f>Bill!$U205-Bill!$T205</f>
        <v>10.3</v>
      </c>
      <c r="Y205" s="37">
        <f>'Raw Data'!D207</f>
        <v>45763</v>
      </c>
      <c r="Z205" s="41">
        <v>0.0</v>
      </c>
      <c r="AA205" s="47">
        <v>11.6</v>
      </c>
      <c r="AB205" s="47">
        <v>10.1</v>
      </c>
      <c r="AC205" s="47">
        <v>5.0</v>
      </c>
      <c r="AD205" s="47">
        <v>0.0</v>
      </c>
      <c r="AE205" s="47">
        <v>2.0</v>
      </c>
      <c r="AF205" s="47">
        <v>0.0</v>
      </c>
      <c r="AG205" s="47">
        <v>0.0</v>
      </c>
    </row>
    <row r="206" ht="15.75" customHeight="1">
      <c r="A206" s="35">
        <f>Bill!$Y206</f>
        <v>45764</v>
      </c>
      <c r="B206" s="43">
        <f>'Raw Data'!E208+Bill!$L$2</f>
        <v>146</v>
      </c>
      <c r="C206" s="43">
        <f>'Raw Data'!E208+Bill!$M$2</f>
        <v>151</v>
      </c>
      <c r="D206" s="43">
        <f>('Raw Data'!$F208*2)-10</f>
        <v>252</v>
      </c>
      <c r="E206" s="43">
        <f>'Raw Data'!F208+Bill!$O$2</f>
        <v>151</v>
      </c>
      <c r="F206" s="43">
        <f>'Raw Data'!F208+Bill!$P$2</f>
        <v>156</v>
      </c>
      <c r="G206" s="43"/>
      <c r="H206" s="43">
        <f>('Raw Data'!F208+Bill!$R$2)</f>
        <v>151</v>
      </c>
      <c r="I206" s="36">
        <f>'Raw Data'!G208/100</f>
        <v>4.55</v>
      </c>
      <c r="K206" s="37">
        <f>Bill!$Y206</f>
        <v>45764</v>
      </c>
      <c r="L206" s="38">
        <f>Bill!$AA206*('Raw Data'!$E208+$L$2)</f>
        <v>0</v>
      </c>
      <c r="M206" s="38">
        <f>Bill!$AB206*('Raw Data'!$E208+$M$2)</f>
        <v>2265</v>
      </c>
      <c r="N206" s="38">
        <f>(('Raw Data'!$F208 * 2)-10)*Bill!$AC206</f>
        <v>756</v>
      </c>
      <c r="O206" s="38">
        <f>('Raw Data'!F208+Bill!$O$2)*Bill!$AD206</f>
        <v>317.1</v>
      </c>
      <c r="P206" s="38">
        <f>('Raw Data'!F208+Bill!$P$2)*Bill!$AE206</f>
        <v>0</v>
      </c>
      <c r="Q206" s="38">
        <f>Bill!$Z206*('Raw Data'!$E208+$Q$2)</f>
        <v>0</v>
      </c>
      <c r="R206" s="38">
        <f>('Raw Data'!F208+Bill!$R$2)*Bill!$AF206</f>
        <v>0</v>
      </c>
      <c r="S206" s="48">
        <f>('Raw Data'!G208/100)*Bill!$AG206</f>
        <v>0</v>
      </c>
      <c r="T206" s="38">
        <f>SUM(Bill!$L206:$R206)</f>
        <v>3338.1</v>
      </c>
      <c r="U206" s="49">
        <v>3338.0</v>
      </c>
      <c r="V206" s="50"/>
      <c r="W206" s="38">
        <f>Bill!$U206-Bill!$T206</f>
        <v>-0.1</v>
      </c>
      <c r="Y206" s="37">
        <f>'Raw Data'!D208</f>
        <v>45764</v>
      </c>
      <c r="Z206" s="41">
        <v>0.0</v>
      </c>
      <c r="AA206" s="47">
        <v>0.0</v>
      </c>
      <c r="AB206" s="47">
        <v>15.0</v>
      </c>
      <c r="AC206" s="47">
        <v>3.0</v>
      </c>
      <c r="AD206" s="47">
        <v>2.1</v>
      </c>
      <c r="AE206" s="47">
        <v>0.0</v>
      </c>
      <c r="AF206" s="47">
        <v>0.0</v>
      </c>
      <c r="AG206" s="47">
        <v>0.0</v>
      </c>
    </row>
    <row r="207" ht="15.75" customHeight="1">
      <c r="A207" s="35">
        <f>Bill!$Y207</f>
        <v>45765</v>
      </c>
      <c r="B207" s="43">
        <f>'Raw Data'!E209+Bill!$L$2</f>
        <v>146</v>
      </c>
      <c r="C207" s="43">
        <f>'Raw Data'!E209+Bill!$M$2</f>
        <v>151</v>
      </c>
      <c r="D207" s="43">
        <f>('Raw Data'!$F209*2)-10</f>
        <v>252</v>
      </c>
      <c r="E207" s="43">
        <f>'Raw Data'!F209+Bill!$O$2</f>
        <v>151</v>
      </c>
      <c r="F207" s="43">
        <f>'Raw Data'!F209+Bill!$P$2</f>
        <v>156</v>
      </c>
      <c r="G207" s="43"/>
      <c r="H207" s="43">
        <f>('Raw Data'!F209+Bill!$R$2)</f>
        <v>151</v>
      </c>
      <c r="I207" s="36">
        <f>'Raw Data'!G209/100</f>
        <v>4.55</v>
      </c>
      <c r="K207" s="37">
        <f>Bill!$Y207</f>
        <v>45765</v>
      </c>
      <c r="L207" s="38">
        <f>Bill!$AA207*('Raw Data'!$E209+$L$2)</f>
        <v>0</v>
      </c>
      <c r="M207" s="38">
        <f>Bill!$AB207*('Raw Data'!$E209+$M$2)</f>
        <v>770.1</v>
      </c>
      <c r="N207" s="38">
        <f>(('Raw Data'!$F209 * 2)-10)*Bill!$AC207</f>
        <v>1008</v>
      </c>
      <c r="O207" s="38">
        <f>('Raw Data'!F209+Bill!$O$2)*Bill!$AD207</f>
        <v>302</v>
      </c>
      <c r="P207" s="38">
        <f>('Raw Data'!F209+Bill!$P$2)*Bill!$AE207</f>
        <v>0</v>
      </c>
      <c r="Q207" s="38">
        <f>Bill!$Z207*('Raw Data'!$E209+$Q$2)</f>
        <v>0</v>
      </c>
      <c r="R207" s="38">
        <f>('Raw Data'!F209+Bill!$R$2)*Bill!$AF207</f>
        <v>0</v>
      </c>
      <c r="S207" s="48">
        <f>('Raw Data'!G209/100)*Bill!$AG207</f>
        <v>0</v>
      </c>
      <c r="T207" s="38">
        <f>SUM(Bill!$L207:$R207)</f>
        <v>2080.1</v>
      </c>
      <c r="U207" s="49">
        <v>2151.0</v>
      </c>
      <c r="V207" s="50"/>
      <c r="W207" s="38">
        <f>Bill!$U207-Bill!$T207</f>
        <v>70.9</v>
      </c>
      <c r="Y207" s="37">
        <f>'Raw Data'!D209</f>
        <v>45765</v>
      </c>
      <c r="Z207" s="41">
        <v>0.0</v>
      </c>
      <c r="AA207" s="47">
        <v>0.0</v>
      </c>
      <c r="AB207" s="47">
        <v>5.1</v>
      </c>
      <c r="AC207" s="47">
        <v>4.0</v>
      </c>
      <c r="AD207" s="47">
        <v>2.0</v>
      </c>
      <c r="AE207" s="47">
        <v>0.0</v>
      </c>
      <c r="AF207" s="47">
        <v>0.0</v>
      </c>
      <c r="AG207" s="47">
        <v>0.0</v>
      </c>
    </row>
    <row r="208" ht="15.75" customHeight="1">
      <c r="A208" s="35">
        <f>Bill!$Y208</f>
        <v>45766</v>
      </c>
      <c r="B208" s="43">
        <f>'Raw Data'!E210+Bill!$L$2</f>
        <v>146</v>
      </c>
      <c r="C208" s="43">
        <f>'Raw Data'!E210+Bill!$M$2</f>
        <v>151</v>
      </c>
      <c r="D208" s="43">
        <f>('Raw Data'!$F210*2)-10</f>
        <v>252</v>
      </c>
      <c r="E208" s="43">
        <f>'Raw Data'!F210+Bill!$O$2</f>
        <v>151</v>
      </c>
      <c r="F208" s="43">
        <f>'Raw Data'!F210+Bill!$P$2</f>
        <v>156</v>
      </c>
      <c r="G208" s="43"/>
      <c r="H208" s="43">
        <f>('Raw Data'!F210+Bill!$R$2)</f>
        <v>151</v>
      </c>
      <c r="I208" s="36">
        <f>'Raw Data'!G210/100</f>
        <v>4.55</v>
      </c>
      <c r="K208" s="37">
        <f>Bill!$Y208</f>
        <v>45766</v>
      </c>
      <c r="L208" s="38">
        <f>Bill!$AA208*('Raw Data'!$E210+$L$2)</f>
        <v>0</v>
      </c>
      <c r="M208" s="38">
        <f>Bill!$AB208*('Raw Data'!$E210+$M$2)</f>
        <v>1057</v>
      </c>
      <c r="N208" s="38">
        <f>(('Raw Data'!$F210 * 2)-10)*Bill!$AC208</f>
        <v>756</v>
      </c>
      <c r="O208" s="38">
        <f>('Raw Data'!F210+Bill!$O$2)*Bill!$AD208</f>
        <v>0</v>
      </c>
      <c r="P208" s="38">
        <f>('Raw Data'!F210+Bill!$P$2)*Bill!$AE208</f>
        <v>0</v>
      </c>
      <c r="Q208" s="38">
        <f>Bill!$Z208*('Raw Data'!$E210+$Q$2)</f>
        <v>0</v>
      </c>
      <c r="R208" s="38">
        <f>('Raw Data'!F210+Bill!$R$2)*Bill!$AF208</f>
        <v>0</v>
      </c>
      <c r="S208" s="48">
        <f>('Raw Data'!G210/100)*Bill!$AG208</f>
        <v>682.5</v>
      </c>
      <c r="T208" s="38">
        <f>SUM(Bill!$L208:$R208)</f>
        <v>1813</v>
      </c>
      <c r="U208" s="49">
        <v>1813.0</v>
      </c>
      <c r="V208" s="50"/>
      <c r="W208" s="38">
        <f>Bill!$U208-Bill!$T208</f>
        <v>0</v>
      </c>
      <c r="Y208" s="37">
        <f>'Raw Data'!D210</f>
        <v>45766</v>
      </c>
      <c r="Z208" s="41">
        <v>0.0</v>
      </c>
      <c r="AA208" s="47">
        <v>0.0</v>
      </c>
      <c r="AB208" s="47">
        <v>7.0</v>
      </c>
      <c r="AC208" s="47">
        <v>3.0</v>
      </c>
      <c r="AD208" s="47">
        <v>0.0</v>
      </c>
      <c r="AE208" s="47">
        <v>0.0</v>
      </c>
      <c r="AF208" s="47">
        <v>0.0</v>
      </c>
      <c r="AG208" s="47">
        <v>150.0</v>
      </c>
    </row>
    <row r="209" ht="15.75" customHeight="1">
      <c r="A209" s="35">
        <f>Bill!$Y209</f>
        <v>45767</v>
      </c>
      <c r="B209" s="43">
        <f>'Raw Data'!E211+Bill!$L$2</f>
        <v>146</v>
      </c>
      <c r="C209" s="43">
        <f>'Raw Data'!E211+Bill!$M$2</f>
        <v>151</v>
      </c>
      <c r="D209" s="43">
        <f>('Raw Data'!$F211*2)-10</f>
        <v>252</v>
      </c>
      <c r="E209" s="43">
        <f>'Raw Data'!F211+Bill!$O$2</f>
        <v>151</v>
      </c>
      <c r="F209" s="43">
        <f>'Raw Data'!F211+Bill!$P$2</f>
        <v>156</v>
      </c>
      <c r="G209" s="43"/>
      <c r="H209" s="43">
        <f>('Raw Data'!F211+Bill!$R$2)</f>
        <v>151</v>
      </c>
      <c r="I209" s="36">
        <f>'Raw Data'!G211/100</f>
        <v>4.5</v>
      </c>
      <c r="K209" s="37">
        <f>Bill!$Y209</f>
        <v>45767</v>
      </c>
      <c r="L209" s="38">
        <f>Bill!$AA209*('Raw Data'!$E211+$L$2)</f>
        <v>0</v>
      </c>
      <c r="M209" s="38">
        <f>Bill!$AB209*('Raw Data'!$E211+$M$2)</f>
        <v>1057</v>
      </c>
      <c r="N209" s="38">
        <f>(('Raw Data'!$F211 * 2)-10)*Bill!$AC209</f>
        <v>1512</v>
      </c>
      <c r="O209" s="38">
        <f>('Raw Data'!F211+Bill!$O$2)*Bill!$AD209</f>
        <v>332.2</v>
      </c>
      <c r="P209" s="38">
        <f>('Raw Data'!F211+Bill!$P$2)*Bill!$AE209</f>
        <v>0</v>
      </c>
      <c r="Q209" s="38">
        <f>Bill!$Z209*('Raw Data'!$E211+$Q$2)</f>
        <v>0</v>
      </c>
      <c r="R209" s="38">
        <f>('Raw Data'!F211+Bill!$R$2)*Bill!$AF209</f>
        <v>385.05</v>
      </c>
      <c r="S209" s="48">
        <f>('Raw Data'!G211/100)*Bill!$AG209</f>
        <v>0</v>
      </c>
      <c r="T209" s="38">
        <f>SUM(Bill!$L209:$R209)</f>
        <v>3286.25</v>
      </c>
      <c r="U209" s="49">
        <v>3301.0</v>
      </c>
      <c r="V209" s="50"/>
      <c r="W209" s="38">
        <f>Bill!$U209-Bill!$T209</f>
        <v>14.75</v>
      </c>
      <c r="Y209" s="37">
        <f>'Raw Data'!D211</f>
        <v>45767</v>
      </c>
      <c r="Z209" s="41">
        <v>0.0</v>
      </c>
      <c r="AA209" s="47">
        <v>0.0</v>
      </c>
      <c r="AB209" s="47">
        <v>7.0</v>
      </c>
      <c r="AC209" s="47">
        <v>6.0</v>
      </c>
      <c r="AD209" s="47">
        <v>2.2</v>
      </c>
      <c r="AE209" s="47">
        <v>0.0</v>
      </c>
      <c r="AF209" s="47">
        <v>2.55</v>
      </c>
      <c r="AG209" s="47">
        <v>0.0</v>
      </c>
    </row>
    <row r="210" ht="15.75" customHeight="1">
      <c r="A210" s="35">
        <f>Bill!$Y210</f>
        <v>45768</v>
      </c>
      <c r="B210" s="43">
        <f>'Raw Data'!E212+Bill!$L$2</f>
        <v>146</v>
      </c>
      <c r="C210" s="43">
        <f>'Raw Data'!E212+Bill!$M$2</f>
        <v>151</v>
      </c>
      <c r="D210" s="43">
        <f>('Raw Data'!$F212*2)-10</f>
        <v>252</v>
      </c>
      <c r="E210" s="43">
        <f>'Raw Data'!F212+Bill!$O$2</f>
        <v>151</v>
      </c>
      <c r="F210" s="43">
        <f>'Raw Data'!F212+Bill!$P$2</f>
        <v>156</v>
      </c>
      <c r="G210" s="43"/>
      <c r="H210" s="43">
        <f>('Raw Data'!F212+Bill!$R$2)</f>
        <v>151</v>
      </c>
      <c r="I210" s="36">
        <f>'Raw Data'!G212/100</f>
        <v>4.5</v>
      </c>
      <c r="K210" s="37">
        <f>Bill!$Y210</f>
        <v>45768</v>
      </c>
      <c r="L210" s="38">
        <f>Bill!$AA210*('Raw Data'!$E212+$L$2)</f>
        <v>1518.4</v>
      </c>
      <c r="M210" s="38">
        <f>Bill!$AB210*('Raw Data'!$E212+$M$2)</f>
        <v>2265</v>
      </c>
      <c r="N210" s="38">
        <f>(('Raw Data'!$F212 * 2)-10)*Bill!$AC210</f>
        <v>1260</v>
      </c>
      <c r="O210" s="38">
        <f>('Raw Data'!F212+Bill!$O$2)*Bill!$AD210</f>
        <v>0</v>
      </c>
      <c r="P210" s="38">
        <f>('Raw Data'!F212+Bill!$P$2)*Bill!$AE210</f>
        <v>312</v>
      </c>
      <c r="Q210" s="38">
        <f>Bill!$Z210*('Raw Data'!$E212+$Q$2)</f>
        <v>0</v>
      </c>
      <c r="R210" s="38">
        <f>('Raw Data'!F212+Bill!$R$2)*Bill!$AF210</f>
        <v>0</v>
      </c>
      <c r="S210" s="48">
        <f>('Raw Data'!G212/100)*Bill!$AG210</f>
        <v>0</v>
      </c>
      <c r="T210" s="38">
        <f>SUM(Bill!$L210:$R210)</f>
        <v>5355.4</v>
      </c>
      <c r="U210" s="49">
        <v>5365.0</v>
      </c>
      <c r="V210" s="50"/>
      <c r="W210" s="38">
        <f>Bill!$U210-Bill!$T210</f>
        <v>9.6</v>
      </c>
      <c r="Y210" s="37">
        <f>'Raw Data'!D212</f>
        <v>45768</v>
      </c>
      <c r="Z210" s="41">
        <v>0.0</v>
      </c>
      <c r="AA210" s="47">
        <v>10.4</v>
      </c>
      <c r="AB210" s="47">
        <v>15.0</v>
      </c>
      <c r="AC210" s="47">
        <v>5.0</v>
      </c>
      <c r="AD210" s="47">
        <v>0.0</v>
      </c>
      <c r="AE210" s="47">
        <v>2.0</v>
      </c>
      <c r="AF210" s="47">
        <v>0.0</v>
      </c>
      <c r="AG210" s="47">
        <v>0.0</v>
      </c>
    </row>
    <row r="211" ht="15.75" customHeight="1">
      <c r="A211" s="35">
        <f>Bill!$Y211</f>
        <v>45769</v>
      </c>
      <c r="B211" s="43">
        <f>'Raw Data'!E213+Bill!$L$2</f>
        <v>146</v>
      </c>
      <c r="C211" s="43">
        <f>'Raw Data'!E213+Bill!$M$2</f>
        <v>151</v>
      </c>
      <c r="D211" s="43">
        <f>('Raw Data'!$F213*2)-10</f>
        <v>228</v>
      </c>
      <c r="E211" s="43">
        <f>'Raw Data'!F213+Bill!$O$2</f>
        <v>139</v>
      </c>
      <c r="F211" s="43">
        <f>'Raw Data'!F213+Bill!$P$2</f>
        <v>144</v>
      </c>
      <c r="G211" s="43"/>
      <c r="H211" s="43">
        <f>('Raw Data'!F213+Bill!$R$2)</f>
        <v>139</v>
      </c>
      <c r="I211" s="36">
        <f>'Raw Data'!G213/100</f>
        <v>4.5</v>
      </c>
      <c r="K211" s="37">
        <f>Bill!$Y211</f>
        <v>45769</v>
      </c>
      <c r="L211" s="38">
        <f>Bill!$AA211*('Raw Data'!$E213+$L$2)</f>
        <v>1635.2</v>
      </c>
      <c r="M211" s="38">
        <f>Bill!$AB211*('Raw Data'!$E213+$M$2)</f>
        <v>777.65</v>
      </c>
      <c r="N211" s="38">
        <f>(('Raw Data'!$F213 * 2)-10)*Bill!$AC211</f>
        <v>684</v>
      </c>
      <c r="O211" s="38">
        <f>('Raw Data'!F213+Bill!$O$2)*Bill!$AD211</f>
        <v>0</v>
      </c>
      <c r="P211" s="38">
        <f>('Raw Data'!F213+Bill!$P$2)*Bill!$AE211</f>
        <v>0</v>
      </c>
      <c r="Q211" s="38">
        <f>Bill!$Z211*('Raw Data'!$E213+$Q$2)</f>
        <v>0</v>
      </c>
      <c r="R211" s="38">
        <f>('Raw Data'!F213+Bill!$R$2)*Bill!$AF211</f>
        <v>0</v>
      </c>
      <c r="S211" s="48">
        <f>('Raw Data'!G213/100)*Bill!$AG211</f>
        <v>0</v>
      </c>
      <c r="T211" s="38">
        <f>SUM(Bill!$L211:$R211)</f>
        <v>3096.85</v>
      </c>
      <c r="U211" s="49">
        <v>3096.0</v>
      </c>
      <c r="V211" s="50"/>
      <c r="W211" s="38">
        <f>Bill!$U211-Bill!$T211</f>
        <v>-0.85</v>
      </c>
      <c r="Y211" s="37">
        <f>'Raw Data'!D213</f>
        <v>45769</v>
      </c>
      <c r="Z211" s="41">
        <v>0.0</v>
      </c>
      <c r="AA211" s="47">
        <v>11.2</v>
      </c>
      <c r="AB211" s="47">
        <v>5.15</v>
      </c>
      <c r="AC211" s="47">
        <v>3.0</v>
      </c>
      <c r="AD211" s="47">
        <v>0.0</v>
      </c>
      <c r="AE211" s="47">
        <v>0.0</v>
      </c>
      <c r="AF211" s="47">
        <v>0.0</v>
      </c>
      <c r="AG211" s="47">
        <v>0.0</v>
      </c>
    </row>
    <row r="212" ht="15.75" customHeight="1">
      <c r="A212" s="35">
        <f>Bill!$Y212</f>
        <v>45770</v>
      </c>
      <c r="B212" s="43">
        <f>'Raw Data'!E214+Bill!$L$2</f>
        <v>146</v>
      </c>
      <c r="C212" s="43">
        <f>'Raw Data'!E214+Bill!$M$2</f>
        <v>151</v>
      </c>
      <c r="D212" s="43">
        <f>('Raw Data'!$F214*2)-10</f>
        <v>228</v>
      </c>
      <c r="E212" s="43">
        <f>'Raw Data'!F214+Bill!$O$2</f>
        <v>139</v>
      </c>
      <c r="F212" s="43">
        <f>'Raw Data'!F214+Bill!$P$2</f>
        <v>144</v>
      </c>
      <c r="G212" s="43"/>
      <c r="H212" s="43">
        <f>('Raw Data'!F214+Bill!$R$2)</f>
        <v>139</v>
      </c>
      <c r="I212" s="36">
        <f>'Raw Data'!G214/100</f>
        <v>4.5</v>
      </c>
      <c r="K212" s="37">
        <f>Bill!$Y212</f>
        <v>45770</v>
      </c>
      <c r="L212" s="38">
        <f>Bill!$AA212*('Raw Data'!$E214+$L$2)</f>
        <v>0</v>
      </c>
      <c r="M212" s="38">
        <f>Bill!$AB212*('Raw Data'!$E214+$M$2)</f>
        <v>0</v>
      </c>
      <c r="N212" s="38">
        <f>(('Raw Data'!$F214 * 2)-10)*Bill!$AC212</f>
        <v>1140</v>
      </c>
      <c r="O212" s="38">
        <f>('Raw Data'!F214+Bill!$O$2)*Bill!$AD212</f>
        <v>0</v>
      </c>
      <c r="P212" s="38">
        <f>('Raw Data'!F214+Bill!$P$2)*Bill!$AE212</f>
        <v>0</v>
      </c>
      <c r="Q212" s="38">
        <f>Bill!$Z212*('Raw Data'!$E214+$Q$2)</f>
        <v>0</v>
      </c>
      <c r="R212" s="38">
        <f>('Raw Data'!F214+Bill!$R$2)*Bill!$AF212</f>
        <v>0</v>
      </c>
      <c r="S212" s="48">
        <f>('Raw Data'!G214/100)*Bill!$AG212</f>
        <v>0</v>
      </c>
      <c r="T212" s="38">
        <f>SUM(Bill!$L212:$R212)</f>
        <v>1140</v>
      </c>
      <c r="U212" s="49">
        <v>1140.0</v>
      </c>
      <c r="V212" s="50"/>
      <c r="W212" s="38">
        <f>Bill!$U212-Bill!$T212</f>
        <v>0</v>
      </c>
      <c r="Y212" s="37">
        <f>'Raw Data'!D214</f>
        <v>45770</v>
      </c>
      <c r="Z212" s="41">
        <v>0.0</v>
      </c>
      <c r="AA212" s="47">
        <v>0.0</v>
      </c>
      <c r="AB212" s="47">
        <v>0.0</v>
      </c>
      <c r="AC212" s="47">
        <v>5.0</v>
      </c>
      <c r="AD212" s="47">
        <v>0.0</v>
      </c>
      <c r="AE212" s="47">
        <v>0.0</v>
      </c>
      <c r="AF212" s="47">
        <v>0.0</v>
      </c>
      <c r="AG212" s="47">
        <v>0.0</v>
      </c>
    </row>
    <row r="213" ht="15.75" customHeight="1">
      <c r="A213" s="35">
        <f>Bill!$Y213</f>
        <v>45771</v>
      </c>
      <c r="B213" s="43">
        <f>'Raw Data'!E215+Bill!$L$2</f>
        <v>146</v>
      </c>
      <c r="C213" s="43">
        <f>'Raw Data'!E215+Bill!$M$2</f>
        <v>151</v>
      </c>
      <c r="D213" s="43">
        <f>('Raw Data'!$F215*2)-10</f>
        <v>228</v>
      </c>
      <c r="E213" s="43">
        <f>'Raw Data'!F215+Bill!$O$2</f>
        <v>139</v>
      </c>
      <c r="F213" s="43">
        <f>'Raw Data'!F215+Bill!$P$2</f>
        <v>144</v>
      </c>
      <c r="G213" s="43"/>
      <c r="H213" s="43">
        <f>('Raw Data'!F215+Bill!$R$2)</f>
        <v>139</v>
      </c>
      <c r="I213" s="36">
        <f>'Raw Data'!G215/100</f>
        <v>0</v>
      </c>
      <c r="K213" s="37">
        <f>Bill!$Y213</f>
        <v>45771</v>
      </c>
      <c r="L213" s="38">
        <f>Bill!$AA213*('Raw Data'!$E215+$L$2)</f>
        <v>0</v>
      </c>
      <c r="M213" s="38">
        <f>Bill!$AB213*('Raw Data'!$E215+$M$2)</f>
        <v>1547.75</v>
      </c>
      <c r="N213" s="38">
        <f>(('Raw Data'!$F215 * 2)-10)*Bill!$AC213</f>
        <v>684</v>
      </c>
      <c r="O213" s="38">
        <f>('Raw Data'!F215+Bill!$O$2)*Bill!$AD213</f>
        <v>0</v>
      </c>
      <c r="P213" s="38">
        <f>('Raw Data'!F215+Bill!$P$2)*Bill!$AE213</f>
        <v>0</v>
      </c>
      <c r="Q213" s="38">
        <f>Bill!$Z213*('Raw Data'!$E215+$Q$2)</f>
        <v>0</v>
      </c>
      <c r="R213" s="38">
        <f>('Raw Data'!F215+Bill!$R$2)*Bill!$AF213</f>
        <v>0</v>
      </c>
      <c r="S213" s="48">
        <f>('Raw Data'!G215/100)*Bill!$AG213</f>
        <v>0</v>
      </c>
      <c r="T213" s="38">
        <f>SUM(Bill!$L213:$R213)</f>
        <v>2231.75</v>
      </c>
      <c r="U213" s="49">
        <v>2232.0</v>
      </c>
      <c r="V213" s="50"/>
      <c r="W213" s="38">
        <f>Bill!$U213-Bill!$T213</f>
        <v>0.25</v>
      </c>
      <c r="Y213" s="37">
        <f>'Raw Data'!D215</f>
        <v>45771</v>
      </c>
      <c r="Z213" s="41">
        <v>0.0</v>
      </c>
      <c r="AA213" s="47">
        <v>0.0</v>
      </c>
      <c r="AB213" s="47">
        <v>10.25</v>
      </c>
      <c r="AC213" s="47">
        <v>3.0</v>
      </c>
      <c r="AD213" s="47">
        <v>0.0</v>
      </c>
      <c r="AE213" s="47">
        <v>0.0</v>
      </c>
      <c r="AF213" s="47">
        <v>0.0</v>
      </c>
      <c r="AG213" s="47">
        <v>0.0</v>
      </c>
    </row>
    <row r="214" ht="15.75" customHeight="1">
      <c r="A214" s="35">
        <f>Bill!$Y214</f>
        <v>45772</v>
      </c>
      <c r="B214" s="43">
        <f>'Raw Data'!E216+Bill!$L$2</f>
        <v>146</v>
      </c>
      <c r="C214" s="43">
        <f>'Raw Data'!E216+Bill!$M$2</f>
        <v>151</v>
      </c>
      <c r="D214" s="43">
        <f>('Raw Data'!$F216*2)-10</f>
        <v>228</v>
      </c>
      <c r="E214" s="43">
        <f>'Raw Data'!F216+Bill!$O$2</f>
        <v>139</v>
      </c>
      <c r="F214" s="43">
        <f>'Raw Data'!F216+Bill!$P$2</f>
        <v>144</v>
      </c>
      <c r="G214" s="43"/>
      <c r="H214" s="43">
        <f>('Raw Data'!F216+Bill!$R$2)</f>
        <v>139</v>
      </c>
      <c r="I214" s="36">
        <f>'Raw Data'!G216/100</f>
        <v>4.5</v>
      </c>
      <c r="K214" s="37">
        <f>Bill!$Y214</f>
        <v>45772</v>
      </c>
      <c r="L214" s="38">
        <f>Bill!$AA214*('Raw Data'!$E216+$L$2)</f>
        <v>0</v>
      </c>
      <c r="M214" s="38">
        <f>Bill!$AB214*('Raw Data'!$E216+$M$2)</f>
        <v>755</v>
      </c>
      <c r="N214" s="38">
        <f>(('Raw Data'!$F216 * 2)-10)*Bill!$AC214</f>
        <v>684</v>
      </c>
      <c r="O214" s="38">
        <f>('Raw Data'!F216+Bill!$O$2)*Bill!$AD214</f>
        <v>0</v>
      </c>
      <c r="P214" s="38">
        <f>('Raw Data'!F216+Bill!$P$2)*Bill!$AE214</f>
        <v>288</v>
      </c>
      <c r="Q214" s="38">
        <f>Bill!$Z214*('Raw Data'!$E216+$Q$2)</f>
        <v>0</v>
      </c>
      <c r="R214" s="38">
        <f>('Raw Data'!F216+Bill!$R$2)*Bill!$AF214</f>
        <v>0</v>
      </c>
      <c r="S214" s="48">
        <f>('Raw Data'!G216/100)*Bill!$AG214</f>
        <v>675</v>
      </c>
      <c r="T214" s="38">
        <f>SUM(Bill!$L214:$R214)</f>
        <v>1727</v>
      </c>
      <c r="U214" s="49">
        <v>1712.0</v>
      </c>
      <c r="V214" s="50"/>
      <c r="W214" s="38">
        <f>Bill!$U214-Bill!$T214</f>
        <v>-15</v>
      </c>
      <c r="Y214" s="37">
        <f>'Raw Data'!D216</f>
        <v>45772</v>
      </c>
      <c r="Z214" s="41">
        <v>0.0</v>
      </c>
      <c r="AA214" s="47">
        <v>0.0</v>
      </c>
      <c r="AB214" s="47">
        <v>5.0</v>
      </c>
      <c r="AC214" s="47">
        <v>3.0</v>
      </c>
      <c r="AD214" s="47">
        <v>0.0</v>
      </c>
      <c r="AE214" s="47">
        <v>2.0</v>
      </c>
      <c r="AF214" s="47">
        <v>0.0</v>
      </c>
      <c r="AG214" s="47">
        <v>150.0</v>
      </c>
    </row>
    <row r="215" ht="15.75" customHeight="1">
      <c r="A215" s="35">
        <f>Bill!$Y215</f>
        <v>45773</v>
      </c>
      <c r="B215" s="43">
        <f>'Raw Data'!E217+Bill!$L$2</f>
        <v>146</v>
      </c>
      <c r="C215" s="43">
        <f>'Raw Data'!E217+Bill!$M$2</f>
        <v>151</v>
      </c>
      <c r="D215" s="43">
        <f>('Raw Data'!$F217*2)-10</f>
        <v>232</v>
      </c>
      <c r="E215" s="43">
        <f>'Raw Data'!F217+Bill!$O$2</f>
        <v>141</v>
      </c>
      <c r="F215" s="43">
        <f>'Raw Data'!F217+Bill!$P$2</f>
        <v>146</v>
      </c>
      <c r="G215" s="43"/>
      <c r="H215" s="43">
        <f>('Raw Data'!F217+Bill!$R$2)</f>
        <v>141</v>
      </c>
      <c r="I215" s="36">
        <f>'Raw Data'!G217/100</f>
        <v>4.55</v>
      </c>
      <c r="K215" s="37">
        <f>Bill!$Y215</f>
        <v>45773</v>
      </c>
      <c r="L215" s="38">
        <f>Bill!$AA215*('Raw Data'!$E217+$L$2)</f>
        <v>1270.2</v>
      </c>
      <c r="M215" s="38">
        <f>Bill!$AB215*('Raw Data'!$E217+$M$2)</f>
        <v>3020</v>
      </c>
      <c r="N215" s="38">
        <f>(('Raw Data'!$F217 * 2)-10)*Bill!$AC215</f>
        <v>1160</v>
      </c>
      <c r="O215" s="38">
        <f>('Raw Data'!F217+Bill!$O$2)*Bill!$AD215</f>
        <v>0</v>
      </c>
      <c r="P215" s="38">
        <f>('Raw Data'!F217+Bill!$P$2)*Bill!$AE215</f>
        <v>584</v>
      </c>
      <c r="Q215" s="38">
        <f>Bill!$Z215*('Raw Data'!$E217+$Q$2)</f>
        <v>0</v>
      </c>
      <c r="R215" s="38">
        <f>('Raw Data'!F217+Bill!$R$2)*Bill!$AF215</f>
        <v>0</v>
      </c>
      <c r="S215" s="48">
        <f>('Raw Data'!G217/100)*Bill!$AG215</f>
        <v>0</v>
      </c>
      <c r="T215" s="38">
        <f>SUM(Bill!$L215:$R215)</f>
        <v>6034.2</v>
      </c>
      <c r="U215" s="49">
        <v>6034.0</v>
      </c>
      <c r="V215" s="50"/>
      <c r="W215" s="38">
        <f>Bill!$U215-Bill!$T215</f>
        <v>-0.2</v>
      </c>
      <c r="Y215" s="37">
        <f>'Raw Data'!D217</f>
        <v>45773</v>
      </c>
      <c r="Z215" s="41">
        <v>0.0</v>
      </c>
      <c r="AA215" s="47">
        <v>8.7</v>
      </c>
      <c r="AB215" s="47">
        <v>20.0</v>
      </c>
      <c r="AC215" s="47">
        <v>5.0</v>
      </c>
      <c r="AD215" s="47">
        <v>0.0</v>
      </c>
      <c r="AE215" s="47">
        <v>4.0</v>
      </c>
      <c r="AF215" s="47">
        <v>0.0</v>
      </c>
      <c r="AG215" s="47">
        <v>0.0</v>
      </c>
    </row>
    <row r="216" ht="15.75" customHeight="1">
      <c r="A216" s="35">
        <f>Bill!$Y216</f>
        <v>45774</v>
      </c>
      <c r="B216" s="43">
        <f>'Raw Data'!E218+Bill!$L$2</f>
        <v>146</v>
      </c>
      <c r="C216" s="43">
        <f>'Raw Data'!E218+Bill!$M$2</f>
        <v>151</v>
      </c>
      <c r="D216" s="43">
        <f>('Raw Data'!$F218*2)-10</f>
        <v>236</v>
      </c>
      <c r="E216" s="43">
        <f>'Raw Data'!F218+Bill!$O$2</f>
        <v>143</v>
      </c>
      <c r="F216" s="43">
        <f>'Raw Data'!F218+Bill!$P$2</f>
        <v>148</v>
      </c>
      <c r="G216" s="43"/>
      <c r="H216" s="43">
        <f>('Raw Data'!F218+Bill!$R$2)</f>
        <v>143</v>
      </c>
      <c r="I216" s="36">
        <f>'Raw Data'!G218/100</f>
        <v>4.6</v>
      </c>
      <c r="K216" s="37">
        <f>Bill!$Y216</f>
        <v>45774</v>
      </c>
      <c r="L216" s="38">
        <f>Bill!$AA216*('Raw Data'!$E218+$L$2)</f>
        <v>1401.6</v>
      </c>
      <c r="M216" s="38">
        <f>Bill!$AB216*('Raw Data'!$E218+$M$2)</f>
        <v>1510</v>
      </c>
      <c r="N216" s="38">
        <f>(('Raw Data'!$F218 * 2)-10)*Bill!$AC216</f>
        <v>944</v>
      </c>
      <c r="O216" s="38">
        <f>('Raw Data'!F218+Bill!$O$2)*Bill!$AD216</f>
        <v>286</v>
      </c>
      <c r="P216" s="38">
        <f>('Raw Data'!F218+Bill!$P$2)*Bill!$AE216</f>
        <v>0</v>
      </c>
      <c r="Q216" s="38">
        <f>Bill!$Z216*('Raw Data'!$E218+$Q$2)</f>
        <v>0</v>
      </c>
      <c r="R216" s="38">
        <f>('Raw Data'!F218+Bill!$R$2)*Bill!$AF216</f>
        <v>357.5</v>
      </c>
      <c r="S216" s="48">
        <f>('Raw Data'!G218/100)*Bill!$AG216</f>
        <v>0</v>
      </c>
      <c r="T216" s="38">
        <f>SUM(Bill!$L216:$R216)</f>
        <v>4499.1</v>
      </c>
      <c r="U216" s="49">
        <v>4506.0</v>
      </c>
      <c r="V216" s="50"/>
      <c r="W216" s="38">
        <f>Bill!$U216-Bill!$T216</f>
        <v>6.9</v>
      </c>
      <c r="Y216" s="37">
        <f>'Raw Data'!D218</f>
        <v>45774</v>
      </c>
      <c r="Z216" s="41">
        <v>0.0</v>
      </c>
      <c r="AA216" s="47">
        <v>9.6</v>
      </c>
      <c r="AB216" s="47">
        <v>10.0</v>
      </c>
      <c r="AC216" s="47">
        <v>4.0</v>
      </c>
      <c r="AD216" s="47">
        <v>2.0</v>
      </c>
      <c r="AE216" s="47">
        <v>0.0</v>
      </c>
      <c r="AF216" s="47">
        <v>2.5</v>
      </c>
      <c r="AG216" s="47">
        <v>0.0</v>
      </c>
    </row>
    <row r="217" ht="15.75" customHeight="1">
      <c r="A217" s="35">
        <f>Bill!$Y217</f>
        <v>45775</v>
      </c>
      <c r="B217" s="43">
        <f>'Raw Data'!E219+Bill!$L$2</f>
        <v>146</v>
      </c>
      <c r="C217" s="43">
        <f>'Raw Data'!E219+Bill!$M$2</f>
        <v>151</v>
      </c>
      <c r="D217" s="43">
        <f>('Raw Data'!$F219*2)-10</f>
        <v>236</v>
      </c>
      <c r="E217" s="43">
        <f>'Raw Data'!F219+Bill!$O$2</f>
        <v>143</v>
      </c>
      <c r="F217" s="43">
        <f>'Raw Data'!F219+Bill!$P$2</f>
        <v>148</v>
      </c>
      <c r="G217" s="43"/>
      <c r="H217" s="43">
        <f>('Raw Data'!F219+Bill!$R$2)</f>
        <v>143</v>
      </c>
      <c r="I217" s="36">
        <f>'Raw Data'!G219/100</f>
        <v>4.65</v>
      </c>
      <c r="K217" s="37">
        <f>Bill!$Y217</f>
        <v>45775</v>
      </c>
      <c r="L217" s="38">
        <f>Bill!$AA217*('Raw Data'!$E219+$L$2)</f>
        <v>708.1</v>
      </c>
      <c r="M217" s="38">
        <f>Bill!$AB217*('Raw Data'!$E219+$M$2)</f>
        <v>1087.2</v>
      </c>
      <c r="N217" s="38">
        <f>(('Raw Data'!$F219 * 2)-10)*Bill!$AC217</f>
        <v>944</v>
      </c>
      <c r="O217" s="38">
        <f>('Raw Data'!F219+Bill!$O$2)*Bill!$AD217</f>
        <v>0</v>
      </c>
      <c r="P217" s="38">
        <f>('Raw Data'!F219+Bill!$P$2)*Bill!$AE217</f>
        <v>0</v>
      </c>
      <c r="Q217" s="38">
        <f>Bill!$Z217*('Raw Data'!$E219+$Q$2)</f>
        <v>0</v>
      </c>
      <c r="R217" s="38">
        <f>('Raw Data'!F219+Bill!$R$2)*Bill!$AF217</f>
        <v>0</v>
      </c>
      <c r="S217" s="48">
        <f>('Raw Data'!G219/100)*Bill!$AG217</f>
        <v>0</v>
      </c>
      <c r="T217" s="38">
        <f>SUM(Bill!$L217:$R217)</f>
        <v>2739.3</v>
      </c>
      <c r="U217" s="49">
        <v>2739.0</v>
      </c>
      <c r="V217" s="50"/>
      <c r="W217" s="38">
        <f>Bill!$U217-Bill!$T217</f>
        <v>-0.3</v>
      </c>
      <c r="Y217" s="37">
        <f>'Raw Data'!D219</f>
        <v>45775</v>
      </c>
      <c r="Z217" s="41">
        <v>0.0</v>
      </c>
      <c r="AA217" s="47">
        <v>4.85</v>
      </c>
      <c r="AB217" s="47">
        <v>7.2</v>
      </c>
      <c r="AC217" s="47">
        <v>4.0</v>
      </c>
      <c r="AD217" s="47">
        <v>0.0</v>
      </c>
      <c r="AE217" s="47">
        <v>0.0</v>
      </c>
      <c r="AF217" s="47">
        <v>0.0</v>
      </c>
      <c r="AG217" s="47">
        <v>0.0</v>
      </c>
    </row>
    <row r="218" ht="15.75" customHeight="1">
      <c r="A218" s="35">
        <f>Bill!$Y218</f>
        <v>45776</v>
      </c>
      <c r="B218" s="43">
        <f>'Raw Data'!E220+Bill!$L$2</f>
        <v>146</v>
      </c>
      <c r="C218" s="43">
        <f>'Raw Data'!E220+Bill!$M$2</f>
        <v>151</v>
      </c>
      <c r="D218" s="43">
        <f>('Raw Data'!$F220*2)-10</f>
        <v>236</v>
      </c>
      <c r="E218" s="43">
        <f>'Raw Data'!F220+Bill!$O$2</f>
        <v>143</v>
      </c>
      <c r="F218" s="43">
        <f>'Raw Data'!F220+Bill!$P$2</f>
        <v>148</v>
      </c>
      <c r="G218" s="43"/>
      <c r="H218" s="43">
        <f>('Raw Data'!F220+Bill!$R$2)</f>
        <v>143</v>
      </c>
      <c r="I218" s="36">
        <f>'Raw Data'!G220/100</f>
        <v>4.7</v>
      </c>
      <c r="K218" s="37">
        <f>Bill!$Y218</f>
        <v>45776</v>
      </c>
      <c r="L218" s="38">
        <f>Bill!$AA218*('Raw Data'!$E220+$L$2)</f>
        <v>1489.2</v>
      </c>
      <c r="M218" s="38">
        <f>Bill!$AB218*('Raw Data'!$E220+$M$2)</f>
        <v>755</v>
      </c>
      <c r="N218" s="38">
        <f>(('Raw Data'!$F220 * 2)-10)*Bill!$AC218</f>
        <v>944</v>
      </c>
      <c r="O218" s="38">
        <f>('Raw Data'!F220+Bill!$O$2)*Bill!$AD218</f>
        <v>0</v>
      </c>
      <c r="P218" s="38">
        <f>('Raw Data'!F220+Bill!$P$2)*Bill!$AE218</f>
        <v>0</v>
      </c>
      <c r="Q218" s="38">
        <f>Bill!$Z218*('Raw Data'!$E220+$Q$2)</f>
        <v>0</v>
      </c>
      <c r="R218" s="38">
        <f>('Raw Data'!F220+Bill!$R$2)*Bill!$AF218</f>
        <v>0</v>
      </c>
      <c r="S218" s="48">
        <f>('Raw Data'!G220/100)*Bill!$AG218</f>
        <v>0</v>
      </c>
      <c r="T218" s="38">
        <f>SUM(Bill!$L218:$R218)</f>
        <v>3188.2</v>
      </c>
      <c r="U218" s="49">
        <v>3188.0</v>
      </c>
      <c r="V218" s="50"/>
      <c r="W218" s="38">
        <f>Bill!$U218-Bill!$T218</f>
        <v>-0.2</v>
      </c>
      <c r="Y218" s="37">
        <f>'Raw Data'!D220</f>
        <v>45776</v>
      </c>
      <c r="Z218" s="41">
        <v>0.0</v>
      </c>
      <c r="AA218" s="47">
        <v>10.2</v>
      </c>
      <c r="AB218" s="47">
        <v>5.0</v>
      </c>
      <c r="AC218" s="47">
        <v>4.0</v>
      </c>
      <c r="AD218" s="47">
        <v>0.0</v>
      </c>
      <c r="AE218" s="47">
        <v>0.0</v>
      </c>
      <c r="AF218" s="47">
        <v>0.0</v>
      </c>
      <c r="AG218" s="47">
        <v>0.0</v>
      </c>
    </row>
    <row r="219" ht="15.75" customHeight="1">
      <c r="A219" s="35">
        <f>Bill!$Y219</f>
        <v>45777</v>
      </c>
      <c r="B219" s="43">
        <f>'Raw Data'!E221+Bill!$L$2</f>
        <v>146</v>
      </c>
      <c r="C219" s="43">
        <f>'Raw Data'!E221+Bill!$M$2</f>
        <v>151</v>
      </c>
      <c r="D219" s="43">
        <f>('Raw Data'!$F221*2)-10</f>
        <v>240</v>
      </c>
      <c r="E219" s="43">
        <f>'Raw Data'!F221+Bill!$O$2</f>
        <v>145</v>
      </c>
      <c r="F219" s="43">
        <f>'Raw Data'!F221+Bill!$P$2</f>
        <v>150</v>
      </c>
      <c r="G219" s="43"/>
      <c r="H219" s="43">
        <f>('Raw Data'!F221+Bill!$R$2)</f>
        <v>145</v>
      </c>
      <c r="I219" s="36">
        <f>'Raw Data'!G221/100</f>
        <v>4.75</v>
      </c>
      <c r="K219" s="37">
        <f>Bill!$Y219</f>
        <v>45777</v>
      </c>
      <c r="L219" s="38">
        <f>Bill!$AA219*('Raw Data'!$E221+$L$2)</f>
        <v>0</v>
      </c>
      <c r="M219" s="38">
        <f>Bill!$AB219*('Raw Data'!$E221+$M$2)</f>
        <v>2265</v>
      </c>
      <c r="N219" s="38">
        <f>(('Raw Data'!$F221 * 2)-10)*Bill!$AC219</f>
        <v>1200</v>
      </c>
      <c r="O219" s="38">
        <f>('Raw Data'!F221+Bill!$O$2)*Bill!$AD219</f>
        <v>0</v>
      </c>
      <c r="P219" s="38">
        <f>('Raw Data'!F221+Bill!$P$2)*Bill!$AE219</f>
        <v>0</v>
      </c>
      <c r="Q219" s="38">
        <f>Bill!$Z219*('Raw Data'!$E221+$Q$2)</f>
        <v>0</v>
      </c>
      <c r="R219" s="38">
        <f>('Raw Data'!F221+Bill!$R$2)*Bill!$AF219</f>
        <v>0</v>
      </c>
      <c r="S219" s="48">
        <f>('Raw Data'!G221/100)*Bill!$AG219</f>
        <v>712.5</v>
      </c>
      <c r="T219" s="38">
        <f>SUM(Bill!$L219:$R219)</f>
        <v>3465</v>
      </c>
      <c r="U219" s="49">
        <v>3465.0</v>
      </c>
      <c r="V219" s="50"/>
      <c r="W219" s="38">
        <f>Bill!$U219-Bill!$T219</f>
        <v>0</v>
      </c>
      <c r="Y219" s="37">
        <f>'Raw Data'!D221</f>
        <v>45777</v>
      </c>
      <c r="Z219" s="41">
        <v>0.0</v>
      </c>
      <c r="AA219" s="47">
        <v>0.0</v>
      </c>
      <c r="AB219" s="47">
        <v>15.0</v>
      </c>
      <c r="AC219" s="47">
        <v>5.0</v>
      </c>
      <c r="AD219" s="47">
        <v>0.0</v>
      </c>
      <c r="AE219" s="47">
        <v>0.0</v>
      </c>
      <c r="AF219" s="47">
        <v>0.0</v>
      </c>
      <c r="AG219" s="47">
        <v>150.0</v>
      </c>
    </row>
    <row r="220" ht="15.75" customHeight="1">
      <c r="A220" s="35">
        <f>Bill!$Y220</f>
        <v>45778</v>
      </c>
      <c r="B220" s="43">
        <f>'Raw Data'!E222+Bill!$L$2</f>
        <v>146</v>
      </c>
      <c r="C220" s="43">
        <f>'Raw Data'!E222+Bill!$M$2</f>
        <v>151</v>
      </c>
      <c r="D220" s="43">
        <f>('Raw Data'!$F222*2)-10</f>
        <v>240</v>
      </c>
      <c r="E220" s="43">
        <f>'Raw Data'!F222+Bill!$O$2</f>
        <v>145</v>
      </c>
      <c r="F220" s="43">
        <f>'Raw Data'!F222+Bill!$P$2</f>
        <v>150</v>
      </c>
      <c r="G220" s="43"/>
      <c r="H220" s="43">
        <f>('Raw Data'!F222+Bill!$R$2)</f>
        <v>145</v>
      </c>
      <c r="I220" s="36">
        <f>'Raw Data'!G222/100</f>
        <v>4.85</v>
      </c>
      <c r="K220" s="37">
        <f>Bill!$Y220</f>
        <v>45778</v>
      </c>
      <c r="L220" s="38">
        <f>Bill!$AA220*('Raw Data'!$E222+$L$2)</f>
        <v>1474.6</v>
      </c>
      <c r="M220" s="38">
        <f>Bill!$AB220*('Raw Data'!$E222+$M$2)</f>
        <v>755</v>
      </c>
      <c r="N220" s="38">
        <f>(('Raw Data'!$F222 * 2)-10)*Bill!$AC220</f>
        <v>720</v>
      </c>
      <c r="O220" s="38">
        <f>('Raw Data'!F222+Bill!$O$2)*Bill!$AD220</f>
        <v>0</v>
      </c>
      <c r="P220" s="38">
        <f>('Raw Data'!F222+Bill!$P$2)*Bill!$AE220</f>
        <v>300</v>
      </c>
      <c r="Q220" s="38">
        <f>Bill!$Z220*('Raw Data'!$E222+$Q$2)</f>
        <v>0</v>
      </c>
      <c r="R220" s="38">
        <f>('Raw Data'!F222+Bill!$R$2)*Bill!$AF220</f>
        <v>0</v>
      </c>
      <c r="S220" s="48">
        <f>('Raw Data'!G222/100)*Bill!$AG220</f>
        <v>0</v>
      </c>
      <c r="T220" s="38">
        <f>SUM(Bill!$L220:$R220)</f>
        <v>3249.6</v>
      </c>
      <c r="U220" s="49">
        <v>3259.0</v>
      </c>
      <c r="V220" s="50"/>
      <c r="W220" s="38">
        <f>Bill!$U220-Bill!$T220</f>
        <v>9.4</v>
      </c>
      <c r="Y220" s="37">
        <f>'Raw Data'!D222</f>
        <v>45778</v>
      </c>
      <c r="Z220" s="41">
        <v>0.0</v>
      </c>
      <c r="AA220" s="47">
        <v>10.1</v>
      </c>
      <c r="AB220" s="47">
        <v>5.0</v>
      </c>
      <c r="AC220" s="47">
        <v>3.0</v>
      </c>
      <c r="AD220" s="47">
        <v>0.0</v>
      </c>
      <c r="AE220" s="47">
        <v>2.0</v>
      </c>
      <c r="AF220" s="47">
        <v>0.0</v>
      </c>
      <c r="AG220" s="47">
        <v>0.0</v>
      </c>
    </row>
    <row r="221" ht="15.75" customHeight="1">
      <c r="A221" s="35">
        <f>Bill!$Y221</f>
        <v>45779</v>
      </c>
      <c r="B221" s="43">
        <f>'Raw Data'!E223+Bill!$L$2</f>
        <v>146</v>
      </c>
      <c r="C221" s="43">
        <f>'Raw Data'!E223+Bill!$M$2</f>
        <v>151</v>
      </c>
      <c r="D221" s="43">
        <f>('Raw Data'!$F223*2)-10</f>
        <v>244</v>
      </c>
      <c r="E221" s="43">
        <f>'Raw Data'!F223+Bill!$O$2</f>
        <v>147</v>
      </c>
      <c r="F221" s="43">
        <f>'Raw Data'!F223+Bill!$P$2</f>
        <v>152</v>
      </c>
      <c r="G221" s="43"/>
      <c r="H221" s="43">
        <f>('Raw Data'!F223+Bill!$R$2)</f>
        <v>147</v>
      </c>
      <c r="I221" s="36">
        <f>'Raw Data'!G223/100</f>
        <v>4.95</v>
      </c>
      <c r="K221" s="37">
        <f>Bill!$Y221</f>
        <v>45779</v>
      </c>
      <c r="L221" s="38">
        <f>Bill!$AA221*('Raw Data'!$E223+$L$2)</f>
        <v>0</v>
      </c>
      <c r="M221" s="38">
        <f>Bill!$AB221*('Raw Data'!$E223+$M$2)</f>
        <v>3065.3</v>
      </c>
      <c r="N221" s="38">
        <f>(('Raw Data'!$F223 * 2)-10)*Bill!$AC221</f>
        <v>1708</v>
      </c>
      <c r="O221" s="38">
        <f>('Raw Data'!F223+Bill!$O$2)*Bill!$AD221</f>
        <v>0</v>
      </c>
      <c r="P221" s="38">
        <f>('Raw Data'!F223+Bill!$P$2)*Bill!$AE221</f>
        <v>304</v>
      </c>
      <c r="Q221" s="38">
        <f>Bill!$Z221*('Raw Data'!$E223+$Q$2)</f>
        <v>0</v>
      </c>
      <c r="R221" s="38">
        <f>('Raw Data'!F223+Bill!$R$2)*Bill!$AF221</f>
        <v>0</v>
      </c>
      <c r="S221" s="48">
        <f>('Raw Data'!G223/100)*Bill!$AG221</f>
        <v>742.5</v>
      </c>
      <c r="T221" s="38">
        <f>SUM(Bill!$L221:$R221)</f>
        <v>5077.3</v>
      </c>
      <c r="U221" s="49">
        <v>5087.0</v>
      </c>
      <c r="V221" s="50"/>
      <c r="W221" s="38">
        <f>Bill!$U221-Bill!$T221</f>
        <v>9.7</v>
      </c>
      <c r="Y221" s="37">
        <f>'Raw Data'!D223</f>
        <v>45779</v>
      </c>
      <c r="Z221" s="41">
        <v>0.0</v>
      </c>
      <c r="AA221" s="47">
        <v>0.0</v>
      </c>
      <c r="AB221" s="47">
        <v>20.3</v>
      </c>
      <c r="AC221" s="47">
        <v>7.0</v>
      </c>
      <c r="AD221" s="47">
        <v>0.0</v>
      </c>
      <c r="AE221" s="47">
        <v>2.0</v>
      </c>
      <c r="AF221" s="47">
        <v>0.0</v>
      </c>
      <c r="AG221" s="47">
        <v>150.0</v>
      </c>
    </row>
    <row r="222" ht="15.75" customHeight="1">
      <c r="A222" s="35">
        <f>Bill!$Y222</f>
        <v>45780</v>
      </c>
      <c r="B222" s="43">
        <f>'Raw Data'!E224+Bill!$L$2</f>
        <v>146</v>
      </c>
      <c r="C222" s="43">
        <f>'Raw Data'!E224+Bill!$M$2</f>
        <v>151</v>
      </c>
      <c r="D222" s="43">
        <f>('Raw Data'!$F224*2)-10</f>
        <v>252</v>
      </c>
      <c r="E222" s="43">
        <f>'Raw Data'!F224+Bill!$O$2</f>
        <v>151</v>
      </c>
      <c r="F222" s="43">
        <f>'Raw Data'!F224+Bill!$P$2</f>
        <v>156</v>
      </c>
      <c r="G222" s="43"/>
      <c r="H222" s="43">
        <f>('Raw Data'!F224+Bill!$R$2)</f>
        <v>151</v>
      </c>
      <c r="I222" s="36">
        <f>'Raw Data'!G224/100</f>
        <v>5.05</v>
      </c>
      <c r="K222" s="37">
        <f>Bill!$Y222</f>
        <v>45780</v>
      </c>
      <c r="L222" s="38">
        <f>Bill!$AA222*('Raw Data'!$E224+$L$2)</f>
        <v>1408.9</v>
      </c>
      <c r="M222" s="38">
        <f>Bill!$AB222*('Raw Data'!$E224+$M$2)</f>
        <v>755</v>
      </c>
      <c r="N222" s="38">
        <f>(('Raw Data'!$F224 * 2)-10)*Bill!$AC222</f>
        <v>1260</v>
      </c>
      <c r="O222" s="38">
        <f>('Raw Data'!F224+Bill!$O$2)*Bill!$AD222</f>
        <v>392.6</v>
      </c>
      <c r="P222" s="38">
        <f>('Raw Data'!F224+Bill!$P$2)*Bill!$AE222</f>
        <v>0</v>
      </c>
      <c r="Q222" s="38">
        <f>Bill!$Z222*('Raw Data'!$E224+$Q$2)</f>
        <v>0</v>
      </c>
      <c r="R222" s="38">
        <f>('Raw Data'!F224+Bill!$R$2)*Bill!$AF222</f>
        <v>0</v>
      </c>
      <c r="S222" s="48">
        <f>('Raw Data'!G224/100)*Bill!$AG222</f>
        <v>0</v>
      </c>
      <c r="T222" s="38">
        <f>SUM(Bill!$L222:$R222)</f>
        <v>3816.5</v>
      </c>
      <c r="U222" s="49">
        <v>3816.0</v>
      </c>
      <c r="V222" s="50"/>
      <c r="W222" s="38">
        <f>Bill!$U222-Bill!$T222</f>
        <v>-0.5</v>
      </c>
      <c r="Y222" s="37">
        <f>'Raw Data'!D224</f>
        <v>45780</v>
      </c>
      <c r="Z222" s="41">
        <v>0.0</v>
      </c>
      <c r="AA222" s="47">
        <v>9.65</v>
      </c>
      <c r="AB222" s="47">
        <v>5.0</v>
      </c>
      <c r="AC222" s="47">
        <v>5.0</v>
      </c>
      <c r="AD222" s="47">
        <v>2.6</v>
      </c>
      <c r="AE222" s="47">
        <v>0.0</v>
      </c>
      <c r="AF222" s="47">
        <v>0.0</v>
      </c>
      <c r="AG222" s="47">
        <v>0.0</v>
      </c>
    </row>
    <row r="223" ht="15.75" customHeight="1">
      <c r="A223" s="35">
        <f>Bill!$Y223</f>
        <v>45781</v>
      </c>
      <c r="B223" s="43">
        <f>'Raw Data'!E225+Bill!$L$2</f>
        <v>146</v>
      </c>
      <c r="C223" s="43">
        <f>'Raw Data'!E225+Bill!$M$2</f>
        <v>151</v>
      </c>
      <c r="D223" s="43">
        <f>('Raw Data'!$F225*2)-10</f>
        <v>270</v>
      </c>
      <c r="E223" s="43">
        <f>'Raw Data'!F225+Bill!$O$2</f>
        <v>160</v>
      </c>
      <c r="F223" s="43">
        <f>'Raw Data'!F225+Bill!$P$2</f>
        <v>165</v>
      </c>
      <c r="G223" s="43"/>
      <c r="H223" s="43">
        <f>('Raw Data'!F225+Bill!$R$2)</f>
        <v>160</v>
      </c>
      <c r="I223" s="36">
        <f>'Raw Data'!G225/100</f>
        <v>5.15</v>
      </c>
      <c r="K223" s="37">
        <f>Bill!$Y223</f>
        <v>45781</v>
      </c>
      <c r="L223" s="38">
        <f>Bill!$AA223*('Raw Data'!$E225+$L$2)</f>
        <v>1496.5</v>
      </c>
      <c r="M223" s="38">
        <f>Bill!$AB223*('Raw Data'!$E225+$M$2)</f>
        <v>2265</v>
      </c>
      <c r="N223" s="38">
        <f>(('Raw Data'!$F225 * 2)-10)*Bill!$AC223</f>
        <v>1890</v>
      </c>
      <c r="O223" s="38">
        <f>('Raw Data'!F225+Bill!$O$2)*Bill!$AD223</f>
        <v>0</v>
      </c>
      <c r="P223" s="38">
        <f>('Raw Data'!F225+Bill!$P$2)*Bill!$AE223</f>
        <v>660</v>
      </c>
      <c r="Q223" s="38">
        <f>Bill!$Z223*('Raw Data'!$E225+$Q$2)</f>
        <v>0</v>
      </c>
      <c r="R223" s="38">
        <f>('Raw Data'!F225+Bill!$R$2)*Bill!$AF223</f>
        <v>480</v>
      </c>
      <c r="S223" s="48">
        <f>('Raw Data'!G225/100)*Bill!$AG223</f>
        <v>463.5</v>
      </c>
      <c r="T223" s="38">
        <f>SUM(Bill!$L223:$R223)</f>
        <v>6791.5</v>
      </c>
      <c r="U223" s="49">
        <v>6811.0</v>
      </c>
      <c r="V223" s="50"/>
      <c r="W223" s="38">
        <f>Bill!$U223-Bill!$T223</f>
        <v>19.5</v>
      </c>
      <c r="Y223" s="37">
        <f>'Raw Data'!D225</f>
        <v>45781</v>
      </c>
      <c r="Z223" s="41">
        <v>0.0</v>
      </c>
      <c r="AA223" s="47">
        <v>10.25</v>
      </c>
      <c r="AB223" s="47">
        <v>15.0</v>
      </c>
      <c r="AC223" s="47">
        <v>7.0</v>
      </c>
      <c r="AD223" s="47">
        <v>0.0</v>
      </c>
      <c r="AE223" s="47">
        <v>4.0</v>
      </c>
      <c r="AF223" s="47">
        <v>3.0</v>
      </c>
      <c r="AG223" s="47">
        <v>90.0</v>
      </c>
    </row>
    <row r="224" ht="15.75" customHeight="1">
      <c r="A224" s="35">
        <f>Bill!$Y224</f>
        <v>45782</v>
      </c>
      <c r="B224" s="43">
        <f>'Raw Data'!E226+Bill!$L$2</f>
        <v>146</v>
      </c>
      <c r="C224" s="43">
        <f>'Raw Data'!E226+Bill!$M$2</f>
        <v>151</v>
      </c>
      <c r="D224" s="43">
        <f>('Raw Data'!$F226*2)-10</f>
        <v>270</v>
      </c>
      <c r="E224" s="43">
        <f>'Raw Data'!F226+Bill!$O$2</f>
        <v>160</v>
      </c>
      <c r="F224" s="43">
        <f>'Raw Data'!F226+Bill!$P$2</f>
        <v>165</v>
      </c>
      <c r="G224" s="43"/>
      <c r="H224" s="43">
        <f>('Raw Data'!F226+Bill!$R$2)</f>
        <v>160</v>
      </c>
      <c r="I224" s="36">
        <f>'Raw Data'!G226/100</f>
        <v>5.15</v>
      </c>
      <c r="K224" s="37">
        <f>Bill!$Y224</f>
        <v>45782</v>
      </c>
      <c r="L224" s="38">
        <f>Bill!$AA224*('Raw Data'!$E226+$L$2)</f>
        <v>1569.5</v>
      </c>
      <c r="M224" s="38">
        <f>Bill!$AB224*('Raw Data'!$E226+$M$2)</f>
        <v>792.75</v>
      </c>
      <c r="N224" s="38">
        <f>(('Raw Data'!$F226 * 2)-10)*Bill!$AC224</f>
        <v>1350</v>
      </c>
      <c r="O224" s="38">
        <f>('Raw Data'!F226+Bill!$O$2)*Bill!$AD224</f>
        <v>0</v>
      </c>
      <c r="P224" s="38">
        <f>('Raw Data'!F226+Bill!$P$2)*Bill!$AE224</f>
        <v>0</v>
      </c>
      <c r="Q224" s="38">
        <f>Bill!$Z224*('Raw Data'!$E226+$Q$2)</f>
        <v>0</v>
      </c>
      <c r="R224" s="38">
        <f>('Raw Data'!F226+Bill!$R$2)*Bill!$AF224</f>
        <v>0</v>
      </c>
      <c r="S224" s="48">
        <f>('Raw Data'!G226/100)*Bill!$AG224</f>
        <v>0</v>
      </c>
      <c r="T224" s="38">
        <f>SUM(Bill!$L224:$R224)</f>
        <v>3712.25</v>
      </c>
      <c r="U224" s="49">
        <v>3744.0</v>
      </c>
      <c r="V224" s="50"/>
      <c r="W224" s="38">
        <f>Bill!$U224-Bill!$T224</f>
        <v>31.75</v>
      </c>
      <c r="Y224" s="37">
        <f>'Raw Data'!D226</f>
        <v>45782</v>
      </c>
      <c r="Z224" s="41">
        <v>0.0</v>
      </c>
      <c r="AA224" s="47">
        <v>10.75</v>
      </c>
      <c r="AB224" s="47">
        <v>5.25</v>
      </c>
      <c r="AC224" s="47">
        <v>5.0</v>
      </c>
      <c r="AD224" s="47">
        <v>0.0</v>
      </c>
      <c r="AE224" s="47">
        <v>0.0</v>
      </c>
      <c r="AF224" s="47">
        <v>0.0</v>
      </c>
      <c r="AG224" s="47">
        <v>0.0</v>
      </c>
    </row>
    <row r="225" ht="15.75" customHeight="1">
      <c r="A225" s="35">
        <f>Bill!$Y225</f>
        <v>45783</v>
      </c>
      <c r="B225" s="43">
        <f>'Raw Data'!E227+Bill!$L$2</f>
        <v>152</v>
      </c>
      <c r="C225" s="43">
        <f>'Raw Data'!E227+Bill!$M$2</f>
        <v>157</v>
      </c>
      <c r="D225" s="43">
        <f>('Raw Data'!$F227*2)-10</f>
        <v>280</v>
      </c>
      <c r="E225" s="43">
        <f>'Raw Data'!F227+Bill!$O$2</f>
        <v>165</v>
      </c>
      <c r="F225" s="43">
        <f>'Raw Data'!F227+Bill!$P$2</f>
        <v>170</v>
      </c>
      <c r="G225" s="43"/>
      <c r="H225" s="43">
        <f>('Raw Data'!F227+Bill!$R$2)</f>
        <v>165</v>
      </c>
      <c r="I225" s="36">
        <f>'Raw Data'!G227/100</f>
        <v>5.35</v>
      </c>
      <c r="K225" s="37">
        <f>Bill!$Y225</f>
        <v>45783</v>
      </c>
      <c r="L225" s="38">
        <f>Bill!$AA225*('Raw Data'!$E227+$L$2)</f>
        <v>0</v>
      </c>
      <c r="M225" s="38">
        <f>Bill!$AB225*('Raw Data'!$E227+$M$2)</f>
        <v>1585.7</v>
      </c>
      <c r="N225" s="38">
        <f>(('Raw Data'!$F227 * 2)-10)*Bill!$AC225</f>
        <v>840</v>
      </c>
      <c r="O225" s="38">
        <f>('Raw Data'!F227+Bill!$O$2)*Bill!$AD225</f>
        <v>0</v>
      </c>
      <c r="P225" s="38">
        <f>('Raw Data'!F227+Bill!$P$2)*Bill!$AE225</f>
        <v>340</v>
      </c>
      <c r="Q225" s="38">
        <f>Bill!$Z225*('Raw Data'!$E227+$Q$2)</f>
        <v>0</v>
      </c>
      <c r="R225" s="38">
        <f>('Raw Data'!F227+Bill!$R$2)*Bill!$AF225</f>
        <v>0</v>
      </c>
      <c r="S225" s="48">
        <f>('Raw Data'!G227/100)*Bill!$AG225</f>
        <v>481.5</v>
      </c>
      <c r="T225" s="38">
        <f>SUM(Bill!$L225:$R225)</f>
        <v>2765.7</v>
      </c>
      <c r="U225" s="49">
        <v>2775.0</v>
      </c>
      <c r="V225" s="50"/>
      <c r="W225" s="38">
        <f>Bill!$U225-Bill!$T225</f>
        <v>9.3</v>
      </c>
      <c r="Y225" s="37">
        <f>'Raw Data'!D227</f>
        <v>45783</v>
      </c>
      <c r="Z225" s="41">
        <v>0.0</v>
      </c>
      <c r="AA225" s="47">
        <v>0.0</v>
      </c>
      <c r="AB225" s="47">
        <v>10.1</v>
      </c>
      <c r="AC225" s="47">
        <v>3.0</v>
      </c>
      <c r="AD225" s="47">
        <v>0.0</v>
      </c>
      <c r="AE225" s="47">
        <v>2.0</v>
      </c>
      <c r="AF225" s="47">
        <v>0.0</v>
      </c>
      <c r="AG225" s="47">
        <v>90.0</v>
      </c>
    </row>
    <row r="226" ht="15.75" customHeight="1">
      <c r="A226" s="35">
        <f>Bill!$Y226</f>
        <v>45784</v>
      </c>
      <c r="B226" s="43">
        <f>'Raw Data'!E228+Bill!$L$2</f>
        <v>154</v>
      </c>
      <c r="C226" s="43">
        <f>'Raw Data'!E228+Bill!$M$2</f>
        <v>159</v>
      </c>
      <c r="D226" s="43">
        <f>('Raw Data'!$F228*2)-10</f>
        <v>280</v>
      </c>
      <c r="E226" s="43">
        <f>'Raw Data'!F228+Bill!$O$2</f>
        <v>165</v>
      </c>
      <c r="F226" s="43">
        <f>'Raw Data'!F228+Bill!$P$2</f>
        <v>170</v>
      </c>
      <c r="G226" s="43"/>
      <c r="H226" s="43">
        <f>('Raw Data'!F228+Bill!$R$2)</f>
        <v>165</v>
      </c>
      <c r="I226" s="36">
        <f>'Raw Data'!G228/100</f>
        <v>5.4</v>
      </c>
      <c r="K226" s="37">
        <f>Bill!$Y226</f>
        <v>45784</v>
      </c>
      <c r="L226" s="38">
        <f>Bill!$AA226*('Raw Data'!$E228+$L$2)</f>
        <v>754.6</v>
      </c>
      <c r="M226" s="38">
        <f>Bill!$AB226*('Raw Data'!$E228+$M$2)</f>
        <v>795</v>
      </c>
      <c r="N226" s="38">
        <f>(('Raw Data'!$F228 * 2)-10)*Bill!$AC226</f>
        <v>1400</v>
      </c>
      <c r="O226" s="38">
        <f>('Raw Data'!F228+Bill!$O$2)*Bill!$AD226</f>
        <v>0</v>
      </c>
      <c r="P226" s="38">
        <f>('Raw Data'!F228+Bill!$P$2)*Bill!$AE226</f>
        <v>0</v>
      </c>
      <c r="Q226" s="38">
        <f>Bill!$Z226*('Raw Data'!$E228+$Q$2)</f>
        <v>0</v>
      </c>
      <c r="R226" s="38">
        <f>('Raw Data'!F228+Bill!$R$2)*Bill!$AF226</f>
        <v>0</v>
      </c>
      <c r="S226" s="48">
        <f>('Raw Data'!G228/100)*Bill!$AG226</f>
        <v>0</v>
      </c>
      <c r="T226" s="38">
        <f>SUM(Bill!$L226:$R226)</f>
        <v>2949.6</v>
      </c>
      <c r="U226" s="49">
        <v>2949.0</v>
      </c>
      <c r="V226" s="50"/>
      <c r="W226" s="38">
        <f>Bill!$U226-Bill!$T226</f>
        <v>-0.6</v>
      </c>
      <c r="Y226" s="37">
        <f>'Raw Data'!D228</f>
        <v>45784</v>
      </c>
      <c r="Z226" s="41">
        <v>0.0</v>
      </c>
      <c r="AA226" s="47">
        <v>4.9</v>
      </c>
      <c r="AB226" s="47">
        <v>5.0</v>
      </c>
      <c r="AC226" s="47">
        <v>5.0</v>
      </c>
      <c r="AD226" s="47">
        <v>0.0</v>
      </c>
      <c r="AE226" s="47">
        <v>0.0</v>
      </c>
      <c r="AF226" s="47">
        <v>0.0</v>
      </c>
      <c r="AG226" s="47">
        <v>0.0</v>
      </c>
    </row>
    <row r="227" ht="15.75" customHeight="1">
      <c r="A227" s="35">
        <f>Bill!$Y227</f>
        <v>45785</v>
      </c>
      <c r="B227" s="43">
        <f>'Raw Data'!E229+Bill!$L$2</f>
        <v>154</v>
      </c>
      <c r="C227" s="43">
        <f>'Raw Data'!E229+Bill!$M$2</f>
        <v>159</v>
      </c>
      <c r="D227" s="43">
        <f>('Raw Data'!$F229*2)-10</f>
        <v>280</v>
      </c>
      <c r="E227" s="43">
        <f>'Raw Data'!F229+Bill!$O$2</f>
        <v>165</v>
      </c>
      <c r="F227" s="43">
        <f>'Raw Data'!F229+Bill!$P$2</f>
        <v>170</v>
      </c>
      <c r="G227" s="43"/>
      <c r="H227" s="43">
        <f>('Raw Data'!F229+Bill!$R$2)</f>
        <v>165</v>
      </c>
      <c r="I227" s="36">
        <f>'Raw Data'!G229/100</f>
        <v>5.4</v>
      </c>
      <c r="K227" s="37">
        <f>Bill!$Y227</f>
        <v>45785</v>
      </c>
      <c r="L227" s="38">
        <f>Bill!$AA227*('Raw Data'!$E229+$L$2)</f>
        <v>1524.6</v>
      </c>
      <c r="M227" s="38">
        <f>Bill!$AB227*('Raw Data'!$E229+$M$2)</f>
        <v>1605.9</v>
      </c>
      <c r="N227" s="38">
        <f>(('Raw Data'!$F229 * 2)-10)*Bill!$AC227</f>
        <v>840</v>
      </c>
      <c r="O227" s="38">
        <f>('Raw Data'!F229+Bill!$O$2)*Bill!$AD227</f>
        <v>0</v>
      </c>
      <c r="P227" s="38">
        <f>('Raw Data'!F229+Bill!$P$2)*Bill!$AE227</f>
        <v>340</v>
      </c>
      <c r="Q227" s="38">
        <f>Bill!$Z227*('Raw Data'!$E229+$Q$2)</f>
        <v>0</v>
      </c>
      <c r="R227" s="38">
        <f>('Raw Data'!F229+Bill!$R$2)*Bill!$AF227</f>
        <v>0</v>
      </c>
      <c r="S227" s="48">
        <f>('Raw Data'!G229/100)*Bill!$AG227</f>
        <v>0</v>
      </c>
      <c r="T227" s="38">
        <f>SUM(Bill!$L227:$R227)</f>
        <v>4310.5</v>
      </c>
      <c r="U227" s="49">
        <v>4325.0</v>
      </c>
      <c r="V227" s="50"/>
      <c r="W227" s="38">
        <f>Bill!$U227-Bill!$T227</f>
        <v>14.5</v>
      </c>
      <c r="Y227" s="37">
        <f>'Raw Data'!D229</f>
        <v>45785</v>
      </c>
      <c r="Z227" s="41">
        <v>0.0</v>
      </c>
      <c r="AA227" s="47">
        <v>9.9</v>
      </c>
      <c r="AB227" s="47">
        <v>10.1</v>
      </c>
      <c r="AC227" s="47">
        <v>3.0</v>
      </c>
      <c r="AD227" s="47">
        <v>0.0</v>
      </c>
      <c r="AE227" s="47">
        <v>2.0</v>
      </c>
      <c r="AF227" s="47">
        <v>0.0</v>
      </c>
      <c r="AG227" s="47">
        <v>0.0</v>
      </c>
    </row>
    <row r="228" ht="15.75" customHeight="1">
      <c r="A228" s="35">
        <f>Bill!$Y228</f>
        <v>45786</v>
      </c>
      <c r="B228" s="43">
        <f>'Raw Data'!E230+Bill!$L$2</f>
        <v>154</v>
      </c>
      <c r="C228" s="43">
        <f>'Raw Data'!E230+Bill!$M$2</f>
        <v>159</v>
      </c>
      <c r="D228" s="43">
        <f>('Raw Data'!$F230*2)-10</f>
        <v>276</v>
      </c>
      <c r="E228" s="43">
        <f>'Raw Data'!F230+Bill!$O$2</f>
        <v>163</v>
      </c>
      <c r="F228" s="43">
        <f>'Raw Data'!F230+Bill!$P$2</f>
        <v>168</v>
      </c>
      <c r="G228" s="43"/>
      <c r="H228" s="43">
        <f>('Raw Data'!F230+Bill!$R$2)</f>
        <v>163</v>
      </c>
      <c r="I228" s="36">
        <f>'Raw Data'!G230/100</f>
        <v>5.45</v>
      </c>
      <c r="K228" s="37">
        <f>Bill!$Y228</f>
        <v>45786</v>
      </c>
      <c r="L228" s="38">
        <f>Bill!$AA228*('Raw Data'!$E230+$L$2)</f>
        <v>0</v>
      </c>
      <c r="M228" s="38">
        <f>Bill!$AB228*('Raw Data'!$E230+$M$2)</f>
        <v>1590</v>
      </c>
      <c r="N228" s="38">
        <f>(('Raw Data'!$F230 * 2)-10)*Bill!$AC228</f>
        <v>1104</v>
      </c>
      <c r="O228" s="38">
        <f>('Raw Data'!F230+Bill!$O$2)*Bill!$AD228</f>
        <v>0</v>
      </c>
      <c r="P228" s="38">
        <f>('Raw Data'!F230+Bill!$P$2)*Bill!$AE228</f>
        <v>0</v>
      </c>
      <c r="Q228" s="38">
        <f>Bill!$Z228*('Raw Data'!$E230+$Q$2)</f>
        <v>0</v>
      </c>
      <c r="R228" s="38">
        <f>('Raw Data'!F230+Bill!$R$2)*Bill!$AF228</f>
        <v>0</v>
      </c>
      <c r="S228" s="48">
        <f>('Raw Data'!G230/100)*Bill!$AG228</f>
        <v>0</v>
      </c>
      <c r="T228" s="38">
        <f>SUM(Bill!$L228:$R228)</f>
        <v>2694</v>
      </c>
      <c r="U228" s="49">
        <v>2694.0</v>
      </c>
      <c r="V228" s="50"/>
      <c r="W228" s="38">
        <f>Bill!$U228-Bill!$T228</f>
        <v>0</v>
      </c>
      <c r="Y228" s="37">
        <f>'Raw Data'!D230</f>
        <v>45786</v>
      </c>
      <c r="Z228" s="41">
        <v>0.0</v>
      </c>
      <c r="AA228" s="47">
        <v>0.0</v>
      </c>
      <c r="AB228" s="47">
        <v>10.0</v>
      </c>
      <c r="AC228" s="47">
        <v>4.0</v>
      </c>
      <c r="AD228" s="47">
        <v>0.0</v>
      </c>
      <c r="AE228" s="47">
        <v>0.0</v>
      </c>
      <c r="AF228" s="47">
        <v>0.0</v>
      </c>
      <c r="AG228" s="47">
        <v>0.0</v>
      </c>
    </row>
    <row r="229" ht="15.75" customHeight="1">
      <c r="A229" s="35">
        <f>Bill!$Y229</f>
        <v>45787</v>
      </c>
      <c r="B229" s="43">
        <f>'Raw Data'!E231+Bill!$L$2</f>
        <v>154</v>
      </c>
      <c r="C229" s="43">
        <f>'Raw Data'!E231+Bill!$M$2</f>
        <v>159</v>
      </c>
      <c r="D229" s="43">
        <f>('Raw Data'!$F231*2)-10</f>
        <v>276</v>
      </c>
      <c r="E229" s="43">
        <f>'Raw Data'!F231+Bill!$O$2</f>
        <v>163</v>
      </c>
      <c r="F229" s="43">
        <f>'Raw Data'!F231+Bill!$P$2</f>
        <v>168</v>
      </c>
      <c r="G229" s="43"/>
      <c r="H229" s="43">
        <f>('Raw Data'!F231+Bill!$R$2)</f>
        <v>163</v>
      </c>
      <c r="I229" s="36">
        <f>'Raw Data'!G231/100</f>
        <v>5.5</v>
      </c>
      <c r="K229" s="37">
        <f>Bill!$Y229</f>
        <v>45787</v>
      </c>
      <c r="L229" s="38">
        <f>Bill!$AA229*('Raw Data'!$E231+$L$2)</f>
        <v>739.2</v>
      </c>
      <c r="M229" s="38">
        <f>Bill!$AB229*('Raw Data'!$E231+$M$2)</f>
        <v>1144.8</v>
      </c>
      <c r="N229" s="38">
        <f>(('Raw Data'!$F231 * 2)-10)*Bill!$AC229</f>
        <v>0</v>
      </c>
      <c r="O229" s="38">
        <f>('Raw Data'!F231+Bill!$O$2)*Bill!$AD229</f>
        <v>0</v>
      </c>
      <c r="P229" s="38">
        <f>('Raw Data'!F231+Bill!$P$2)*Bill!$AE229</f>
        <v>672</v>
      </c>
      <c r="Q229" s="38">
        <f>Bill!$Z229*('Raw Data'!$E231+$Q$2)</f>
        <v>0</v>
      </c>
      <c r="R229" s="38">
        <f>('Raw Data'!F231+Bill!$R$2)*Bill!$AF229</f>
        <v>0</v>
      </c>
      <c r="S229" s="48">
        <f>('Raw Data'!G231/100)*Bill!$AG229</f>
        <v>0</v>
      </c>
      <c r="T229" s="38">
        <f>SUM(Bill!$L229:$R229)</f>
        <v>2556</v>
      </c>
      <c r="U229" s="49">
        <v>2576.0</v>
      </c>
      <c r="V229" s="50"/>
      <c r="W229" s="38">
        <f>Bill!$U229-Bill!$T229</f>
        <v>20</v>
      </c>
      <c r="Y229" s="37">
        <f>'Raw Data'!D231</f>
        <v>45787</v>
      </c>
      <c r="Z229" s="41">
        <v>0.0</v>
      </c>
      <c r="AA229" s="47">
        <v>4.8</v>
      </c>
      <c r="AB229" s="47">
        <v>7.2</v>
      </c>
      <c r="AC229" s="47">
        <v>0.0</v>
      </c>
      <c r="AD229" s="47">
        <v>0.0</v>
      </c>
      <c r="AE229" s="47">
        <v>4.0</v>
      </c>
      <c r="AF229" s="47">
        <v>0.0</v>
      </c>
      <c r="AG229" s="47">
        <v>0.0</v>
      </c>
    </row>
    <row r="230" ht="15.75" customHeight="1">
      <c r="A230" s="35">
        <f>Bill!$Y230</f>
        <v>45788</v>
      </c>
      <c r="B230" s="43">
        <f>'Raw Data'!E232+Bill!$L$2</f>
        <v>154</v>
      </c>
      <c r="C230" s="43">
        <f>'Raw Data'!E232+Bill!$M$2</f>
        <v>159</v>
      </c>
      <c r="D230" s="43">
        <f>('Raw Data'!$F232*2)-10</f>
        <v>280</v>
      </c>
      <c r="E230" s="43">
        <f>'Raw Data'!F232+Bill!$O$2</f>
        <v>165</v>
      </c>
      <c r="F230" s="43">
        <f>'Raw Data'!F232+Bill!$P$2</f>
        <v>170</v>
      </c>
      <c r="G230" s="43"/>
      <c r="H230" s="43">
        <f>('Raw Data'!F232+Bill!$R$2)</f>
        <v>165</v>
      </c>
      <c r="I230" s="36">
        <f>'Raw Data'!G232/100</f>
        <v>5.5</v>
      </c>
      <c r="K230" s="37">
        <f>Bill!$Y230</f>
        <v>45788</v>
      </c>
      <c r="L230" s="38">
        <f>Bill!$AA230*('Raw Data'!$E232+$L$2)</f>
        <v>731.5</v>
      </c>
      <c r="M230" s="38">
        <f>Bill!$AB230*('Raw Data'!$E232+$M$2)</f>
        <v>1590</v>
      </c>
      <c r="N230" s="38">
        <f>(('Raw Data'!$F232 * 2)-10)*Bill!$AC230</f>
        <v>0</v>
      </c>
      <c r="O230" s="38">
        <f>('Raw Data'!F232+Bill!$O$2)*Bill!$AD230</f>
        <v>387.75</v>
      </c>
      <c r="P230" s="38">
        <f>('Raw Data'!F232+Bill!$P$2)*Bill!$AE230</f>
        <v>340</v>
      </c>
      <c r="Q230" s="38">
        <f>Bill!$Z230*('Raw Data'!$E232+$Q$2)</f>
        <v>0</v>
      </c>
      <c r="R230" s="38">
        <f>('Raw Data'!F232+Bill!$R$2)*Bill!$AF230</f>
        <v>0</v>
      </c>
      <c r="S230" s="48">
        <f>('Raw Data'!G232/100)*Bill!$AG230</f>
        <v>825</v>
      </c>
      <c r="T230" s="38">
        <f>SUM(Bill!$L230:$R230)</f>
        <v>3049.25</v>
      </c>
      <c r="U230" s="49">
        <v>3059.0</v>
      </c>
      <c r="V230" s="50"/>
      <c r="W230" s="38">
        <f>Bill!$U230-Bill!$T230</f>
        <v>9.75</v>
      </c>
      <c r="Y230" s="37">
        <f>'Raw Data'!D232</f>
        <v>45788</v>
      </c>
      <c r="Z230" s="41">
        <v>0.0</v>
      </c>
      <c r="AA230" s="47">
        <v>4.75</v>
      </c>
      <c r="AB230" s="47">
        <v>10.0</v>
      </c>
      <c r="AC230" s="47">
        <v>0.0</v>
      </c>
      <c r="AD230" s="47">
        <v>2.35</v>
      </c>
      <c r="AE230" s="47">
        <v>2.0</v>
      </c>
      <c r="AF230" s="47">
        <v>0.0</v>
      </c>
      <c r="AG230" s="47">
        <v>150.0</v>
      </c>
    </row>
    <row r="231" ht="15.75" customHeight="1">
      <c r="A231" s="35">
        <f>Bill!$Y231</f>
        <v>45789</v>
      </c>
      <c r="B231" s="43">
        <f>'Raw Data'!E233+Bill!$L$2</f>
        <v>154</v>
      </c>
      <c r="C231" s="43">
        <f>'Raw Data'!E233+Bill!$M$2</f>
        <v>159</v>
      </c>
      <c r="D231" s="43">
        <f>('Raw Data'!$F233*2)-10</f>
        <v>280</v>
      </c>
      <c r="E231" s="43">
        <f>'Raw Data'!F233+Bill!$O$2</f>
        <v>165</v>
      </c>
      <c r="F231" s="43">
        <f>'Raw Data'!F233+Bill!$P$2</f>
        <v>170</v>
      </c>
      <c r="G231" s="43"/>
      <c r="H231" s="43">
        <f>('Raw Data'!F233+Bill!$R$2)</f>
        <v>165</v>
      </c>
      <c r="I231" s="36">
        <f>'Raw Data'!G233/100</f>
        <v>5.5</v>
      </c>
      <c r="K231" s="37">
        <f>Bill!$Y231</f>
        <v>45789</v>
      </c>
      <c r="L231" s="38">
        <f>Bill!$AA231*('Raw Data'!$E233+$L$2)</f>
        <v>816.2</v>
      </c>
      <c r="M231" s="38">
        <f>Bill!$AB231*('Raw Data'!$E233+$M$2)</f>
        <v>2385</v>
      </c>
      <c r="N231" s="38">
        <f>(('Raw Data'!$F233 * 2)-10)*Bill!$AC231</f>
        <v>0</v>
      </c>
      <c r="O231" s="38">
        <f>('Raw Data'!F233+Bill!$O$2)*Bill!$AD231</f>
        <v>0</v>
      </c>
      <c r="P231" s="38">
        <f>('Raw Data'!F233+Bill!$P$2)*Bill!$AE231</f>
        <v>0</v>
      </c>
      <c r="Q231" s="38">
        <f>Bill!$Z231*('Raw Data'!$E233+$Q$2)</f>
        <v>0</v>
      </c>
      <c r="R231" s="38">
        <f>('Raw Data'!F233+Bill!$R$2)*Bill!$AF231</f>
        <v>412.5</v>
      </c>
      <c r="S231" s="48">
        <f>('Raw Data'!G233/100)*Bill!$AG231</f>
        <v>0</v>
      </c>
      <c r="T231" s="38">
        <f>SUM(Bill!$L231:$R231)</f>
        <v>3613.7</v>
      </c>
      <c r="U231" s="49">
        <v>3613.0</v>
      </c>
      <c r="V231" s="50"/>
      <c r="W231" s="38">
        <f>Bill!$U231-Bill!$T231</f>
        <v>-0.7</v>
      </c>
      <c r="Y231" s="37">
        <f>'Raw Data'!D233</f>
        <v>45789</v>
      </c>
      <c r="Z231" s="41">
        <v>0.0</v>
      </c>
      <c r="AA231" s="47">
        <v>5.3</v>
      </c>
      <c r="AB231" s="47">
        <v>15.0</v>
      </c>
      <c r="AC231" s="47">
        <v>0.0</v>
      </c>
      <c r="AD231" s="47">
        <v>0.0</v>
      </c>
      <c r="AE231" s="47">
        <v>0.0</v>
      </c>
      <c r="AF231" s="47">
        <v>2.5</v>
      </c>
      <c r="AG231" s="47">
        <v>0.0</v>
      </c>
    </row>
    <row r="232" ht="15.75" customHeight="1">
      <c r="A232" s="35">
        <f>Bill!$Y232</f>
        <v>45790</v>
      </c>
      <c r="B232" s="43">
        <f>'Raw Data'!E234+Bill!$L$2</f>
        <v>154</v>
      </c>
      <c r="C232" s="43">
        <f>'Raw Data'!E234+Bill!$M$2</f>
        <v>159</v>
      </c>
      <c r="D232" s="43">
        <f>('Raw Data'!$F234*2)-10</f>
        <v>276</v>
      </c>
      <c r="E232" s="43">
        <f>'Raw Data'!F234+Bill!$O$2</f>
        <v>163</v>
      </c>
      <c r="F232" s="43">
        <f>'Raw Data'!F234+Bill!$P$2</f>
        <v>168</v>
      </c>
      <c r="G232" s="43"/>
      <c r="H232" s="43">
        <f>('Raw Data'!F234+Bill!$R$2)</f>
        <v>163</v>
      </c>
      <c r="I232" s="36">
        <f>'Raw Data'!G234/100</f>
        <v>5.5</v>
      </c>
      <c r="K232" s="37">
        <f>Bill!$Y232</f>
        <v>45790</v>
      </c>
      <c r="L232" s="38">
        <f>Bill!$AA232*('Raw Data'!$E234+$L$2)</f>
        <v>0</v>
      </c>
      <c r="M232" s="38">
        <f>Bill!$AB232*('Raw Data'!$E234+$M$2)</f>
        <v>795</v>
      </c>
      <c r="N232" s="38">
        <f>(('Raw Data'!$F234 * 2)-10)*Bill!$AC232</f>
        <v>0</v>
      </c>
      <c r="O232" s="38">
        <f>('Raw Data'!F234+Bill!$O$2)*Bill!$AD232</f>
        <v>0</v>
      </c>
      <c r="P232" s="38">
        <f>('Raw Data'!F234+Bill!$P$2)*Bill!$AE232</f>
        <v>0</v>
      </c>
      <c r="Q232" s="38">
        <f>Bill!$Z232*('Raw Data'!$E234+$Q$2)</f>
        <v>0</v>
      </c>
      <c r="R232" s="38">
        <f>('Raw Data'!F234+Bill!$R$2)*Bill!$AF232</f>
        <v>0</v>
      </c>
      <c r="S232" s="48">
        <f>('Raw Data'!G234/100)*Bill!$AG232</f>
        <v>0</v>
      </c>
      <c r="T232" s="38">
        <f>SUM(Bill!$L232:$R232)</f>
        <v>795</v>
      </c>
      <c r="U232" s="49">
        <v>795.0</v>
      </c>
      <c r="V232" s="50"/>
      <c r="W232" s="38">
        <f>Bill!$U232-Bill!$T232</f>
        <v>0</v>
      </c>
      <c r="Y232" s="37">
        <f>'Raw Data'!D234</f>
        <v>45790</v>
      </c>
      <c r="Z232" s="41">
        <v>0.0</v>
      </c>
      <c r="AA232" s="47">
        <v>0.0</v>
      </c>
      <c r="AB232" s="47">
        <v>5.0</v>
      </c>
      <c r="AC232" s="47">
        <v>0.0</v>
      </c>
      <c r="AD232" s="47">
        <v>0.0</v>
      </c>
      <c r="AE232" s="47">
        <v>0.0</v>
      </c>
      <c r="AF232" s="47">
        <v>0.0</v>
      </c>
      <c r="AG232" s="47">
        <v>0.0</v>
      </c>
    </row>
    <row r="233" ht="15.75" customHeight="1">
      <c r="A233" s="35">
        <f>Bill!$Y233</f>
        <v>45791</v>
      </c>
      <c r="B233" s="43">
        <f>'Raw Data'!E235+Bill!$L$2</f>
        <v>154</v>
      </c>
      <c r="C233" s="43">
        <f>'Raw Data'!E235+Bill!$M$2</f>
        <v>159</v>
      </c>
      <c r="D233" s="43">
        <f>('Raw Data'!$F235*2)-10</f>
        <v>276</v>
      </c>
      <c r="E233" s="43">
        <f>'Raw Data'!F235+Bill!$O$2</f>
        <v>163</v>
      </c>
      <c r="F233" s="43">
        <f>'Raw Data'!F235+Bill!$P$2</f>
        <v>168</v>
      </c>
      <c r="G233" s="43"/>
      <c r="H233" s="43">
        <f>('Raw Data'!F235+Bill!$R$2)</f>
        <v>163</v>
      </c>
      <c r="I233" s="36">
        <f>'Raw Data'!G235/100</f>
        <v>5.5</v>
      </c>
      <c r="K233" s="37">
        <f>Bill!$Y233</f>
        <v>45791</v>
      </c>
      <c r="L233" s="38">
        <f>Bill!$AA233*('Raw Data'!$E235+$L$2)</f>
        <v>1208.9</v>
      </c>
      <c r="M233" s="38">
        <f>Bill!$AB233*('Raw Data'!$E235+$M$2)</f>
        <v>1621.8</v>
      </c>
      <c r="N233" s="38">
        <f>(('Raw Data'!$F235 * 2)-10)*Bill!$AC233</f>
        <v>828</v>
      </c>
      <c r="O233" s="38">
        <f>('Raw Data'!F235+Bill!$O$2)*Bill!$AD233</f>
        <v>0</v>
      </c>
      <c r="P233" s="38">
        <f>('Raw Data'!F235+Bill!$P$2)*Bill!$AE233</f>
        <v>336</v>
      </c>
      <c r="Q233" s="38">
        <f>Bill!$Z233*('Raw Data'!$E235+$Q$2)</f>
        <v>0</v>
      </c>
      <c r="R233" s="38">
        <f>('Raw Data'!F235+Bill!$R$2)*Bill!$AF233</f>
        <v>0</v>
      </c>
      <c r="S233" s="48">
        <f>('Raw Data'!G235/100)*Bill!$AG233</f>
        <v>0</v>
      </c>
      <c r="T233" s="38">
        <f>SUM(Bill!$L233:$R233)</f>
        <v>3994.7</v>
      </c>
      <c r="U233" s="49">
        <v>4004.0</v>
      </c>
      <c r="V233" s="50"/>
      <c r="W233" s="38">
        <f>Bill!$U233-Bill!$T233</f>
        <v>9.3</v>
      </c>
      <c r="Y233" s="37">
        <f>'Raw Data'!D235</f>
        <v>45791</v>
      </c>
      <c r="Z233" s="41">
        <v>0.0</v>
      </c>
      <c r="AA233" s="47">
        <v>7.85</v>
      </c>
      <c r="AB233" s="47">
        <v>10.2</v>
      </c>
      <c r="AC233" s="47">
        <v>3.0</v>
      </c>
      <c r="AD233" s="47">
        <v>0.0</v>
      </c>
      <c r="AE233" s="47">
        <v>2.0</v>
      </c>
      <c r="AF233" s="47">
        <v>0.0</v>
      </c>
      <c r="AG233" s="47">
        <v>0.0</v>
      </c>
    </row>
    <row r="234" ht="15.75" customHeight="1">
      <c r="A234" s="35">
        <f>Bill!$Y234</f>
        <v>45792</v>
      </c>
      <c r="B234" s="43">
        <f>'Raw Data'!E236+Bill!$L$2</f>
        <v>154</v>
      </c>
      <c r="C234" s="43">
        <f>'Raw Data'!E236+Bill!$M$2</f>
        <v>159</v>
      </c>
      <c r="D234" s="43">
        <f>('Raw Data'!$F236*2)-10</f>
        <v>278</v>
      </c>
      <c r="E234" s="43">
        <f>'Raw Data'!F236+Bill!$O$2</f>
        <v>164</v>
      </c>
      <c r="F234" s="43">
        <f>'Raw Data'!F236+Bill!$P$2</f>
        <v>169</v>
      </c>
      <c r="G234" s="43"/>
      <c r="H234" s="43">
        <f>('Raw Data'!F236+Bill!$R$2)</f>
        <v>164</v>
      </c>
      <c r="I234" s="36">
        <f>'Raw Data'!G236/100</f>
        <v>5.6</v>
      </c>
      <c r="K234" s="37">
        <f>Bill!$Y234</f>
        <v>45792</v>
      </c>
      <c r="L234" s="38">
        <f>Bill!$AA234*('Raw Data'!$E236+$L$2)</f>
        <v>816.2</v>
      </c>
      <c r="M234" s="38">
        <f>Bill!$AB234*('Raw Data'!$E236+$M$2)</f>
        <v>2385</v>
      </c>
      <c r="N234" s="38">
        <f>(('Raw Data'!$F236 * 2)-10)*Bill!$AC234</f>
        <v>0</v>
      </c>
      <c r="O234" s="38">
        <f>('Raw Data'!F236+Bill!$O$2)*Bill!$AD234</f>
        <v>0</v>
      </c>
      <c r="P234" s="38">
        <f>('Raw Data'!F236+Bill!$P$2)*Bill!$AE234</f>
        <v>338</v>
      </c>
      <c r="Q234" s="38">
        <f>Bill!$Z234*('Raw Data'!$E236+$Q$2)</f>
        <v>0</v>
      </c>
      <c r="R234" s="38">
        <f>('Raw Data'!F236+Bill!$R$2)*Bill!$AF234</f>
        <v>0</v>
      </c>
      <c r="S234" s="48">
        <f>('Raw Data'!G236/100)*Bill!$AG234</f>
        <v>840</v>
      </c>
      <c r="T234" s="38">
        <f>SUM(Bill!$L234:$R234)</f>
        <v>3539.2</v>
      </c>
      <c r="U234" s="49">
        <v>3547.0</v>
      </c>
      <c r="V234" s="50"/>
      <c r="W234" s="38">
        <f>Bill!$U234-Bill!$T234</f>
        <v>7.8</v>
      </c>
      <c r="Y234" s="37">
        <f>'Raw Data'!D236</f>
        <v>45792</v>
      </c>
      <c r="Z234" s="41">
        <v>0.0</v>
      </c>
      <c r="AA234" s="47">
        <v>5.3</v>
      </c>
      <c r="AB234" s="47">
        <v>15.0</v>
      </c>
      <c r="AC234" s="47">
        <v>0.0</v>
      </c>
      <c r="AD234" s="47">
        <v>0.0</v>
      </c>
      <c r="AE234" s="47">
        <v>2.0</v>
      </c>
      <c r="AF234" s="47">
        <v>0.0</v>
      </c>
      <c r="AG234" s="47">
        <v>150.0</v>
      </c>
    </row>
    <row r="235" ht="15.75" customHeight="1">
      <c r="A235" s="35">
        <f>Bill!$Y235</f>
        <v>45793</v>
      </c>
      <c r="B235" s="43">
        <f>'Raw Data'!E237+Bill!$L$2</f>
        <v>154</v>
      </c>
      <c r="C235" s="43">
        <f>'Raw Data'!E237+Bill!$M$2</f>
        <v>159</v>
      </c>
      <c r="D235" s="43">
        <f>('Raw Data'!$F237*2)-10</f>
        <v>276</v>
      </c>
      <c r="E235" s="43">
        <f>'Raw Data'!F237+Bill!$O$2</f>
        <v>163</v>
      </c>
      <c r="F235" s="43">
        <f>'Raw Data'!F237+Bill!$P$2</f>
        <v>168</v>
      </c>
      <c r="G235" s="43"/>
      <c r="H235" s="43">
        <f>('Raw Data'!F237+Bill!$R$2)</f>
        <v>163</v>
      </c>
      <c r="I235" s="36">
        <f>'Raw Data'!G237/100</f>
        <v>5.7</v>
      </c>
      <c r="K235" s="37">
        <f>Bill!$Y235</f>
        <v>45793</v>
      </c>
      <c r="L235" s="38">
        <f>Bill!$AA235*('Raw Data'!$E237+$L$2)</f>
        <v>831.6</v>
      </c>
      <c r="M235" s="38">
        <f>Bill!$AB235*('Raw Data'!$E237+$M$2)</f>
        <v>795</v>
      </c>
      <c r="N235" s="38">
        <f>(('Raw Data'!$F237 * 2)-10)*Bill!$AC235</f>
        <v>552</v>
      </c>
      <c r="O235" s="38">
        <f>('Raw Data'!F237+Bill!$O$2)*Bill!$AD235</f>
        <v>0</v>
      </c>
      <c r="P235" s="38">
        <f>('Raw Data'!F237+Bill!$P$2)*Bill!$AE235</f>
        <v>0</v>
      </c>
      <c r="Q235" s="38">
        <f>Bill!$Z235*('Raw Data'!$E237+$Q$2)</f>
        <v>0</v>
      </c>
      <c r="R235" s="38">
        <f>('Raw Data'!F237+Bill!$R$2)*Bill!$AF235</f>
        <v>0</v>
      </c>
      <c r="S235" s="48">
        <f>('Raw Data'!G237/100)*Bill!$AG235</f>
        <v>0</v>
      </c>
      <c r="T235" s="38">
        <f>SUM(Bill!$L235:$R235)</f>
        <v>2178.6</v>
      </c>
      <c r="U235" s="49">
        <v>2178.0</v>
      </c>
      <c r="V235" s="50"/>
      <c r="W235" s="38">
        <f>Bill!$U235-Bill!$T235</f>
        <v>-0.6</v>
      </c>
      <c r="Y235" s="37">
        <f>'Raw Data'!D237</f>
        <v>45793</v>
      </c>
      <c r="Z235" s="41">
        <v>0.0</v>
      </c>
      <c r="AA235" s="47">
        <v>5.4</v>
      </c>
      <c r="AB235" s="47">
        <v>5.0</v>
      </c>
      <c r="AC235" s="47">
        <v>2.0</v>
      </c>
      <c r="AD235" s="47">
        <v>0.0</v>
      </c>
      <c r="AE235" s="47">
        <v>0.0</v>
      </c>
      <c r="AF235" s="47">
        <v>0.0</v>
      </c>
      <c r="AG235" s="47">
        <v>0.0</v>
      </c>
    </row>
    <row r="236" ht="15.75" customHeight="1">
      <c r="A236" s="35">
        <f>Bill!$Y236</f>
        <v>45794</v>
      </c>
      <c r="B236" s="43">
        <f>'Raw Data'!E238+Bill!$L$2</f>
        <v>154</v>
      </c>
      <c r="C236" s="43">
        <f>'Raw Data'!E238+Bill!$M$2</f>
        <v>159</v>
      </c>
      <c r="D236" s="43">
        <f>('Raw Data'!$F238*2)-10</f>
        <v>276</v>
      </c>
      <c r="E236" s="43">
        <f>'Raw Data'!F238+Bill!$O$2</f>
        <v>163</v>
      </c>
      <c r="F236" s="43">
        <f>'Raw Data'!F238+Bill!$P$2</f>
        <v>168</v>
      </c>
      <c r="G236" s="43"/>
      <c r="H236" s="43">
        <f>('Raw Data'!F238+Bill!$R$2)</f>
        <v>163</v>
      </c>
      <c r="I236" s="36">
        <f>'Raw Data'!G238/100</f>
        <v>5.8</v>
      </c>
      <c r="K236" s="37">
        <f>Bill!$Y236</f>
        <v>45794</v>
      </c>
      <c r="L236" s="38">
        <f>Bill!$AA236*('Raw Data'!$E238+$L$2)</f>
        <v>1001</v>
      </c>
      <c r="M236" s="38">
        <f>Bill!$AB236*('Raw Data'!$E238+$M$2)</f>
        <v>2416.8</v>
      </c>
      <c r="N236" s="38">
        <f>(('Raw Data'!$F238 * 2)-10)*Bill!$AC236</f>
        <v>1380</v>
      </c>
      <c r="O236" s="38">
        <f>('Raw Data'!F238+Bill!$O$2)*Bill!$AD236</f>
        <v>366.75</v>
      </c>
      <c r="P236" s="38">
        <f>('Raw Data'!F238+Bill!$P$2)*Bill!$AE236</f>
        <v>336</v>
      </c>
      <c r="Q236" s="38">
        <f>Bill!$Z236*('Raw Data'!$E238+$Q$2)</f>
        <v>0</v>
      </c>
      <c r="R236" s="38">
        <f>('Raw Data'!F238+Bill!$R$2)*Bill!$AF236</f>
        <v>0</v>
      </c>
      <c r="S236" s="48">
        <f>('Raw Data'!G238/100)*Bill!$AG236</f>
        <v>0</v>
      </c>
      <c r="T236" s="38">
        <f>SUM(Bill!$L236:$R236)</f>
        <v>5500.55</v>
      </c>
      <c r="U236" s="49">
        <v>5502.0</v>
      </c>
      <c r="V236" s="50"/>
      <c r="W236" s="38">
        <f>Bill!$U236-Bill!$T236</f>
        <v>1.45</v>
      </c>
      <c r="Y236" s="37">
        <f>'Raw Data'!D238</f>
        <v>45794</v>
      </c>
      <c r="Z236" s="41">
        <v>0.0</v>
      </c>
      <c r="AA236" s="47">
        <v>6.5</v>
      </c>
      <c r="AB236" s="47">
        <v>15.2</v>
      </c>
      <c r="AC236" s="47">
        <v>5.0</v>
      </c>
      <c r="AD236" s="47">
        <v>2.25</v>
      </c>
      <c r="AE236" s="47">
        <v>2.0</v>
      </c>
      <c r="AF236" s="47">
        <v>0.0</v>
      </c>
      <c r="AG236" s="47">
        <v>0.0</v>
      </c>
    </row>
    <row r="237" ht="15.75" customHeight="1">
      <c r="A237" s="35">
        <f>Bill!$Y237</f>
        <v>45795</v>
      </c>
      <c r="B237" s="43">
        <f>'Raw Data'!E239+Bill!$L$2</f>
        <v>154</v>
      </c>
      <c r="C237" s="43">
        <f>'Raw Data'!E239+Bill!$M$2</f>
        <v>159</v>
      </c>
      <c r="D237" s="43">
        <f>('Raw Data'!$F239*2)-10</f>
        <v>284</v>
      </c>
      <c r="E237" s="43">
        <f>'Raw Data'!F239+Bill!$O$2</f>
        <v>167</v>
      </c>
      <c r="F237" s="43">
        <f>'Raw Data'!F239+Bill!$P$2</f>
        <v>172</v>
      </c>
      <c r="G237" s="43"/>
      <c r="H237" s="43">
        <f>('Raw Data'!F239+Bill!$R$2)</f>
        <v>167</v>
      </c>
      <c r="I237" s="36">
        <f>'Raw Data'!G239/100</f>
        <v>5.9</v>
      </c>
      <c r="K237" s="37">
        <f>Bill!$Y237</f>
        <v>45795</v>
      </c>
      <c r="L237" s="38">
        <f>Bill!$AA237*('Raw Data'!$E239+$L$2)</f>
        <v>0</v>
      </c>
      <c r="M237" s="38">
        <f>Bill!$AB237*('Raw Data'!$E239+$M$2)</f>
        <v>0</v>
      </c>
      <c r="N237" s="38">
        <f>(('Raw Data'!$F239 * 2)-10)*Bill!$AC237</f>
        <v>1420</v>
      </c>
      <c r="O237" s="38">
        <f>('Raw Data'!F239+Bill!$O$2)*Bill!$AD237</f>
        <v>0</v>
      </c>
      <c r="P237" s="38">
        <f>('Raw Data'!F239+Bill!$P$2)*Bill!$AE237</f>
        <v>0</v>
      </c>
      <c r="Q237" s="38">
        <f>Bill!$Z237*('Raw Data'!$E239+$Q$2)</f>
        <v>0</v>
      </c>
      <c r="R237" s="38">
        <f>('Raw Data'!F239+Bill!$R$2)*Bill!$AF237</f>
        <v>0</v>
      </c>
      <c r="S237" s="48">
        <f>('Raw Data'!G239/100)*Bill!$AG237</f>
        <v>0</v>
      </c>
      <c r="T237" s="38">
        <f>SUM(Bill!$L237:$R237)</f>
        <v>1420</v>
      </c>
      <c r="U237" s="49">
        <v>1420.0</v>
      </c>
      <c r="V237" s="50"/>
      <c r="W237" s="38">
        <f>Bill!$U237-Bill!$T237</f>
        <v>0</v>
      </c>
      <c r="Y237" s="37">
        <f>'Raw Data'!D239</f>
        <v>45795</v>
      </c>
      <c r="Z237" s="41">
        <v>0.0</v>
      </c>
      <c r="AA237" s="47">
        <v>0.0</v>
      </c>
      <c r="AB237" s="47">
        <v>0.0</v>
      </c>
      <c r="AC237" s="47">
        <v>5.0</v>
      </c>
      <c r="AD237" s="47">
        <v>0.0</v>
      </c>
      <c r="AE237" s="47">
        <v>0.0</v>
      </c>
      <c r="AF237" s="47">
        <v>0.0</v>
      </c>
      <c r="AG237" s="47">
        <v>0.0</v>
      </c>
    </row>
    <row r="238" ht="15.75" customHeight="1">
      <c r="A238" s="35">
        <f>Bill!$Y238</f>
        <v>45796</v>
      </c>
      <c r="B238" s="43">
        <f>'Raw Data'!E240+Bill!$L$2</f>
        <v>154</v>
      </c>
      <c r="C238" s="43">
        <f>'Raw Data'!E240+Bill!$M$2</f>
        <v>159</v>
      </c>
      <c r="D238" s="43">
        <f>('Raw Data'!$F240*2)-10</f>
        <v>284</v>
      </c>
      <c r="E238" s="43">
        <f>'Raw Data'!F240+Bill!$O$2</f>
        <v>167</v>
      </c>
      <c r="F238" s="43">
        <f>'Raw Data'!F240+Bill!$P$2</f>
        <v>172</v>
      </c>
      <c r="G238" s="43"/>
      <c r="H238" s="43">
        <f>('Raw Data'!F240+Bill!$R$2)</f>
        <v>167</v>
      </c>
      <c r="I238" s="36">
        <f>'Raw Data'!G240/100</f>
        <v>6</v>
      </c>
      <c r="K238" s="37">
        <f>Bill!$Y238</f>
        <v>45796</v>
      </c>
      <c r="L238" s="38">
        <f>Bill!$AA238*('Raw Data'!$E240+$L$2)</f>
        <v>677.6</v>
      </c>
      <c r="M238" s="38">
        <f>Bill!$AB238*('Raw Data'!$E240+$M$2)</f>
        <v>2424.75</v>
      </c>
      <c r="N238" s="38">
        <f>(('Raw Data'!$F240 * 2)-10)*Bill!$AC238</f>
        <v>1420</v>
      </c>
      <c r="O238" s="38">
        <f>('Raw Data'!F240+Bill!$O$2)*Bill!$AD238</f>
        <v>0</v>
      </c>
      <c r="P238" s="38">
        <f>('Raw Data'!F240+Bill!$P$2)*Bill!$AE238</f>
        <v>344</v>
      </c>
      <c r="Q238" s="38">
        <f>Bill!$Z238*('Raw Data'!$E240+$Q$2)</f>
        <v>0</v>
      </c>
      <c r="R238" s="38">
        <f>('Raw Data'!F240+Bill!$R$2)*Bill!$AF238</f>
        <v>420.84</v>
      </c>
      <c r="S238" s="48">
        <f>('Raw Data'!G240/100)*Bill!$AG238</f>
        <v>900</v>
      </c>
      <c r="T238" s="38">
        <f>SUM(Bill!$L238:$R238)</f>
        <v>5287.19</v>
      </c>
      <c r="U238" s="49">
        <v>5293.0</v>
      </c>
      <c r="V238" s="50"/>
      <c r="W238" s="38">
        <f>Bill!$U238-Bill!$T238</f>
        <v>5.81</v>
      </c>
      <c r="Y238" s="37">
        <f>'Raw Data'!D240</f>
        <v>45796</v>
      </c>
      <c r="Z238" s="41">
        <v>0.0</v>
      </c>
      <c r="AA238" s="47">
        <v>4.4</v>
      </c>
      <c r="AB238" s="47">
        <v>15.25</v>
      </c>
      <c r="AC238" s="47">
        <v>5.0</v>
      </c>
      <c r="AD238" s="47">
        <v>0.0</v>
      </c>
      <c r="AE238" s="47">
        <v>2.0</v>
      </c>
      <c r="AF238" s="47">
        <v>2.52</v>
      </c>
      <c r="AG238" s="47">
        <v>150.0</v>
      </c>
    </row>
    <row r="239" ht="15.75" customHeight="1">
      <c r="A239" s="35">
        <f>Bill!$Y239</f>
        <v>45797</v>
      </c>
      <c r="B239" s="43">
        <f>'Raw Data'!E241+Bill!$L$2</f>
        <v>154</v>
      </c>
      <c r="C239" s="43">
        <f>'Raw Data'!E241+Bill!$M$2</f>
        <v>159</v>
      </c>
      <c r="D239" s="43">
        <f>('Raw Data'!$F241*2)-10</f>
        <v>286</v>
      </c>
      <c r="E239" s="43">
        <f>'Raw Data'!F241+Bill!$O$2</f>
        <v>168</v>
      </c>
      <c r="F239" s="43">
        <f>'Raw Data'!F241+Bill!$P$2</f>
        <v>173</v>
      </c>
      <c r="G239" s="43"/>
      <c r="H239" s="43">
        <f>('Raw Data'!F241+Bill!$R$2)</f>
        <v>168</v>
      </c>
      <c r="I239" s="36">
        <f>'Raw Data'!G241/100</f>
        <v>6</v>
      </c>
      <c r="K239" s="37">
        <f>Bill!$Y239</f>
        <v>45797</v>
      </c>
      <c r="L239" s="38">
        <f>Bill!$AA239*('Raw Data'!$E241+$L$2)</f>
        <v>0</v>
      </c>
      <c r="M239" s="38">
        <f>Bill!$AB239*('Raw Data'!$E241+$M$2)</f>
        <v>834.75</v>
      </c>
      <c r="N239" s="38">
        <f>(('Raw Data'!$F241 * 2)-10)*Bill!$AC239</f>
        <v>1430</v>
      </c>
      <c r="O239" s="38">
        <f>('Raw Data'!F241+Bill!$O$2)*Bill!$AD239</f>
        <v>0</v>
      </c>
      <c r="P239" s="38">
        <f>('Raw Data'!F241+Bill!$P$2)*Bill!$AE239</f>
        <v>0</v>
      </c>
      <c r="Q239" s="38">
        <f>Bill!$Z239*('Raw Data'!$E241+$Q$2)</f>
        <v>0</v>
      </c>
      <c r="R239" s="38">
        <f>('Raw Data'!F241+Bill!$R$2)*Bill!$AF239</f>
        <v>0</v>
      </c>
      <c r="S239" s="48">
        <f>('Raw Data'!G241/100)*Bill!$AG239</f>
        <v>0</v>
      </c>
      <c r="T239" s="38">
        <f>SUM(Bill!$L239:$R239)</f>
        <v>2264.75</v>
      </c>
      <c r="U239" s="49">
        <v>2265.0</v>
      </c>
      <c r="V239" s="50"/>
      <c r="W239" s="38">
        <f>Bill!$U239-Bill!$T239</f>
        <v>0.25</v>
      </c>
      <c r="Y239" s="37">
        <f>'Raw Data'!D241</f>
        <v>45797</v>
      </c>
      <c r="Z239" s="41">
        <v>0.0</v>
      </c>
      <c r="AA239" s="47">
        <v>0.0</v>
      </c>
      <c r="AB239" s="47">
        <v>5.25</v>
      </c>
      <c r="AC239" s="47">
        <v>5.0</v>
      </c>
      <c r="AD239" s="47">
        <v>0.0</v>
      </c>
      <c r="AE239" s="47">
        <v>0.0</v>
      </c>
      <c r="AF239" s="47">
        <v>0.0</v>
      </c>
      <c r="AG239" s="47">
        <v>0.0</v>
      </c>
    </row>
    <row r="240" ht="15.75" customHeight="1">
      <c r="A240" s="35">
        <f>Bill!$Y240</f>
        <v>45798</v>
      </c>
      <c r="B240" s="43">
        <f>'Raw Data'!E242+Bill!$L$2</f>
        <v>154</v>
      </c>
      <c r="C240" s="43">
        <f>'Raw Data'!E242+Bill!$M$2</f>
        <v>159</v>
      </c>
      <c r="D240" s="43">
        <f>('Raw Data'!$F242*2)-10</f>
        <v>286</v>
      </c>
      <c r="E240" s="43">
        <f>'Raw Data'!F242+Bill!$O$2</f>
        <v>168</v>
      </c>
      <c r="F240" s="43">
        <f>'Raw Data'!F242+Bill!$P$2</f>
        <v>173</v>
      </c>
      <c r="G240" s="43"/>
      <c r="H240" s="43">
        <f>('Raw Data'!F242+Bill!$R$2)</f>
        <v>168</v>
      </c>
      <c r="I240" s="36">
        <f>'Raw Data'!G242/100</f>
        <v>6</v>
      </c>
      <c r="K240" s="37">
        <f>Bill!$Y240</f>
        <v>45798</v>
      </c>
      <c r="L240" s="38">
        <f>Bill!$AA240*('Raw Data'!$E242+$L$2)</f>
        <v>0</v>
      </c>
      <c r="M240" s="38">
        <f>Bill!$AB240*('Raw Data'!$E242+$M$2)</f>
        <v>0</v>
      </c>
      <c r="N240" s="38">
        <f>(('Raw Data'!$F242 * 2)-10)*Bill!$AC240</f>
        <v>0</v>
      </c>
      <c r="O240" s="38">
        <f>('Raw Data'!F242+Bill!$O$2)*Bill!$AD240</f>
        <v>0</v>
      </c>
      <c r="P240" s="38">
        <f>('Raw Data'!F242+Bill!$P$2)*Bill!$AE240</f>
        <v>0</v>
      </c>
      <c r="Q240" s="38">
        <f>Bill!$Z240*('Raw Data'!$E242+$Q$2)</f>
        <v>0</v>
      </c>
      <c r="R240" s="38">
        <f>('Raw Data'!F242+Bill!$R$2)*Bill!$AF240</f>
        <v>0</v>
      </c>
      <c r="S240" s="48">
        <f>('Raw Data'!G242/100)*Bill!$AG240</f>
        <v>0</v>
      </c>
      <c r="T240" s="38">
        <f>SUM(Bill!$L240:$R240)</f>
        <v>0</v>
      </c>
      <c r="U240" s="49">
        <v>0.0</v>
      </c>
      <c r="V240" s="50"/>
      <c r="W240" s="38">
        <f>Bill!$U240-Bill!$T240</f>
        <v>0</v>
      </c>
      <c r="Y240" s="37">
        <f>'Raw Data'!D242</f>
        <v>45798</v>
      </c>
      <c r="Z240" s="41">
        <v>0.0</v>
      </c>
      <c r="AA240" s="47">
        <v>0.0</v>
      </c>
      <c r="AB240" s="47">
        <v>0.0</v>
      </c>
      <c r="AC240" s="47">
        <v>0.0</v>
      </c>
      <c r="AD240" s="47">
        <v>0.0</v>
      </c>
      <c r="AE240" s="47">
        <v>0.0</v>
      </c>
      <c r="AF240" s="47">
        <v>0.0</v>
      </c>
      <c r="AG240" s="47">
        <v>0.0</v>
      </c>
    </row>
    <row r="241" ht="15.75" customHeight="1">
      <c r="A241" s="35">
        <f>Bill!$Y241</f>
        <v>45799</v>
      </c>
      <c r="B241" s="43">
        <f>'Raw Data'!E243+Bill!$L$2</f>
        <v>154</v>
      </c>
      <c r="C241" s="43">
        <f>'Raw Data'!E243+Bill!$M$2</f>
        <v>159</v>
      </c>
      <c r="D241" s="43">
        <f>('Raw Data'!$F243*2)-10</f>
        <v>280</v>
      </c>
      <c r="E241" s="43">
        <f>'Raw Data'!F243+Bill!$O$2</f>
        <v>165</v>
      </c>
      <c r="F241" s="43">
        <f>'Raw Data'!F243+Bill!$P$2</f>
        <v>170</v>
      </c>
      <c r="G241" s="43"/>
      <c r="H241" s="43">
        <f>('Raw Data'!F243+Bill!$R$2)</f>
        <v>165</v>
      </c>
      <c r="I241" s="36">
        <f>'Raw Data'!G243/100</f>
        <v>5.9</v>
      </c>
      <c r="K241" s="37">
        <f>Bill!$Y241</f>
        <v>45799</v>
      </c>
      <c r="L241" s="38">
        <f>Bill!$AA241*('Raw Data'!$E243+$L$2)</f>
        <v>831.6</v>
      </c>
      <c r="M241" s="38">
        <f>Bill!$AB241*('Raw Data'!$E243+$M$2)</f>
        <v>2416.8</v>
      </c>
      <c r="N241" s="38">
        <f>(('Raw Data'!$F243 * 2)-10)*Bill!$AC241</f>
        <v>1120</v>
      </c>
      <c r="O241" s="38">
        <f>('Raw Data'!F243+Bill!$O$2)*Bill!$AD241</f>
        <v>387.75</v>
      </c>
      <c r="P241" s="38">
        <f>('Raw Data'!F243+Bill!$P$2)*Bill!$AE241</f>
        <v>340</v>
      </c>
      <c r="Q241" s="38">
        <f>Bill!$Z241*('Raw Data'!$E243+$Q$2)</f>
        <v>0</v>
      </c>
      <c r="R241" s="38">
        <f>('Raw Data'!F243+Bill!$R$2)*Bill!$AF241</f>
        <v>0</v>
      </c>
      <c r="S241" s="48">
        <f>('Raw Data'!G243/100)*Bill!$AG241</f>
        <v>885</v>
      </c>
      <c r="T241" s="38">
        <f>SUM(Bill!$L241:$R241)</f>
        <v>5096.15</v>
      </c>
      <c r="U241" s="49">
        <v>5106.0</v>
      </c>
      <c r="V241" s="50"/>
      <c r="W241" s="38">
        <f>Bill!$U241-Bill!$T241</f>
        <v>9.85</v>
      </c>
      <c r="Y241" s="37">
        <f>'Raw Data'!D243</f>
        <v>45799</v>
      </c>
      <c r="Z241" s="41">
        <v>0.0</v>
      </c>
      <c r="AA241" s="47">
        <v>5.4</v>
      </c>
      <c r="AB241" s="47">
        <v>15.2</v>
      </c>
      <c r="AC241" s="47">
        <v>4.0</v>
      </c>
      <c r="AD241" s="47">
        <v>2.35</v>
      </c>
      <c r="AE241" s="47">
        <v>2.0</v>
      </c>
      <c r="AF241" s="47">
        <v>0.0</v>
      </c>
      <c r="AG241" s="47">
        <v>150.0</v>
      </c>
    </row>
    <row r="242" ht="15.75" customHeight="1">
      <c r="A242" s="35">
        <f>Bill!$Y242</f>
        <v>45800</v>
      </c>
      <c r="B242" s="43">
        <f>'Raw Data'!E244+Bill!$L$2</f>
        <v>154</v>
      </c>
      <c r="C242" s="43">
        <f>'Raw Data'!E244+Bill!$M$2</f>
        <v>159</v>
      </c>
      <c r="D242" s="43">
        <f>('Raw Data'!$F244*2)-10</f>
        <v>280</v>
      </c>
      <c r="E242" s="43">
        <f>'Raw Data'!F244+Bill!$O$2</f>
        <v>165</v>
      </c>
      <c r="F242" s="43">
        <f>'Raw Data'!F244+Bill!$P$2</f>
        <v>170</v>
      </c>
      <c r="G242" s="43"/>
      <c r="H242" s="43">
        <f>('Raw Data'!F244+Bill!$R$2)</f>
        <v>165</v>
      </c>
      <c r="I242" s="36">
        <f>'Raw Data'!G244/100</f>
        <v>5.8</v>
      </c>
      <c r="K242" s="37">
        <f>Bill!$Y242</f>
        <v>45800</v>
      </c>
      <c r="L242" s="38">
        <f>Bill!$AA242*('Raw Data'!$E244+$L$2)</f>
        <v>700.7</v>
      </c>
      <c r="M242" s="38">
        <f>Bill!$AB242*('Raw Data'!$E244+$M$2)</f>
        <v>2400.9</v>
      </c>
      <c r="N242" s="38">
        <f>(('Raw Data'!$F244 * 2)-10)*Bill!$AC242</f>
        <v>1400</v>
      </c>
      <c r="O242" s="38">
        <f>('Raw Data'!F244+Bill!$O$2)*Bill!$AD242</f>
        <v>0</v>
      </c>
      <c r="P242" s="38">
        <f>('Raw Data'!F244+Bill!$P$2)*Bill!$AE242</f>
        <v>340</v>
      </c>
      <c r="Q242" s="38">
        <f>Bill!$Z242*('Raw Data'!$E244+$Q$2)</f>
        <v>0</v>
      </c>
      <c r="R242" s="38">
        <f>('Raw Data'!F244+Bill!$R$2)*Bill!$AF242</f>
        <v>0</v>
      </c>
      <c r="S242" s="48">
        <f>('Raw Data'!G244/100)*Bill!$AG242</f>
        <v>0</v>
      </c>
      <c r="T242" s="38">
        <f>SUM(Bill!$L242:$R242)</f>
        <v>4841.6</v>
      </c>
      <c r="U242" s="49">
        <v>4850.0</v>
      </c>
      <c r="V242" s="50"/>
      <c r="W242" s="38">
        <f>Bill!$U242-Bill!$T242</f>
        <v>8.4</v>
      </c>
      <c r="Y242" s="37">
        <f>'Raw Data'!D244</f>
        <v>45800</v>
      </c>
      <c r="Z242" s="41">
        <v>0.0</v>
      </c>
      <c r="AA242" s="47">
        <v>4.55</v>
      </c>
      <c r="AB242" s="47">
        <v>15.1</v>
      </c>
      <c r="AC242" s="47">
        <v>5.0</v>
      </c>
      <c r="AD242" s="47">
        <v>0.0</v>
      </c>
      <c r="AE242" s="47">
        <v>2.0</v>
      </c>
      <c r="AF242" s="47">
        <v>0.0</v>
      </c>
      <c r="AG242" s="47">
        <v>0.0</v>
      </c>
    </row>
    <row r="243" ht="15.75" customHeight="1">
      <c r="A243" s="35">
        <f>Bill!$Y243</f>
        <v>45801</v>
      </c>
      <c r="B243" s="43">
        <f>'Raw Data'!E245+Bill!$L$2</f>
        <v>154</v>
      </c>
      <c r="C243" s="43">
        <f>'Raw Data'!E245+Bill!$M$2</f>
        <v>159</v>
      </c>
      <c r="D243" s="43">
        <f>('Raw Data'!$F245*2)-10</f>
        <v>280</v>
      </c>
      <c r="E243" s="43">
        <f>'Raw Data'!F245+Bill!$O$2</f>
        <v>165</v>
      </c>
      <c r="F243" s="43">
        <f>'Raw Data'!F245+Bill!$P$2</f>
        <v>170</v>
      </c>
      <c r="G243" s="43"/>
      <c r="H243" s="43">
        <f>('Raw Data'!F245+Bill!$R$2)</f>
        <v>165</v>
      </c>
      <c r="I243" s="36">
        <f>'Raw Data'!G245/100</f>
        <v>5.8</v>
      </c>
      <c r="K243" s="37">
        <f>Bill!$Y243</f>
        <v>45801</v>
      </c>
      <c r="L243" s="38">
        <f>Bill!$AA243*('Raw Data'!$E245+$L$2)</f>
        <v>1255.1</v>
      </c>
      <c r="M243" s="38">
        <f>Bill!$AB243*('Raw Data'!$E245+$M$2)</f>
        <v>810.9</v>
      </c>
      <c r="N243" s="38">
        <f>(('Raw Data'!$F245 * 2)-10)*Bill!$AC243</f>
        <v>1400</v>
      </c>
      <c r="O243" s="38">
        <f>('Raw Data'!F245+Bill!$O$2)*Bill!$AD243</f>
        <v>363</v>
      </c>
      <c r="P243" s="38">
        <f>('Raw Data'!F245+Bill!$P$2)*Bill!$AE243</f>
        <v>0</v>
      </c>
      <c r="Q243" s="38">
        <f>Bill!$Z243*('Raw Data'!$E245+$Q$2)</f>
        <v>0</v>
      </c>
      <c r="R243" s="38">
        <f>('Raw Data'!F245+Bill!$R$2)*Bill!$AF243</f>
        <v>0</v>
      </c>
      <c r="S243" s="48">
        <f>('Raw Data'!G245/100)*Bill!$AG243</f>
        <v>0</v>
      </c>
      <c r="T243" s="38">
        <f>SUM(Bill!$L243:$R243)</f>
        <v>3829</v>
      </c>
      <c r="U243" s="49">
        <v>3855.0</v>
      </c>
      <c r="V243" s="50"/>
      <c r="W243" s="38">
        <f>Bill!$U243-Bill!$T243</f>
        <v>26</v>
      </c>
      <c r="Y243" s="37">
        <f>'Raw Data'!D245</f>
        <v>45801</v>
      </c>
      <c r="Z243" s="41">
        <v>0.0</v>
      </c>
      <c r="AA243" s="47">
        <v>8.15</v>
      </c>
      <c r="AB243" s="47">
        <v>5.1</v>
      </c>
      <c r="AC243" s="47">
        <v>5.0</v>
      </c>
      <c r="AD243" s="47">
        <v>2.2</v>
      </c>
      <c r="AE243" s="47">
        <v>0.0</v>
      </c>
      <c r="AF243" s="47">
        <v>0.0</v>
      </c>
      <c r="AG243" s="47">
        <v>0.0</v>
      </c>
    </row>
    <row r="244" ht="15.75" customHeight="1">
      <c r="A244" s="35">
        <f>Bill!$Y244</f>
        <v>45802</v>
      </c>
      <c r="B244" s="43">
        <f>'Raw Data'!E246+Bill!$L$2</f>
        <v>156</v>
      </c>
      <c r="C244" s="43">
        <f>'Raw Data'!E246+Bill!$M$2</f>
        <v>161</v>
      </c>
      <c r="D244" s="43">
        <f>('Raw Data'!$F246*2)-10</f>
        <v>280</v>
      </c>
      <c r="E244" s="43">
        <f>'Raw Data'!F246+Bill!$O$2</f>
        <v>165</v>
      </c>
      <c r="F244" s="43">
        <f>'Raw Data'!F246+Bill!$P$2</f>
        <v>170</v>
      </c>
      <c r="G244" s="43"/>
      <c r="H244" s="43">
        <f>('Raw Data'!F246+Bill!$R$2)</f>
        <v>165</v>
      </c>
      <c r="I244" s="36">
        <f>'Raw Data'!G246/100</f>
        <v>5.8</v>
      </c>
      <c r="K244" s="37">
        <f>Bill!$Y244</f>
        <v>45802</v>
      </c>
      <c r="L244" s="38">
        <f>Bill!$AA244*('Raw Data'!$E246+$L$2)</f>
        <v>0</v>
      </c>
      <c r="M244" s="38">
        <f>Bill!$AB244*('Raw Data'!$E246+$M$2)</f>
        <v>805</v>
      </c>
      <c r="N244" s="38">
        <f>(('Raw Data'!$F246 * 2)-10)*Bill!$AC244</f>
        <v>0</v>
      </c>
      <c r="O244" s="38">
        <f>('Raw Data'!F246+Bill!$O$2)*Bill!$AD244</f>
        <v>0</v>
      </c>
      <c r="P244" s="38">
        <f>('Raw Data'!F246+Bill!$P$2)*Bill!$AE244</f>
        <v>510</v>
      </c>
      <c r="Q244" s="38">
        <f>Bill!$Z244*('Raw Data'!$E246+$Q$2)</f>
        <v>0</v>
      </c>
      <c r="R244" s="38">
        <f>('Raw Data'!F246+Bill!$R$2)*Bill!$AF244</f>
        <v>0</v>
      </c>
      <c r="S244" s="48">
        <f>('Raw Data'!G246/100)*Bill!$AG244</f>
        <v>0</v>
      </c>
      <c r="T244" s="38">
        <f>SUM(Bill!$L244:$R244)</f>
        <v>1315</v>
      </c>
      <c r="U244" s="49">
        <v>1330.0</v>
      </c>
      <c r="V244" s="50"/>
      <c r="W244" s="38">
        <f>Bill!$U244-Bill!$T244</f>
        <v>15</v>
      </c>
      <c r="Y244" s="37">
        <f>'Raw Data'!D246</f>
        <v>45802</v>
      </c>
      <c r="Z244" s="41">
        <v>0.0</v>
      </c>
      <c r="AA244" s="47">
        <v>0.0</v>
      </c>
      <c r="AB244" s="47">
        <v>5.0</v>
      </c>
      <c r="AC244" s="47">
        <v>0.0</v>
      </c>
      <c r="AD244" s="47">
        <v>0.0</v>
      </c>
      <c r="AE244" s="47">
        <v>3.0</v>
      </c>
      <c r="AF244" s="47">
        <v>0.0</v>
      </c>
      <c r="AG244" s="47">
        <v>0.0</v>
      </c>
    </row>
    <row r="245" ht="15.75" customHeight="1">
      <c r="A245" s="35">
        <f>Bill!$Y245</f>
        <v>45803</v>
      </c>
      <c r="B245" s="43">
        <f>'Raw Data'!E247+Bill!$L$2</f>
        <v>156</v>
      </c>
      <c r="C245" s="43">
        <f>'Raw Data'!E247+Bill!$M$2</f>
        <v>161</v>
      </c>
      <c r="D245" s="43">
        <f>('Raw Data'!$F247*2)-10</f>
        <v>280</v>
      </c>
      <c r="E245" s="43">
        <f>'Raw Data'!F247+Bill!$O$2</f>
        <v>165</v>
      </c>
      <c r="F245" s="43">
        <f>'Raw Data'!F247+Bill!$P$2</f>
        <v>170</v>
      </c>
      <c r="G245" s="43"/>
      <c r="H245" s="43">
        <f>('Raw Data'!F247+Bill!$R$2)</f>
        <v>165</v>
      </c>
      <c r="I245" s="36">
        <f>'Raw Data'!G247/100</f>
        <v>5.8</v>
      </c>
      <c r="K245" s="37">
        <f>Bill!$Y245</f>
        <v>45803</v>
      </c>
      <c r="L245" s="38">
        <f>Bill!$AA245*('Raw Data'!$E247+$L$2)</f>
        <v>1482</v>
      </c>
      <c r="M245" s="38">
        <f>Bill!$AB245*('Raw Data'!$E247+$M$2)</f>
        <v>1626.1</v>
      </c>
      <c r="N245" s="38">
        <f>(('Raw Data'!$F247 * 2)-10)*Bill!$AC245</f>
        <v>560</v>
      </c>
      <c r="O245" s="38">
        <f>('Raw Data'!F247+Bill!$O$2)*Bill!$AD245</f>
        <v>0</v>
      </c>
      <c r="P245" s="38">
        <f>('Raw Data'!F247+Bill!$P$2)*Bill!$AE245</f>
        <v>0</v>
      </c>
      <c r="Q245" s="38">
        <f>Bill!$Z245*('Raw Data'!$E247+$Q$2)</f>
        <v>0</v>
      </c>
      <c r="R245" s="38">
        <f>('Raw Data'!F247+Bill!$R$2)*Bill!$AF245</f>
        <v>0</v>
      </c>
      <c r="S245" s="48">
        <f>('Raw Data'!G247/100)*Bill!$AG245</f>
        <v>870</v>
      </c>
      <c r="T245" s="38">
        <f>SUM(Bill!$L245:$R245)</f>
        <v>3668.1</v>
      </c>
      <c r="U245" s="49">
        <v>3668.0</v>
      </c>
      <c r="V245" s="50"/>
      <c r="W245" s="38">
        <f>Bill!$U245-Bill!$T245</f>
        <v>-0.1</v>
      </c>
      <c r="Y245" s="37">
        <f>'Raw Data'!D247</f>
        <v>45803</v>
      </c>
      <c r="Z245" s="41">
        <v>0.0</v>
      </c>
      <c r="AA245" s="47">
        <v>9.5</v>
      </c>
      <c r="AB245" s="47">
        <v>10.1</v>
      </c>
      <c r="AC245" s="47">
        <v>2.0</v>
      </c>
      <c r="AD245" s="47">
        <v>0.0</v>
      </c>
      <c r="AE245" s="47">
        <v>0.0</v>
      </c>
      <c r="AF245" s="47">
        <v>0.0</v>
      </c>
      <c r="AG245" s="47">
        <v>150.0</v>
      </c>
    </row>
    <row r="246" ht="15.75" customHeight="1">
      <c r="A246" s="35">
        <f>Bill!$Y246</f>
        <v>45804</v>
      </c>
      <c r="B246" s="43">
        <f>'Raw Data'!E248+Bill!$L$2</f>
        <v>156</v>
      </c>
      <c r="C246" s="43">
        <f>'Raw Data'!E248+Bill!$M$2</f>
        <v>161</v>
      </c>
      <c r="D246" s="43">
        <f>('Raw Data'!$F248*2)-10</f>
        <v>280</v>
      </c>
      <c r="E246" s="43">
        <f>'Raw Data'!F248+Bill!$O$2</f>
        <v>165</v>
      </c>
      <c r="F246" s="43">
        <f>'Raw Data'!F248+Bill!$P$2</f>
        <v>170</v>
      </c>
      <c r="G246" s="43"/>
      <c r="H246" s="43">
        <f>('Raw Data'!F248+Bill!$R$2)</f>
        <v>165</v>
      </c>
      <c r="I246" s="36">
        <f>'Raw Data'!G248/100</f>
        <v>5.9</v>
      </c>
      <c r="K246" s="37">
        <f>Bill!$Y246</f>
        <v>45804</v>
      </c>
      <c r="L246" s="38">
        <f>Bill!$AA246*('Raw Data'!$E248+$L$2)</f>
        <v>0</v>
      </c>
      <c r="M246" s="38">
        <f>Bill!$AB246*('Raw Data'!$E248+$M$2)</f>
        <v>0</v>
      </c>
      <c r="N246" s="38">
        <f>(('Raw Data'!$F248 * 2)-10)*Bill!$AC246</f>
        <v>0</v>
      </c>
      <c r="O246" s="38">
        <f>('Raw Data'!F248+Bill!$O$2)*Bill!$AD246</f>
        <v>0</v>
      </c>
      <c r="P246" s="38">
        <f>('Raw Data'!F248+Bill!$P$2)*Bill!$AE246</f>
        <v>0</v>
      </c>
      <c r="Q246" s="38">
        <f>Bill!$Z246*('Raw Data'!$E248+$Q$2)</f>
        <v>0</v>
      </c>
      <c r="R246" s="38">
        <f>('Raw Data'!F248+Bill!$R$2)*Bill!$AF246</f>
        <v>0</v>
      </c>
      <c r="S246" s="48">
        <f>('Raw Data'!G248/100)*Bill!$AG246</f>
        <v>0</v>
      </c>
      <c r="T246" s="38">
        <f>SUM(Bill!$L246:$R246)</f>
        <v>0</v>
      </c>
      <c r="U246" s="49">
        <v>0.0</v>
      </c>
      <c r="V246" s="50"/>
      <c r="W246" s="38">
        <f>Bill!$U246-Bill!$T246</f>
        <v>0</v>
      </c>
      <c r="Y246" s="37">
        <f>'Raw Data'!D248</f>
        <v>45804</v>
      </c>
      <c r="Z246" s="41">
        <v>0.0</v>
      </c>
      <c r="AA246" s="47">
        <v>0.0</v>
      </c>
      <c r="AB246" s="47">
        <v>0.0</v>
      </c>
      <c r="AC246" s="47">
        <v>0.0</v>
      </c>
      <c r="AD246" s="47">
        <v>0.0</v>
      </c>
      <c r="AE246" s="47">
        <v>0.0</v>
      </c>
      <c r="AF246" s="47">
        <v>0.0</v>
      </c>
      <c r="AG246" s="47">
        <v>0.0</v>
      </c>
    </row>
    <row r="247" ht="15.75" customHeight="1">
      <c r="A247" s="35">
        <f>Bill!$Y247</f>
        <v>45805</v>
      </c>
      <c r="B247" s="43">
        <f>'Raw Data'!E249+Bill!$L$2</f>
        <v>156</v>
      </c>
      <c r="C247" s="43">
        <f>'Raw Data'!E249+Bill!$M$2</f>
        <v>161</v>
      </c>
      <c r="D247" s="43">
        <f>('Raw Data'!$F249*2)-10</f>
        <v>270</v>
      </c>
      <c r="E247" s="43">
        <f>'Raw Data'!F249+Bill!$O$2</f>
        <v>160</v>
      </c>
      <c r="F247" s="43">
        <f>'Raw Data'!F249+Bill!$P$2</f>
        <v>165</v>
      </c>
      <c r="G247" s="43"/>
      <c r="H247" s="43">
        <f>('Raw Data'!F249+Bill!$R$2)</f>
        <v>160</v>
      </c>
      <c r="I247" s="36">
        <f>'Raw Data'!G249/100</f>
        <v>5.95</v>
      </c>
      <c r="K247" s="37">
        <f>Bill!$Y247</f>
        <v>45805</v>
      </c>
      <c r="L247" s="38">
        <f>Bill!$AA247*('Raw Data'!$E249+$L$2)</f>
        <v>0</v>
      </c>
      <c r="M247" s="38">
        <f>Bill!$AB247*('Raw Data'!$E249+$M$2)</f>
        <v>1610</v>
      </c>
      <c r="N247" s="38">
        <f>(('Raw Data'!$F249 * 2)-10)*Bill!$AC247</f>
        <v>1350</v>
      </c>
      <c r="O247" s="38">
        <f>('Raw Data'!F249+Bill!$O$2)*Bill!$AD247</f>
        <v>0</v>
      </c>
      <c r="P247" s="38">
        <f>('Raw Data'!F249+Bill!$P$2)*Bill!$AE247</f>
        <v>495</v>
      </c>
      <c r="Q247" s="38">
        <f>Bill!$Z247*('Raw Data'!$E249+$Q$2)</f>
        <v>0</v>
      </c>
      <c r="R247" s="38">
        <f>('Raw Data'!F249+Bill!$R$2)*Bill!$AF247</f>
        <v>0</v>
      </c>
      <c r="S247" s="48">
        <f>('Raw Data'!G249/100)*Bill!$AG247</f>
        <v>0</v>
      </c>
      <c r="T247" s="38">
        <f>SUM(Bill!$L247:$R247)</f>
        <v>3455</v>
      </c>
      <c r="U247" s="49">
        <v>3535.0</v>
      </c>
      <c r="V247" s="50"/>
      <c r="W247" s="38">
        <f>Bill!$U247-Bill!$T247</f>
        <v>80</v>
      </c>
      <c r="Y247" s="37">
        <f>'Raw Data'!D249</f>
        <v>45805</v>
      </c>
      <c r="Z247" s="41">
        <v>0.0</v>
      </c>
      <c r="AA247" s="47">
        <v>0.0</v>
      </c>
      <c r="AB247" s="47">
        <v>10.0</v>
      </c>
      <c r="AC247" s="47">
        <v>5.0</v>
      </c>
      <c r="AD247" s="47">
        <v>0.0</v>
      </c>
      <c r="AE247" s="47">
        <v>3.0</v>
      </c>
      <c r="AF247" s="47">
        <v>0.0</v>
      </c>
      <c r="AG247" s="47">
        <v>0.0</v>
      </c>
    </row>
    <row r="248" ht="15.75" customHeight="1">
      <c r="A248" s="35">
        <f>Bill!$Y248</f>
        <v>45806</v>
      </c>
      <c r="B248" s="43">
        <f>'Raw Data'!E250+Bill!$L$2</f>
        <v>156</v>
      </c>
      <c r="C248" s="43">
        <f>'Raw Data'!E250+Bill!$M$2</f>
        <v>161</v>
      </c>
      <c r="D248" s="43">
        <f>('Raw Data'!$F250*2)-10</f>
        <v>270</v>
      </c>
      <c r="E248" s="43">
        <f>'Raw Data'!F250+Bill!$O$2</f>
        <v>160</v>
      </c>
      <c r="F248" s="43">
        <f>'Raw Data'!F250+Bill!$P$2</f>
        <v>165</v>
      </c>
      <c r="G248" s="43"/>
      <c r="H248" s="43">
        <f>('Raw Data'!F250+Bill!$R$2)</f>
        <v>160</v>
      </c>
      <c r="I248" s="36">
        <f>'Raw Data'!G250/100</f>
        <v>5.95</v>
      </c>
      <c r="K248" s="37">
        <f>Bill!$Y248</f>
        <v>45806</v>
      </c>
      <c r="L248" s="38">
        <f>Bill!$AA248*('Raw Data'!$E250+$L$2)</f>
        <v>1435.2</v>
      </c>
      <c r="M248" s="38">
        <f>Bill!$AB248*('Raw Data'!$E250+$M$2)</f>
        <v>1610</v>
      </c>
      <c r="N248" s="38">
        <f>(('Raw Data'!$F250 * 2)-10)*Bill!$AC248</f>
        <v>810</v>
      </c>
      <c r="O248" s="38">
        <f>('Raw Data'!F250+Bill!$O$2)*Bill!$AD248</f>
        <v>0</v>
      </c>
      <c r="P248" s="38">
        <f>('Raw Data'!F250+Bill!$P$2)*Bill!$AE248</f>
        <v>0</v>
      </c>
      <c r="Q248" s="38">
        <f>Bill!$Z248*('Raw Data'!$E250+$Q$2)</f>
        <v>0</v>
      </c>
      <c r="R248" s="38">
        <f>('Raw Data'!F250+Bill!$R$2)*Bill!$AF248</f>
        <v>0</v>
      </c>
      <c r="S248" s="48">
        <f>('Raw Data'!G250/100)*Bill!$AG248</f>
        <v>892.5</v>
      </c>
      <c r="T248" s="38">
        <f>SUM(Bill!$L248:$R248)</f>
        <v>3855.2</v>
      </c>
      <c r="U248" s="49">
        <v>3855.0</v>
      </c>
      <c r="V248" s="50"/>
      <c r="W248" s="38">
        <f>Bill!$U248-Bill!$T248</f>
        <v>-0.2</v>
      </c>
      <c r="Y248" s="37">
        <f>'Raw Data'!D250</f>
        <v>45806</v>
      </c>
      <c r="Z248" s="41">
        <v>0.0</v>
      </c>
      <c r="AA248" s="47">
        <v>9.2</v>
      </c>
      <c r="AB248" s="47">
        <v>10.0</v>
      </c>
      <c r="AC248" s="47">
        <v>3.0</v>
      </c>
      <c r="AD248" s="47">
        <v>0.0</v>
      </c>
      <c r="AE248" s="47">
        <v>0.0</v>
      </c>
      <c r="AF248" s="47">
        <v>0.0</v>
      </c>
      <c r="AG248" s="47">
        <v>150.0</v>
      </c>
    </row>
    <row r="249" ht="15.75" customHeight="1">
      <c r="A249" s="35">
        <f>Bill!$Y249</f>
        <v>45807</v>
      </c>
      <c r="B249" s="43">
        <f>'Raw Data'!E251+Bill!$L$2</f>
        <v>156</v>
      </c>
      <c r="C249" s="43">
        <f>'Raw Data'!E251+Bill!$M$2</f>
        <v>161</v>
      </c>
      <c r="D249" s="43">
        <f>('Raw Data'!$F251*2)-10</f>
        <v>270</v>
      </c>
      <c r="E249" s="43">
        <f>'Raw Data'!F251+Bill!$O$2</f>
        <v>160</v>
      </c>
      <c r="F249" s="43">
        <f>'Raw Data'!F251+Bill!$P$2</f>
        <v>165</v>
      </c>
      <c r="G249" s="43"/>
      <c r="H249" s="43">
        <f>('Raw Data'!F251+Bill!$R$2)</f>
        <v>160</v>
      </c>
      <c r="I249" s="36">
        <f>'Raw Data'!G251/100</f>
        <v>5.95</v>
      </c>
      <c r="K249" s="37">
        <f>Bill!$Y249</f>
        <v>45807</v>
      </c>
      <c r="L249" s="38">
        <f>Bill!$AA249*('Raw Data'!$E251+$L$2)</f>
        <v>0</v>
      </c>
      <c r="M249" s="38">
        <f>Bill!$AB249*('Raw Data'!$E251+$M$2)</f>
        <v>1650.25</v>
      </c>
      <c r="N249" s="38">
        <f>(('Raw Data'!$F251 * 2)-10)*Bill!$AC249</f>
        <v>1350</v>
      </c>
      <c r="O249" s="38">
        <f>('Raw Data'!F251+Bill!$O$2)*Bill!$AD249</f>
        <v>560</v>
      </c>
      <c r="P249" s="38">
        <f>('Raw Data'!F251+Bill!$P$2)*Bill!$AE249</f>
        <v>330</v>
      </c>
      <c r="Q249" s="38">
        <f>Bill!$Z249*('Raw Data'!$E251+$Q$2)</f>
        <v>0</v>
      </c>
      <c r="R249" s="38">
        <f>('Raw Data'!F251+Bill!$R$2)*Bill!$AF249</f>
        <v>0</v>
      </c>
      <c r="S249" s="48">
        <f>('Raw Data'!G251/100)*Bill!$AG249</f>
        <v>0</v>
      </c>
      <c r="T249" s="38">
        <f>SUM(Bill!$L249:$R249)</f>
        <v>3890.25</v>
      </c>
      <c r="U249" s="49">
        <v>3890.0</v>
      </c>
      <c r="V249" s="50"/>
      <c r="W249" s="38">
        <f>Bill!$U249-Bill!$T249</f>
        <v>-0.25</v>
      </c>
      <c r="Y249" s="37">
        <f>'Raw Data'!D251</f>
        <v>45807</v>
      </c>
      <c r="Z249" s="41">
        <v>0.0</v>
      </c>
      <c r="AA249" s="47">
        <v>0.0</v>
      </c>
      <c r="AB249" s="47">
        <v>10.25</v>
      </c>
      <c r="AC249" s="47">
        <v>5.0</v>
      </c>
      <c r="AD249" s="47">
        <v>3.5</v>
      </c>
      <c r="AE249" s="47">
        <v>2.0</v>
      </c>
      <c r="AF249" s="47">
        <v>0.0</v>
      </c>
      <c r="AG249" s="47">
        <v>0.0</v>
      </c>
    </row>
    <row r="250" ht="15.75" customHeight="1">
      <c r="A250" s="35">
        <f>Bill!$Y250</f>
        <v>45808</v>
      </c>
      <c r="B250" s="43">
        <f>'Raw Data'!E252+Bill!$L$2</f>
        <v>156</v>
      </c>
      <c r="C250" s="43">
        <f>'Raw Data'!E252+Bill!$M$2</f>
        <v>161</v>
      </c>
      <c r="D250" s="43">
        <f>('Raw Data'!$F252*2)-10</f>
        <v>270</v>
      </c>
      <c r="E250" s="43">
        <f>'Raw Data'!F252+Bill!$O$2</f>
        <v>160</v>
      </c>
      <c r="F250" s="43">
        <f>'Raw Data'!F252+Bill!$P$2</f>
        <v>165</v>
      </c>
      <c r="G250" s="43"/>
      <c r="H250" s="43">
        <f>('Raw Data'!F252+Bill!$R$2)</f>
        <v>160</v>
      </c>
      <c r="I250" s="36">
        <f>'Raw Data'!G252/100</f>
        <v>5.95</v>
      </c>
      <c r="K250" s="37">
        <f>Bill!$Y250</f>
        <v>45808</v>
      </c>
      <c r="L250" s="38">
        <f>Bill!$AA250*('Raw Data'!$E252+$L$2)</f>
        <v>858</v>
      </c>
      <c r="M250" s="38">
        <f>Bill!$AB250*('Raw Data'!$E252+$M$2)</f>
        <v>2463.3</v>
      </c>
      <c r="N250" s="38">
        <f>(('Raw Data'!$F252 * 2)-10)*Bill!$AC250</f>
        <v>1350</v>
      </c>
      <c r="O250" s="38">
        <f>('Raw Data'!F252+Bill!$O$2)*Bill!$AD250</f>
        <v>0</v>
      </c>
      <c r="P250" s="38">
        <f>('Raw Data'!F252+Bill!$P$2)*Bill!$AE250</f>
        <v>0</v>
      </c>
      <c r="Q250" s="38">
        <f>Bill!$Z250*('Raw Data'!$E252+$Q$2)</f>
        <v>0</v>
      </c>
      <c r="R250" s="38">
        <f>('Raw Data'!F252+Bill!$R$2)*Bill!$AF250</f>
        <v>0</v>
      </c>
      <c r="S250" s="48">
        <f>('Raw Data'!G252/100)*Bill!$AG250</f>
        <v>0</v>
      </c>
      <c r="T250" s="38">
        <f>SUM(Bill!$L250:$R250)</f>
        <v>4671.3</v>
      </c>
      <c r="U250" s="49">
        <v>4630.0</v>
      </c>
      <c r="V250" s="50"/>
      <c r="W250" s="38">
        <f>Bill!$U250-Bill!$T250</f>
        <v>-41.3</v>
      </c>
      <c r="Y250" s="37">
        <f>'Raw Data'!D252</f>
        <v>45808</v>
      </c>
      <c r="Z250" s="41">
        <v>0.0</v>
      </c>
      <c r="AA250" s="47">
        <v>5.5</v>
      </c>
      <c r="AB250" s="47">
        <v>15.3</v>
      </c>
      <c r="AC250" s="47">
        <v>5.0</v>
      </c>
      <c r="AD250" s="47">
        <v>0.0</v>
      </c>
      <c r="AE250" s="47">
        <v>0.0</v>
      </c>
      <c r="AF250" s="47">
        <v>0.0</v>
      </c>
      <c r="AG250" s="47">
        <v>0.0</v>
      </c>
    </row>
    <row r="251" ht="15.75" customHeight="1">
      <c r="A251" s="35">
        <f>Bill!$Y251</f>
        <v>45809</v>
      </c>
      <c r="B251" s="43">
        <f>'Raw Data'!E253+Bill!$L$2</f>
        <v>154</v>
      </c>
      <c r="C251" s="43">
        <f>'Raw Data'!E253+Bill!$M$2</f>
        <v>159</v>
      </c>
      <c r="D251" s="43">
        <f>('Raw Data'!$F253*2)-10</f>
        <v>270</v>
      </c>
      <c r="E251" s="43">
        <f>'Raw Data'!F253+Bill!$O$2</f>
        <v>160</v>
      </c>
      <c r="F251" s="43">
        <f>'Raw Data'!F253+Bill!$P$2</f>
        <v>165</v>
      </c>
      <c r="G251" s="43"/>
      <c r="H251" s="43">
        <f>('Raw Data'!F253+Bill!$R$2)</f>
        <v>160</v>
      </c>
      <c r="I251" s="36">
        <f>'Raw Data'!G253/100</f>
        <v>5.95</v>
      </c>
      <c r="K251" s="37">
        <f>Bill!$Y251</f>
        <v>45809</v>
      </c>
      <c r="L251" s="38">
        <f>Bill!$AA251*('Raw Data'!$E253+$L$2)</f>
        <v>1647.8</v>
      </c>
      <c r="M251" s="38">
        <f>Bill!$AB251*('Raw Data'!$E253+$M$2)</f>
        <v>2385</v>
      </c>
      <c r="N251" s="38">
        <f>(('Raw Data'!$F253 * 2)-10)*Bill!$AC251</f>
        <v>1620</v>
      </c>
      <c r="O251" s="38">
        <f>('Raw Data'!F253+Bill!$O$2)*Bill!$AD251</f>
        <v>0</v>
      </c>
      <c r="P251" s="38">
        <f>('Raw Data'!F253+Bill!$P$2)*Bill!$AE251</f>
        <v>660</v>
      </c>
      <c r="Q251" s="38">
        <f>Bill!$Z251*('Raw Data'!$E253+$Q$2)</f>
        <v>0</v>
      </c>
      <c r="R251" s="38">
        <f>('Raw Data'!F253+Bill!$R$2)*Bill!$AF251</f>
        <v>512</v>
      </c>
      <c r="S251" s="48">
        <f>('Raw Data'!G253/100)*Bill!$AG251</f>
        <v>535.5</v>
      </c>
      <c r="T251" s="38">
        <f>SUM(Bill!$L251:$R251)</f>
        <v>6824.8</v>
      </c>
      <c r="U251" s="49">
        <v>6575.0</v>
      </c>
      <c r="V251" s="50"/>
      <c r="W251" s="38">
        <f>Bill!$U251-Bill!$T251</f>
        <v>-249.8</v>
      </c>
      <c r="Y251" s="37">
        <f>'Raw Data'!D253</f>
        <v>45809</v>
      </c>
      <c r="Z251" s="41">
        <v>0.0</v>
      </c>
      <c r="AA251" s="47">
        <v>10.7</v>
      </c>
      <c r="AB251" s="47">
        <v>15.0</v>
      </c>
      <c r="AC251" s="47">
        <v>6.0</v>
      </c>
      <c r="AD251" s="47">
        <v>0.0</v>
      </c>
      <c r="AE251" s="47">
        <v>4.0</v>
      </c>
      <c r="AF251" s="47">
        <v>3.2</v>
      </c>
      <c r="AG251" s="47">
        <v>90.0</v>
      </c>
    </row>
    <row r="252" ht="15.75" customHeight="1">
      <c r="A252" s="35">
        <f>Bill!$Y252</f>
        <v>45810</v>
      </c>
      <c r="B252" s="43">
        <f>'Raw Data'!E254+Bill!$L$2</f>
        <v>154</v>
      </c>
      <c r="C252" s="43">
        <f>'Raw Data'!E254+Bill!$M$2</f>
        <v>159</v>
      </c>
      <c r="D252" s="43">
        <f>('Raw Data'!$F254*2)-10</f>
        <v>256</v>
      </c>
      <c r="E252" s="43">
        <f>'Raw Data'!F254+Bill!$O$2</f>
        <v>153</v>
      </c>
      <c r="F252" s="43">
        <f>'Raw Data'!F254+Bill!$P$2</f>
        <v>158</v>
      </c>
      <c r="G252" s="43"/>
      <c r="H252" s="43">
        <f>('Raw Data'!F254+Bill!$R$2)</f>
        <v>153</v>
      </c>
      <c r="I252" s="36">
        <f>'Raw Data'!G254/100</f>
        <v>5.95</v>
      </c>
      <c r="K252" s="37">
        <f>Bill!$Y252</f>
        <v>45810</v>
      </c>
      <c r="L252" s="38">
        <f>Bill!$AA252*('Raw Data'!$E254+$L$2)</f>
        <v>0</v>
      </c>
      <c r="M252" s="38">
        <f>Bill!$AB252*('Raw Data'!$E254+$M$2)</f>
        <v>795</v>
      </c>
      <c r="N252" s="38">
        <f>(('Raw Data'!$F254 * 2)-10)*Bill!$AC252</f>
        <v>1280</v>
      </c>
      <c r="O252" s="38">
        <f>('Raw Data'!F254+Bill!$O$2)*Bill!$AD252</f>
        <v>0</v>
      </c>
      <c r="P252" s="38">
        <f>('Raw Data'!F254+Bill!$P$2)*Bill!$AE252</f>
        <v>316</v>
      </c>
      <c r="Q252" s="38">
        <f>Bill!$Z252*('Raw Data'!$E254+$Q$2)</f>
        <v>0</v>
      </c>
      <c r="R252" s="38">
        <f>('Raw Data'!F254+Bill!$R$2)*Bill!$AF252</f>
        <v>0</v>
      </c>
      <c r="S252" s="48">
        <f>('Raw Data'!G254/100)*Bill!$AG252</f>
        <v>0</v>
      </c>
      <c r="T252" s="38">
        <f>SUM(Bill!$L252:$R252)</f>
        <v>2391</v>
      </c>
      <c r="U252" s="49">
        <v>2401.0</v>
      </c>
      <c r="V252" s="50"/>
      <c r="W252" s="38">
        <f>Bill!$U252-Bill!$T252</f>
        <v>10</v>
      </c>
      <c r="Y252" s="37">
        <f>'Raw Data'!D254</f>
        <v>45810</v>
      </c>
      <c r="Z252" s="41">
        <v>0.0</v>
      </c>
      <c r="AA252" s="47">
        <v>0.0</v>
      </c>
      <c r="AB252" s="47">
        <v>5.0</v>
      </c>
      <c r="AC252" s="47">
        <v>5.0</v>
      </c>
      <c r="AD252" s="47">
        <v>0.0</v>
      </c>
      <c r="AE252" s="47">
        <v>2.0</v>
      </c>
      <c r="AF252" s="47">
        <v>0.0</v>
      </c>
      <c r="AG252" s="47">
        <v>0.0</v>
      </c>
    </row>
    <row r="253" ht="15.75" customHeight="1">
      <c r="A253" s="35">
        <f>Bill!$Y253</f>
        <v>45811</v>
      </c>
      <c r="B253" s="43">
        <f>'Raw Data'!E255+Bill!$L$2</f>
        <v>152</v>
      </c>
      <c r="C253" s="43">
        <f>'Raw Data'!E255+Bill!$M$2</f>
        <v>157</v>
      </c>
      <c r="D253" s="43">
        <f>('Raw Data'!$F255*2)-10</f>
        <v>246</v>
      </c>
      <c r="E253" s="43">
        <f>'Raw Data'!F255+Bill!$O$2</f>
        <v>148</v>
      </c>
      <c r="F253" s="43">
        <f>'Raw Data'!F255+Bill!$P$2</f>
        <v>153</v>
      </c>
      <c r="G253" s="43"/>
      <c r="H253" s="43">
        <f>('Raw Data'!F255+Bill!$R$2)</f>
        <v>148</v>
      </c>
      <c r="I253" s="36">
        <f>'Raw Data'!G255/100</f>
        <v>5.95</v>
      </c>
      <c r="K253" s="37">
        <f>Bill!$Y253</f>
        <v>45811</v>
      </c>
      <c r="L253" s="38">
        <f>Bill!$AA253*('Raw Data'!$E255+$L$2)</f>
        <v>744.8</v>
      </c>
      <c r="M253" s="38">
        <f>Bill!$AB253*('Raw Data'!$E255+$M$2)</f>
        <v>2355</v>
      </c>
      <c r="N253" s="38">
        <f>(('Raw Data'!$F255 * 2)-10)*Bill!$AC253</f>
        <v>1230</v>
      </c>
      <c r="O253" s="38">
        <f>('Raw Data'!F255+Bill!$O$2)*Bill!$AD253</f>
        <v>488.4</v>
      </c>
      <c r="P253" s="38">
        <f>('Raw Data'!F255+Bill!$P$2)*Bill!$AE253</f>
        <v>0</v>
      </c>
      <c r="Q253" s="38">
        <f>Bill!$Z253*('Raw Data'!$E255+$Q$2)</f>
        <v>0</v>
      </c>
      <c r="R253" s="38">
        <f>('Raw Data'!F255+Bill!$R$2)*Bill!$AF253</f>
        <v>0</v>
      </c>
      <c r="S253" s="48">
        <f>('Raw Data'!G255/100)*Bill!$AG253</f>
        <v>0</v>
      </c>
      <c r="T253" s="38">
        <f>SUM(Bill!$L253:$R253)</f>
        <v>4818.2</v>
      </c>
      <c r="U253" s="49">
        <v>4818.0</v>
      </c>
      <c r="V253" s="50"/>
      <c r="W253" s="38">
        <f>Bill!$U253-Bill!$T253</f>
        <v>-0.2</v>
      </c>
      <c r="Y253" s="37">
        <f>'Raw Data'!D255</f>
        <v>45811</v>
      </c>
      <c r="Z253" s="41">
        <v>0.0</v>
      </c>
      <c r="AA253" s="47">
        <v>4.9</v>
      </c>
      <c r="AB253" s="47">
        <v>15.0</v>
      </c>
      <c r="AC253" s="47">
        <v>5.0</v>
      </c>
      <c r="AD253" s="47">
        <v>3.3</v>
      </c>
      <c r="AE253" s="47">
        <v>0.0</v>
      </c>
      <c r="AF253" s="47">
        <v>0.0</v>
      </c>
      <c r="AG253" s="47">
        <v>0.0</v>
      </c>
    </row>
    <row r="254" ht="15.75" customHeight="1">
      <c r="A254" s="35">
        <f>Bill!$Y254</f>
        <v>45812</v>
      </c>
      <c r="B254" s="43">
        <f>'Raw Data'!E256+Bill!$L$2</f>
        <v>152</v>
      </c>
      <c r="C254" s="43">
        <f>'Raw Data'!E256+Bill!$M$2</f>
        <v>157</v>
      </c>
      <c r="D254" s="43">
        <f>('Raw Data'!$F256*2)-10</f>
        <v>246</v>
      </c>
      <c r="E254" s="43">
        <f>'Raw Data'!F256+Bill!$O$2</f>
        <v>148</v>
      </c>
      <c r="F254" s="43">
        <f>'Raw Data'!F256+Bill!$P$2</f>
        <v>153</v>
      </c>
      <c r="G254" s="43"/>
      <c r="H254" s="43">
        <f>('Raw Data'!F256+Bill!$R$2)</f>
        <v>148</v>
      </c>
      <c r="I254" s="36">
        <f>'Raw Data'!G256/100</f>
        <v>5.95</v>
      </c>
      <c r="K254" s="37">
        <f>Bill!$Y254</f>
        <v>45812</v>
      </c>
      <c r="L254" s="38">
        <f>Bill!$AA254*('Raw Data'!$E256+$L$2)</f>
        <v>0</v>
      </c>
      <c r="M254" s="38">
        <f>Bill!$AB254*('Raw Data'!$E256+$M$2)</f>
        <v>0</v>
      </c>
      <c r="N254" s="38">
        <f>(('Raw Data'!$F256 * 2)-10)*Bill!$AC254</f>
        <v>1230</v>
      </c>
      <c r="O254" s="38">
        <f>('Raw Data'!F256+Bill!$O$2)*Bill!$AD254</f>
        <v>0</v>
      </c>
      <c r="P254" s="38">
        <f>('Raw Data'!F256+Bill!$P$2)*Bill!$AE254</f>
        <v>306</v>
      </c>
      <c r="Q254" s="38">
        <f>Bill!$Z254*('Raw Data'!$E256+$Q$2)</f>
        <v>0</v>
      </c>
      <c r="R254" s="38">
        <f>('Raw Data'!F256+Bill!$R$2)*Bill!$AF254</f>
        <v>0</v>
      </c>
      <c r="S254" s="48">
        <f>('Raw Data'!G256/100)*Bill!$AG254</f>
        <v>0</v>
      </c>
      <c r="T254" s="38">
        <f>SUM(Bill!$L254:$R254)</f>
        <v>1536</v>
      </c>
      <c r="U254" s="49">
        <v>1546.0</v>
      </c>
      <c r="V254" s="50"/>
      <c r="W254" s="38">
        <f>Bill!$U254-Bill!$T254</f>
        <v>10</v>
      </c>
      <c r="Y254" s="37">
        <f>'Raw Data'!D256</f>
        <v>45812</v>
      </c>
      <c r="Z254" s="41">
        <v>0.0</v>
      </c>
      <c r="AA254" s="47">
        <v>0.0</v>
      </c>
      <c r="AB254" s="47">
        <v>0.0</v>
      </c>
      <c r="AC254" s="47">
        <v>5.0</v>
      </c>
      <c r="AD254" s="47">
        <v>0.0</v>
      </c>
      <c r="AE254" s="47">
        <v>2.0</v>
      </c>
      <c r="AF254" s="47">
        <v>0.0</v>
      </c>
      <c r="AG254" s="47">
        <v>0.0</v>
      </c>
    </row>
    <row r="255" ht="15.75" customHeight="1">
      <c r="A255" s="35">
        <f>Bill!$Y255</f>
        <v>45813</v>
      </c>
      <c r="B255" s="43">
        <f>'Raw Data'!E257+Bill!$L$2</f>
        <v>154</v>
      </c>
      <c r="C255" s="43">
        <f>'Raw Data'!E257+Bill!$M$2</f>
        <v>159</v>
      </c>
      <c r="D255" s="43">
        <f>('Raw Data'!$F257*2)-10</f>
        <v>250</v>
      </c>
      <c r="E255" s="43">
        <f>'Raw Data'!F257+Bill!$O$2</f>
        <v>150</v>
      </c>
      <c r="F255" s="43">
        <f>'Raw Data'!F257+Bill!$P$2</f>
        <v>155</v>
      </c>
      <c r="G255" s="43"/>
      <c r="H255" s="43">
        <f>('Raw Data'!F257+Bill!$R$2)</f>
        <v>150</v>
      </c>
      <c r="I255" s="36">
        <f>'Raw Data'!G257/100</f>
        <v>5.95</v>
      </c>
      <c r="K255" s="37">
        <f>Bill!$Y255</f>
        <v>45813</v>
      </c>
      <c r="L255" s="38">
        <f>Bill!$AA255*('Raw Data'!$E257+$L$2)</f>
        <v>1617</v>
      </c>
      <c r="M255" s="38">
        <f>Bill!$AB255*('Raw Data'!$E257+$M$2)</f>
        <v>2385</v>
      </c>
      <c r="N255" s="38">
        <f>(('Raw Data'!$F257 * 2)-10)*Bill!$AC255</f>
        <v>1250</v>
      </c>
      <c r="O255" s="38">
        <f>('Raw Data'!F257+Bill!$O$2)*Bill!$AD255</f>
        <v>525</v>
      </c>
      <c r="P255" s="38">
        <f>('Raw Data'!F257+Bill!$P$2)*Bill!$AE255</f>
        <v>0</v>
      </c>
      <c r="Q255" s="38">
        <f>Bill!$Z255*('Raw Data'!$E257+$Q$2)</f>
        <v>0</v>
      </c>
      <c r="R255" s="38">
        <f>('Raw Data'!F257+Bill!$R$2)*Bill!$AF255</f>
        <v>0</v>
      </c>
      <c r="S255" s="48">
        <f>('Raw Data'!G257/100)*Bill!$AG255</f>
        <v>0</v>
      </c>
      <c r="T255" s="38">
        <f>SUM(Bill!$L255:$R255)</f>
        <v>5777</v>
      </c>
      <c r="U255" s="49">
        <v>5777.0</v>
      </c>
      <c r="V255" s="50"/>
      <c r="W255" s="38">
        <f>Bill!$U255-Bill!$T255</f>
        <v>0</v>
      </c>
      <c r="Y255" s="37">
        <f>'Raw Data'!D257</f>
        <v>45813</v>
      </c>
      <c r="Z255" s="41">
        <v>0.0</v>
      </c>
      <c r="AA255" s="47">
        <v>10.5</v>
      </c>
      <c r="AB255" s="47">
        <v>15.0</v>
      </c>
      <c r="AC255" s="47">
        <v>5.0</v>
      </c>
      <c r="AD255" s="47">
        <v>3.5</v>
      </c>
      <c r="AE255" s="47">
        <v>0.0</v>
      </c>
      <c r="AF255" s="47">
        <v>0.0</v>
      </c>
      <c r="AG255" s="47">
        <v>0.0</v>
      </c>
    </row>
    <row r="256" ht="15.75" customHeight="1">
      <c r="A256" s="35">
        <f>Bill!$Y256</f>
        <v>45814</v>
      </c>
      <c r="B256" s="43">
        <f>'Raw Data'!E258+Bill!$L$2</f>
        <v>152</v>
      </c>
      <c r="C256" s="43">
        <f>'Raw Data'!E258+Bill!$M$2</f>
        <v>157</v>
      </c>
      <c r="D256" s="43">
        <f>('Raw Data'!$F258*2)-10</f>
        <v>258</v>
      </c>
      <c r="E256" s="43">
        <f>'Raw Data'!F258+Bill!$O$2</f>
        <v>154</v>
      </c>
      <c r="F256" s="43">
        <f>'Raw Data'!F258+Bill!$P$2</f>
        <v>159</v>
      </c>
      <c r="G256" s="43"/>
      <c r="H256" s="43">
        <f>('Raw Data'!F258+Bill!$R$2)</f>
        <v>154</v>
      </c>
      <c r="I256" s="36">
        <f>'Raw Data'!G258/100</f>
        <v>5.95</v>
      </c>
      <c r="K256" s="37">
        <f>Bill!$Y256</f>
        <v>45814</v>
      </c>
      <c r="L256" s="38">
        <f>Bill!$AA256*('Raw Data'!$E258+$L$2)</f>
        <v>1618.8</v>
      </c>
      <c r="M256" s="38">
        <f>Bill!$AB256*('Raw Data'!$E258+$M$2)</f>
        <v>3956.4</v>
      </c>
      <c r="N256" s="38">
        <f>(('Raw Data'!$F258 * 2)-10)*Bill!$AC256</f>
        <v>1290</v>
      </c>
      <c r="O256" s="38">
        <f>('Raw Data'!F258+Bill!$O$2)*Bill!$AD256</f>
        <v>0</v>
      </c>
      <c r="P256" s="38">
        <f>('Raw Data'!F258+Bill!$P$2)*Bill!$AE256</f>
        <v>318</v>
      </c>
      <c r="Q256" s="38">
        <f>Bill!$Z256*('Raw Data'!$E258+$Q$2)</f>
        <v>0</v>
      </c>
      <c r="R256" s="38">
        <f>('Raw Data'!F258+Bill!$R$2)*Bill!$AF256</f>
        <v>0</v>
      </c>
      <c r="S256" s="48">
        <f>('Raw Data'!G258/100)*Bill!$AG256</f>
        <v>1071</v>
      </c>
      <c r="T256" s="38">
        <f>SUM(Bill!$L256:$R256)</f>
        <v>7183.2</v>
      </c>
      <c r="U256" s="49">
        <v>7266.0</v>
      </c>
      <c r="V256" s="50"/>
      <c r="W256" s="38">
        <f>Bill!$U256-Bill!$T256</f>
        <v>82.8</v>
      </c>
      <c r="Y256" s="37">
        <f>'Raw Data'!D258</f>
        <v>45814</v>
      </c>
      <c r="Z256" s="41">
        <v>0.0</v>
      </c>
      <c r="AA256" s="47">
        <v>10.65</v>
      </c>
      <c r="AB256" s="47">
        <v>25.2</v>
      </c>
      <c r="AC256" s="47">
        <v>5.0</v>
      </c>
      <c r="AD256" s="47">
        <v>0.0</v>
      </c>
      <c r="AE256" s="47">
        <v>2.0</v>
      </c>
      <c r="AF256" s="47">
        <v>0.0</v>
      </c>
      <c r="AG256" s="47">
        <v>180.0</v>
      </c>
    </row>
    <row r="257" ht="15.75" customHeight="1">
      <c r="A257" s="35">
        <f>Bill!$Y257</f>
        <v>45815</v>
      </c>
      <c r="B257" s="43">
        <f>'Raw Data'!E259+Bill!$L$2</f>
        <v>152</v>
      </c>
      <c r="C257" s="43">
        <f>'Raw Data'!E259+Bill!$M$2</f>
        <v>157</v>
      </c>
      <c r="D257" s="43">
        <f>('Raw Data'!$F259*2)-10</f>
        <v>258</v>
      </c>
      <c r="E257" s="43">
        <f>'Raw Data'!F259+Bill!$O$2</f>
        <v>154</v>
      </c>
      <c r="F257" s="43">
        <f>'Raw Data'!F259+Bill!$P$2</f>
        <v>159</v>
      </c>
      <c r="G257" s="43"/>
      <c r="H257" s="43">
        <f>('Raw Data'!F259+Bill!$R$2)</f>
        <v>154</v>
      </c>
      <c r="I257" s="36">
        <f>'Raw Data'!G259/100</f>
        <v>6.01</v>
      </c>
      <c r="K257" s="37">
        <f>Bill!$Y257</f>
        <v>45815</v>
      </c>
      <c r="L257" s="38">
        <f>Bill!$AA257*('Raw Data'!$E259+$L$2)</f>
        <v>0</v>
      </c>
      <c r="M257" s="38">
        <f>Bill!$AB257*('Raw Data'!$E259+$M$2)</f>
        <v>785</v>
      </c>
      <c r="N257" s="38">
        <f>(('Raw Data'!$F259 * 2)-10)*Bill!$AC257</f>
        <v>1290</v>
      </c>
      <c r="O257" s="38">
        <f>('Raw Data'!F259+Bill!$O$2)*Bill!$AD257</f>
        <v>0</v>
      </c>
      <c r="P257" s="38">
        <f>('Raw Data'!F259+Bill!$P$2)*Bill!$AE257</f>
        <v>318</v>
      </c>
      <c r="Q257" s="38">
        <f>Bill!$Z257*('Raw Data'!$E259+$Q$2)</f>
        <v>0</v>
      </c>
      <c r="R257" s="38">
        <f>('Raw Data'!F259+Bill!$R$2)*Bill!$AF257</f>
        <v>0</v>
      </c>
      <c r="S257" s="48">
        <f>('Raw Data'!G259/100)*Bill!$AG257</f>
        <v>0</v>
      </c>
      <c r="T257" s="38">
        <f>SUM(Bill!$L257:$R257)</f>
        <v>2393</v>
      </c>
      <c r="U257" s="49">
        <v>2393.0</v>
      </c>
      <c r="V257" s="50"/>
      <c r="W257" s="38">
        <f>Bill!$U257-Bill!$T257</f>
        <v>0</v>
      </c>
      <c r="Y257" s="37">
        <f>'Raw Data'!D259</f>
        <v>45815</v>
      </c>
      <c r="Z257" s="41">
        <v>0.0</v>
      </c>
      <c r="AA257" s="47">
        <v>0.0</v>
      </c>
      <c r="AB257" s="47">
        <v>5.0</v>
      </c>
      <c r="AC257" s="47">
        <v>5.0</v>
      </c>
      <c r="AD257" s="47">
        <v>0.0</v>
      </c>
      <c r="AE257" s="47">
        <v>2.0</v>
      </c>
      <c r="AF257" s="47">
        <v>0.0</v>
      </c>
      <c r="AG257" s="47">
        <v>0.0</v>
      </c>
    </row>
    <row r="258" ht="15.75" customHeight="1">
      <c r="A258" s="35">
        <f>Bill!$Y258</f>
        <v>45816</v>
      </c>
      <c r="B258" s="43">
        <f>'Raw Data'!E260+Bill!$L$2</f>
        <v>152</v>
      </c>
      <c r="C258" s="43">
        <f>'Raw Data'!E260+Bill!$M$2</f>
        <v>157</v>
      </c>
      <c r="D258" s="43">
        <f>('Raw Data'!$F260*2)-10</f>
        <v>258</v>
      </c>
      <c r="E258" s="43">
        <f>'Raw Data'!F260+Bill!$O$2</f>
        <v>154</v>
      </c>
      <c r="F258" s="43">
        <f>'Raw Data'!F260+Bill!$P$2</f>
        <v>159</v>
      </c>
      <c r="G258" s="43"/>
      <c r="H258" s="43">
        <f>('Raw Data'!F260+Bill!$R$2)</f>
        <v>154</v>
      </c>
      <c r="I258" s="36">
        <f>'Raw Data'!G260/100</f>
        <v>6.05</v>
      </c>
      <c r="K258" s="37">
        <f>Bill!$Y258</f>
        <v>45816</v>
      </c>
      <c r="L258" s="38">
        <f>Bill!$AA258*('Raw Data'!$E260+$L$2)</f>
        <v>1641.6</v>
      </c>
      <c r="M258" s="38">
        <f>Bill!$AB258*('Raw Data'!$E260+$M$2)</f>
        <v>785</v>
      </c>
      <c r="N258" s="38">
        <f>(('Raw Data'!$F260 * 2)-10)*Bill!$AC258</f>
        <v>1806</v>
      </c>
      <c r="O258" s="38">
        <f>('Raw Data'!F260+Bill!$O$2)*Bill!$AD258</f>
        <v>0</v>
      </c>
      <c r="P258" s="38">
        <f>('Raw Data'!F260+Bill!$P$2)*Bill!$AE258</f>
        <v>477</v>
      </c>
      <c r="Q258" s="38">
        <f>Bill!$Z258*('Raw Data'!$E260+$Q$2)</f>
        <v>0</v>
      </c>
      <c r="R258" s="38">
        <f>('Raw Data'!F260+Bill!$R$2)*Bill!$AF258</f>
        <v>0</v>
      </c>
      <c r="S258" s="48">
        <f>('Raw Data'!G260/100)*Bill!$AG258</f>
        <v>0</v>
      </c>
      <c r="T258" s="38">
        <f>SUM(Bill!$L258:$R258)</f>
        <v>4709.6</v>
      </c>
      <c r="U258" s="49">
        <v>4726.0</v>
      </c>
      <c r="V258" s="50"/>
      <c r="W258" s="38">
        <f>Bill!$U258-Bill!$T258</f>
        <v>16.4</v>
      </c>
      <c r="Y258" s="37">
        <f>'Raw Data'!D260</f>
        <v>45816</v>
      </c>
      <c r="Z258" s="41">
        <v>0.0</v>
      </c>
      <c r="AA258" s="47">
        <v>10.8</v>
      </c>
      <c r="AB258" s="47">
        <v>5.0</v>
      </c>
      <c r="AC258" s="47">
        <v>7.0</v>
      </c>
      <c r="AD258" s="47">
        <v>0.0</v>
      </c>
      <c r="AE258" s="47">
        <v>3.0</v>
      </c>
      <c r="AF258" s="47">
        <v>0.0</v>
      </c>
      <c r="AG258" s="47">
        <v>0.0</v>
      </c>
    </row>
    <row r="259" ht="15.75" customHeight="1">
      <c r="A259" s="35">
        <f>Bill!$Y259</f>
        <v>45817</v>
      </c>
      <c r="B259" s="43">
        <f>'Raw Data'!E261+Bill!$L$2</f>
        <v>152</v>
      </c>
      <c r="C259" s="43">
        <f>'Raw Data'!E261+Bill!$M$2</f>
        <v>157</v>
      </c>
      <c r="D259" s="43">
        <f>('Raw Data'!$F261*2)-10</f>
        <v>258</v>
      </c>
      <c r="E259" s="43">
        <f>'Raw Data'!F261+Bill!$O$2</f>
        <v>154</v>
      </c>
      <c r="F259" s="43">
        <f>'Raw Data'!F261+Bill!$P$2</f>
        <v>159</v>
      </c>
      <c r="G259" s="43"/>
      <c r="H259" s="43">
        <f>('Raw Data'!F261+Bill!$R$2)</f>
        <v>154</v>
      </c>
      <c r="I259" s="36">
        <f>'Raw Data'!G261/100</f>
        <v>6.11</v>
      </c>
      <c r="K259" s="37">
        <f>Bill!$Y259</f>
        <v>45817</v>
      </c>
      <c r="L259" s="38">
        <f>Bill!$AA259*('Raw Data'!$E261+$L$2)</f>
        <v>782.8</v>
      </c>
      <c r="M259" s="38">
        <f>Bill!$AB259*('Raw Data'!$E261+$M$2)</f>
        <v>1570</v>
      </c>
      <c r="N259" s="38">
        <f>(('Raw Data'!$F261 * 2)-10)*Bill!$AC259</f>
        <v>1290</v>
      </c>
      <c r="O259" s="38">
        <f>('Raw Data'!F261+Bill!$O$2)*Bill!$AD259</f>
        <v>0</v>
      </c>
      <c r="P259" s="38">
        <f>('Raw Data'!F261+Bill!$P$2)*Bill!$AE259</f>
        <v>795</v>
      </c>
      <c r="Q259" s="38">
        <f>Bill!$Z259*('Raw Data'!$E261+$Q$2)</f>
        <v>0</v>
      </c>
      <c r="R259" s="38">
        <f>('Raw Data'!F261+Bill!$R$2)*Bill!$AF259</f>
        <v>0</v>
      </c>
      <c r="S259" s="48">
        <f>('Raw Data'!G261/100)*Bill!$AG259</f>
        <v>0</v>
      </c>
      <c r="T259" s="38">
        <f>SUM(Bill!$L259:$R259)</f>
        <v>4437.8</v>
      </c>
      <c r="U259" s="49">
        <v>4463.0</v>
      </c>
      <c r="V259" s="50"/>
      <c r="W259" s="38">
        <f>Bill!$U259-Bill!$T259</f>
        <v>25.2</v>
      </c>
      <c r="Y259" s="37">
        <f>'Raw Data'!D261</f>
        <v>45817</v>
      </c>
      <c r="Z259" s="41">
        <v>0.0</v>
      </c>
      <c r="AA259" s="47">
        <v>5.15</v>
      </c>
      <c r="AB259" s="47">
        <v>10.0</v>
      </c>
      <c r="AC259" s="47">
        <v>5.0</v>
      </c>
      <c r="AD259" s="47">
        <v>0.0</v>
      </c>
      <c r="AE259" s="47">
        <v>5.0</v>
      </c>
      <c r="AF259" s="47">
        <v>0.0</v>
      </c>
      <c r="AG259" s="47">
        <v>0.0</v>
      </c>
    </row>
    <row r="260" ht="15.75" customHeight="1">
      <c r="A260" s="35">
        <f>Bill!$Y260</f>
        <v>45818</v>
      </c>
      <c r="B260" s="43">
        <f>'Raw Data'!E262+Bill!$L$2</f>
        <v>150</v>
      </c>
      <c r="C260" s="43">
        <f>'Raw Data'!E262+Bill!$M$2</f>
        <v>155</v>
      </c>
      <c r="D260" s="43">
        <f>('Raw Data'!$F262*2)-10</f>
        <v>258</v>
      </c>
      <c r="E260" s="43">
        <f>'Raw Data'!F262+Bill!$O$2</f>
        <v>154</v>
      </c>
      <c r="F260" s="43">
        <f>'Raw Data'!F262+Bill!$P$2</f>
        <v>159</v>
      </c>
      <c r="G260" s="43"/>
      <c r="H260" s="43">
        <f>('Raw Data'!F262+Bill!$R$2)</f>
        <v>154</v>
      </c>
      <c r="I260" s="36">
        <f>'Raw Data'!G262/100</f>
        <v>6.11</v>
      </c>
      <c r="K260" s="37">
        <f>Bill!$Y260</f>
        <v>45818</v>
      </c>
      <c r="L260" s="38">
        <f>Bill!$AA260*('Raw Data'!$E262+$L$2)</f>
        <v>0</v>
      </c>
      <c r="M260" s="38">
        <f>Bill!$AB260*('Raw Data'!$E262+$M$2)</f>
        <v>1596.5</v>
      </c>
      <c r="N260" s="38">
        <f>(('Raw Data'!$F262 * 2)-10)*Bill!$AC260</f>
        <v>774</v>
      </c>
      <c r="O260" s="38">
        <f>('Raw Data'!F262+Bill!$O$2)*Bill!$AD260</f>
        <v>0</v>
      </c>
      <c r="P260" s="38">
        <f>('Raw Data'!F262+Bill!$P$2)*Bill!$AE260</f>
        <v>0</v>
      </c>
      <c r="Q260" s="38">
        <f>Bill!$Z260*('Raw Data'!$E262+$Q$2)</f>
        <v>0</v>
      </c>
      <c r="R260" s="38">
        <f>('Raw Data'!F262+Bill!$R$2)*Bill!$AF260</f>
        <v>0</v>
      </c>
      <c r="S260" s="48">
        <f>('Raw Data'!G262/100)*Bill!$AG260</f>
        <v>0</v>
      </c>
      <c r="T260" s="38">
        <f>SUM(Bill!$L260:$R260)</f>
        <v>2370.5</v>
      </c>
      <c r="U260" s="49">
        <v>2370.0</v>
      </c>
      <c r="V260" s="50"/>
      <c r="W260" s="38">
        <f>Bill!$U260-Bill!$T260</f>
        <v>-0.5</v>
      </c>
      <c r="Y260" s="37">
        <f>'Raw Data'!D262</f>
        <v>45818</v>
      </c>
      <c r="Z260" s="41">
        <v>0.0</v>
      </c>
      <c r="AA260" s="47">
        <v>0.0</v>
      </c>
      <c r="AB260" s="47">
        <v>10.3</v>
      </c>
      <c r="AC260" s="47">
        <v>3.0</v>
      </c>
      <c r="AD260" s="47">
        <v>0.0</v>
      </c>
      <c r="AE260" s="47">
        <v>0.0</v>
      </c>
      <c r="AF260" s="47">
        <v>0.0</v>
      </c>
      <c r="AG260" s="47">
        <v>0.0</v>
      </c>
    </row>
    <row r="261" ht="15.75" customHeight="1">
      <c r="A261" s="35">
        <f>Bill!$Y261</f>
        <v>45819</v>
      </c>
      <c r="B261" s="43">
        <f>'Raw Data'!E263+Bill!$L$2</f>
        <v>148</v>
      </c>
      <c r="C261" s="43">
        <f>'Raw Data'!E263+Bill!$M$2</f>
        <v>153</v>
      </c>
      <c r="D261" s="43">
        <f>('Raw Data'!$F263*2)-10</f>
        <v>246</v>
      </c>
      <c r="E261" s="43">
        <f>'Raw Data'!F263+Bill!$O$2</f>
        <v>148</v>
      </c>
      <c r="F261" s="43">
        <f>'Raw Data'!F263+Bill!$P$2</f>
        <v>153</v>
      </c>
      <c r="G261" s="43"/>
      <c r="H261" s="43">
        <f>('Raw Data'!F263+Bill!$R$2)</f>
        <v>148</v>
      </c>
      <c r="I261" s="36">
        <f>'Raw Data'!G263/100</f>
        <v>6.11</v>
      </c>
      <c r="K261" s="37">
        <f>Bill!$Y261</f>
        <v>45819</v>
      </c>
      <c r="L261" s="38">
        <f>Bill!$AA261*('Raw Data'!$E263+$L$2)</f>
        <v>843.6</v>
      </c>
      <c r="M261" s="38">
        <f>Bill!$AB261*('Raw Data'!$E263+$M$2)</f>
        <v>2295</v>
      </c>
      <c r="N261" s="38">
        <f>(('Raw Data'!$F263 * 2)-10)*Bill!$AC261</f>
        <v>1230</v>
      </c>
      <c r="O261" s="38">
        <f>('Raw Data'!F263+Bill!$O$2)*Bill!$AD261</f>
        <v>399.6</v>
      </c>
      <c r="P261" s="38">
        <f>('Raw Data'!F263+Bill!$P$2)*Bill!$AE261</f>
        <v>0</v>
      </c>
      <c r="Q261" s="38">
        <f>Bill!$Z261*('Raw Data'!$E263+$Q$2)</f>
        <v>0</v>
      </c>
      <c r="R261" s="38">
        <f>('Raw Data'!F263+Bill!$R$2)*Bill!$AF261</f>
        <v>0</v>
      </c>
      <c r="S261" s="48">
        <f>('Raw Data'!G263/100)*Bill!$AG261</f>
        <v>0</v>
      </c>
      <c r="T261" s="38">
        <f>SUM(Bill!$L261:$R261)</f>
        <v>4768.2</v>
      </c>
      <c r="U261" s="49">
        <v>4769.0</v>
      </c>
      <c r="V261" s="50"/>
      <c r="W261" s="38">
        <f>Bill!$U261-Bill!$T261</f>
        <v>0.8</v>
      </c>
      <c r="Y261" s="37">
        <f>'Raw Data'!D263</f>
        <v>45819</v>
      </c>
      <c r="Z261" s="41">
        <v>0.0</v>
      </c>
      <c r="AA261" s="47">
        <v>5.7</v>
      </c>
      <c r="AB261" s="47">
        <v>15.0</v>
      </c>
      <c r="AC261" s="47">
        <v>5.0</v>
      </c>
      <c r="AD261" s="47">
        <v>2.7</v>
      </c>
      <c r="AE261" s="47">
        <v>0.0</v>
      </c>
      <c r="AF261" s="47">
        <v>0.0</v>
      </c>
      <c r="AG261" s="47">
        <v>0.0</v>
      </c>
    </row>
    <row r="262" ht="15.75" customHeight="1">
      <c r="A262" s="35">
        <f>Bill!$Y262</f>
        <v>45820</v>
      </c>
      <c r="B262" s="43">
        <f>'Raw Data'!E264+Bill!$L$2</f>
        <v>148</v>
      </c>
      <c r="C262" s="43">
        <f>'Raw Data'!E264+Bill!$M$2</f>
        <v>153</v>
      </c>
      <c r="D262" s="43">
        <f>('Raw Data'!$F264*2)-10</f>
        <v>224</v>
      </c>
      <c r="E262" s="43">
        <f>'Raw Data'!F264+Bill!$O$2</f>
        <v>137</v>
      </c>
      <c r="F262" s="43">
        <f>'Raw Data'!F264+Bill!$P$2</f>
        <v>142</v>
      </c>
      <c r="G262" s="43"/>
      <c r="H262" s="43">
        <f>('Raw Data'!F264+Bill!$R$2)</f>
        <v>137</v>
      </c>
      <c r="I262" s="36">
        <f>'Raw Data'!G264/100</f>
        <v>6.11</v>
      </c>
      <c r="K262" s="37">
        <f>Bill!$Y262</f>
        <v>45820</v>
      </c>
      <c r="L262" s="38">
        <f>Bill!$AA262*('Raw Data'!$E264+$L$2)</f>
        <v>732.6</v>
      </c>
      <c r="M262" s="38">
        <f>Bill!$AB262*('Raw Data'!$E264+$M$2)</f>
        <v>803.25</v>
      </c>
      <c r="N262" s="38">
        <f>(('Raw Data'!$F264 * 2)-10)*Bill!$AC262</f>
        <v>1120</v>
      </c>
      <c r="O262" s="38">
        <f>('Raw Data'!F264+Bill!$O$2)*Bill!$AD262</f>
        <v>0</v>
      </c>
      <c r="P262" s="38">
        <f>('Raw Data'!F264+Bill!$P$2)*Bill!$AE262</f>
        <v>0</v>
      </c>
      <c r="Q262" s="38">
        <f>Bill!$Z262*('Raw Data'!$E264+$Q$2)</f>
        <v>0</v>
      </c>
      <c r="R262" s="38">
        <f>('Raw Data'!F264+Bill!$R$2)*Bill!$AF262</f>
        <v>0</v>
      </c>
      <c r="S262" s="48">
        <f>('Raw Data'!G264/100)*Bill!$AG262</f>
        <v>916.5</v>
      </c>
      <c r="T262" s="38">
        <f>SUM(Bill!$L262:$R262)</f>
        <v>2655.85</v>
      </c>
      <c r="U262" s="49">
        <v>2656.0</v>
      </c>
      <c r="V262" s="50"/>
      <c r="W262" s="38">
        <f>Bill!$U262-Bill!$T262</f>
        <v>0.15</v>
      </c>
      <c r="Y262" s="37">
        <f>'Raw Data'!D264</f>
        <v>45820</v>
      </c>
      <c r="Z262" s="41">
        <v>0.0</v>
      </c>
      <c r="AA262" s="47">
        <v>4.95</v>
      </c>
      <c r="AB262" s="47">
        <v>5.25</v>
      </c>
      <c r="AC262" s="47">
        <v>5.0</v>
      </c>
      <c r="AD262" s="47">
        <v>0.0</v>
      </c>
      <c r="AE262" s="47">
        <v>0.0</v>
      </c>
      <c r="AF262" s="47">
        <v>0.0</v>
      </c>
      <c r="AG262" s="47">
        <v>150.0</v>
      </c>
    </row>
    <row r="263" ht="15.75" customHeight="1">
      <c r="A263" s="35">
        <f>Bill!$Y263</f>
        <v>45821</v>
      </c>
      <c r="B263" s="43">
        <f>'Raw Data'!E265+Bill!$L$2</f>
        <v>146</v>
      </c>
      <c r="C263" s="43">
        <f>'Raw Data'!E265+Bill!$M$2</f>
        <v>151</v>
      </c>
      <c r="D263" s="43">
        <f>('Raw Data'!$F265*2)-10</f>
        <v>214</v>
      </c>
      <c r="E263" s="43">
        <f>'Raw Data'!F265+Bill!$O$2</f>
        <v>132</v>
      </c>
      <c r="F263" s="43">
        <f>'Raw Data'!F265+Bill!$P$2</f>
        <v>137</v>
      </c>
      <c r="G263" s="43"/>
      <c r="H263" s="43">
        <f>('Raw Data'!F265+Bill!$R$2)</f>
        <v>132</v>
      </c>
      <c r="I263" s="36">
        <f>'Raw Data'!G265/100</f>
        <v>5.9</v>
      </c>
      <c r="K263" s="37">
        <f>Bill!$Y263</f>
        <v>45821</v>
      </c>
      <c r="L263" s="38">
        <f>Bill!$AA263*('Raw Data'!$E265+$L$2)</f>
        <v>773.8</v>
      </c>
      <c r="M263" s="38">
        <f>Bill!$AB263*('Raw Data'!$E265+$M$2)</f>
        <v>1547.75</v>
      </c>
      <c r="N263" s="38">
        <f>(('Raw Data'!$F265 * 2)-10)*Bill!$AC263</f>
        <v>1070</v>
      </c>
      <c r="O263" s="38">
        <f>('Raw Data'!F265+Bill!$O$2)*Bill!$AD263</f>
        <v>330</v>
      </c>
      <c r="P263" s="38">
        <f>('Raw Data'!F265+Bill!$P$2)*Bill!$AE263</f>
        <v>0</v>
      </c>
      <c r="Q263" s="38">
        <f>Bill!$Z263*('Raw Data'!$E265+$Q$2)</f>
        <v>0</v>
      </c>
      <c r="R263" s="38">
        <f>('Raw Data'!F265+Bill!$R$2)*Bill!$AF263</f>
        <v>0</v>
      </c>
      <c r="S263" s="48">
        <f>('Raw Data'!G265/100)*Bill!$AG263</f>
        <v>0</v>
      </c>
      <c r="T263" s="38">
        <f>SUM(Bill!$L263:$R263)</f>
        <v>3721.55</v>
      </c>
      <c r="U263" s="49">
        <v>3722.0</v>
      </c>
      <c r="V263" s="50"/>
      <c r="W263" s="38">
        <f>Bill!$U263-Bill!$T263</f>
        <v>0.45</v>
      </c>
      <c r="Y263" s="37">
        <f>'Raw Data'!D265</f>
        <v>45821</v>
      </c>
      <c r="Z263" s="41">
        <v>0.0</v>
      </c>
      <c r="AA263" s="47">
        <v>5.3</v>
      </c>
      <c r="AB263" s="47">
        <v>10.25</v>
      </c>
      <c r="AC263" s="47">
        <v>5.0</v>
      </c>
      <c r="AD263" s="47">
        <v>2.5</v>
      </c>
      <c r="AE263" s="47">
        <v>0.0</v>
      </c>
      <c r="AF263" s="47">
        <v>0.0</v>
      </c>
      <c r="AG263" s="47">
        <v>0.0</v>
      </c>
    </row>
    <row r="264" ht="15.75" customHeight="1">
      <c r="A264" s="35">
        <f>Bill!$Y264</f>
        <v>45822</v>
      </c>
      <c r="B264" s="43">
        <f>'Raw Data'!E266+Bill!$L$2</f>
        <v>146</v>
      </c>
      <c r="C264" s="43">
        <f>'Raw Data'!E266+Bill!$M$2</f>
        <v>151</v>
      </c>
      <c r="D264" s="43">
        <f>('Raw Data'!$F266*2)-10</f>
        <v>214</v>
      </c>
      <c r="E264" s="43">
        <f>'Raw Data'!F266+Bill!$O$2</f>
        <v>132</v>
      </c>
      <c r="F264" s="43">
        <f>'Raw Data'!F266+Bill!$P$2</f>
        <v>137</v>
      </c>
      <c r="G264" s="43"/>
      <c r="H264" s="43">
        <f>('Raw Data'!F266+Bill!$R$2)</f>
        <v>132</v>
      </c>
      <c r="I264" s="36">
        <f>'Raw Data'!G266/100</f>
        <v>5.9</v>
      </c>
      <c r="K264" s="37">
        <f>Bill!$Y264</f>
        <v>45822</v>
      </c>
      <c r="L264" s="38">
        <f>Bill!$AA264*('Raw Data'!$E266+$L$2)</f>
        <v>708.1</v>
      </c>
      <c r="M264" s="38">
        <f>Bill!$AB264*('Raw Data'!$E266+$M$2)</f>
        <v>770.1</v>
      </c>
      <c r="N264" s="38">
        <f>(('Raw Data'!$F266 * 2)-10)*Bill!$AC264</f>
        <v>856</v>
      </c>
      <c r="O264" s="38">
        <f>('Raw Data'!F266+Bill!$O$2)*Bill!$AD264</f>
        <v>396</v>
      </c>
      <c r="P264" s="38">
        <f>('Raw Data'!F266+Bill!$P$2)*Bill!$AE264</f>
        <v>411</v>
      </c>
      <c r="Q264" s="38">
        <f>Bill!$Z264*('Raw Data'!$E266+$Q$2)</f>
        <v>0</v>
      </c>
      <c r="R264" s="38">
        <f>('Raw Data'!F266+Bill!$R$2)*Bill!$AF264</f>
        <v>0</v>
      </c>
      <c r="S264" s="48">
        <f>('Raw Data'!G266/100)*Bill!$AG264</f>
        <v>0</v>
      </c>
      <c r="T264" s="38">
        <f>SUM(Bill!$L264:$R264)</f>
        <v>3141.2</v>
      </c>
      <c r="U264" s="49">
        <v>3216.0</v>
      </c>
      <c r="V264" s="50"/>
      <c r="W264" s="38">
        <f>Bill!$U264-Bill!$T264</f>
        <v>74.8</v>
      </c>
      <c r="Y264" s="37">
        <f>'Raw Data'!D266</f>
        <v>45822</v>
      </c>
      <c r="Z264" s="41">
        <v>0.0</v>
      </c>
      <c r="AA264" s="47">
        <v>4.85</v>
      </c>
      <c r="AB264" s="47">
        <v>5.1</v>
      </c>
      <c r="AC264" s="47">
        <v>4.0</v>
      </c>
      <c r="AD264" s="47">
        <v>3.0</v>
      </c>
      <c r="AE264" s="47">
        <v>3.0</v>
      </c>
      <c r="AF264" s="47">
        <v>0.0</v>
      </c>
      <c r="AG264" s="47">
        <v>0.0</v>
      </c>
    </row>
    <row r="265" ht="15.75" customHeight="1">
      <c r="A265" s="35">
        <f>Bill!$Y265</f>
        <v>45823</v>
      </c>
      <c r="B265" s="43">
        <f>'Raw Data'!E267+Bill!$L$2</f>
        <v>144</v>
      </c>
      <c r="C265" s="43">
        <f>'Raw Data'!E267+Bill!$M$2</f>
        <v>149</v>
      </c>
      <c r="D265" s="43">
        <f>('Raw Data'!$F267*2)-10</f>
        <v>214</v>
      </c>
      <c r="E265" s="43">
        <f>'Raw Data'!F267+Bill!$O$2</f>
        <v>132</v>
      </c>
      <c r="F265" s="43">
        <f>'Raw Data'!F267+Bill!$P$2</f>
        <v>137</v>
      </c>
      <c r="G265" s="43"/>
      <c r="H265" s="43">
        <f>('Raw Data'!F267+Bill!$R$2)</f>
        <v>132</v>
      </c>
      <c r="I265" s="36">
        <f>'Raw Data'!G267/100</f>
        <v>5.8</v>
      </c>
      <c r="K265" s="37">
        <f>Bill!$Y265</f>
        <v>45823</v>
      </c>
      <c r="L265" s="38">
        <f>Bill!$AA265*('Raw Data'!$E267+$L$2)</f>
        <v>1353.6</v>
      </c>
      <c r="M265" s="38">
        <f>Bill!$AB265*('Raw Data'!$E267+$M$2)</f>
        <v>2235</v>
      </c>
      <c r="N265" s="38">
        <f>(('Raw Data'!$F267 * 2)-10)*Bill!$AC265</f>
        <v>642</v>
      </c>
      <c r="O265" s="38">
        <f>('Raw Data'!F267+Bill!$O$2)*Bill!$AD265</f>
        <v>0</v>
      </c>
      <c r="P265" s="38">
        <f>('Raw Data'!F267+Bill!$P$2)*Bill!$AE265</f>
        <v>274</v>
      </c>
      <c r="Q265" s="38">
        <f>Bill!$Z265*('Raw Data'!$E267+$Q$2)</f>
        <v>0</v>
      </c>
      <c r="R265" s="38">
        <f>('Raw Data'!F267+Bill!$R$2)*Bill!$AF265</f>
        <v>0</v>
      </c>
      <c r="S265" s="48">
        <f>('Raw Data'!G267/100)*Bill!$AG265</f>
        <v>870</v>
      </c>
      <c r="T265" s="38">
        <f>SUM(Bill!$L265:$R265)</f>
        <v>4504.6</v>
      </c>
      <c r="U265" s="49">
        <v>4515.0</v>
      </c>
      <c r="V265" s="50"/>
      <c r="W265" s="38">
        <f>Bill!$U265-Bill!$T265</f>
        <v>10.4</v>
      </c>
      <c r="Y265" s="37">
        <f>'Raw Data'!D267</f>
        <v>45823</v>
      </c>
      <c r="Z265" s="41">
        <v>0.0</v>
      </c>
      <c r="AA265" s="47">
        <v>9.4</v>
      </c>
      <c r="AB265" s="47">
        <v>15.0</v>
      </c>
      <c r="AC265" s="47">
        <v>3.0</v>
      </c>
      <c r="AD265" s="47">
        <v>0.0</v>
      </c>
      <c r="AE265" s="47">
        <v>2.0</v>
      </c>
      <c r="AF265" s="47">
        <v>0.0</v>
      </c>
      <c r="AG265" s="47">
        <v>150.0</v>
      </c>
    </row>
    <row r="266" ht="15.75" customHeight="1">
      <c r="A266" s="35">
        <f>Bill!$Y266</f>
        <v>45824</v>
      </c>
      <c r="B266" s="43">
        <f>'Raw Data'!E268+Bill!$L$2</f>
        <v>144</v>
      </c>
      <c r="C266" s="43">
        <f>'Raw Data'!E268+Bill!$M$2</f>
        <v>149</v>
      </c>
      <c r="D266" s="43">
        <f>('Raw Data'!$F268*2)-10</f>
        <v>214</v>
      </c>
      <c r="E266" s="43">
        <f>'Raw Data'!F268+Bill!$O$2</f>
        <v>132</v>
      </c>
      <c r="F266" s="43">
        <f>'Raw Data'!F268+Bill!$P$2</f>
        <v>137</v>
      </c>
      <c r="G266" s="43"/>
      <c r="H266" s="43">
        <f>('Raw Data'!F268+Bill!$R$2)</f>
        <v>132</v>
      </c>
      <c r="I266" s="36">
        <f>'Raw Data'!G268/100</f>
        <v>5.6</v>
      </c>
      <c r="K266" s="37">
        <f>Bill!$Y266</f>
        <v>45824</v>
      </c>
      <c r="L266" s="38">
        <f>Bill!$AA266*('Raw Data'!$E268+$L$2)</f>
        <v>0</v>
      </c>
      <c r="M266" s="38">
        <f>Bill!$AB266*('Raw Data'!$E268+$M$2)</f>
        <v>0</v>
      </c>
      <c r="N266" s="38">
        <f>(('Raw Data'!$F268 * 2)-10)*Bill!$AC266</f>
        <v>0</v>
      </c>
      <c r="O266" s="38">
        <f>('Raw Data'!F268+Bill!$O$2)*Bill!$AD266</f>
        <v>0</v>
      </c>
      <c r="P266" s="38">
        <f>('Raw Data'!F268+Bill!$P$2)*Bill!$AE266</f>
        <v>0</v>
      </c>
      <c r="Q266" s="38">
        <f>Bill!$Z266*('Raw Data'!$E268+$Q$2)</f>
        <v>0</v>
      </c>
      <c r="R266" s="38">
        <f>('Raw Data'!F268+Bill!$R$2)*Bill!$AF266</f>
        <v>0</v>
      </c>
      <c r="S266" s="48">
        <f>('Raw Data'!G268/100)*Bill!$AG266</f>
        <v>0</v>
      </c>
      <c r="T266" s="38">
        <f>SUM(Bill!$L266:$R266)</f>
        <v>0</v>
      </c>
      <c r="U266" s="49">
        <v>0.0</v>
      </c>
      <c r="V266" s="50"/>
      <c r="W266" s="38">
        <f>Bill!$U266-Bill!$T266</f>
        <v>0</v>
      </c>
      <c r="Y266" s="37">
        <f>'Raw Data'!D268</f>
        <v>45824</v>
      </c>
      <c r="Z266" s="41">
        <v>0.0</v>
      </c>
      <c r="AA266" s="47">
        <v>0.0</v>
      </c>
      <c r="AB266" s="47">
        <v>0.0</v>
      </c>
      <c r="AC266" s="47">
        <v>0.0</v>
      </c>
      <c r="AD266" s="47">
        <v>0.0</v>
      </c>
      <c r="AE266" s="47">
        <v>0.0</v>
      </c>
      <c r="AF266" s="47">
        <v>0.0</v>
      </c>
      <c r="AG266" s="47">
        <v>0.0</v>
      </c>
    </row>
    <row r="267" ht="15.75" customHeight="1">
      <c r="A267" s="35">
        <f>Bill!$Y267</f>
        <v>45825</v>
      </c>
      <c r="B267" s="43">
        <f>'Raw Data'!E269+Bill!$L$2</f>
        <v>142</v>
      </c>
      <c r="C267" s="43">
        <f>'Raw Data'!E269+Bill!$M$2</f>
        <v>147</v>
      </c>
      <c r="D267" s="43">
        <f>('Raw Data'!$F269*2)-10</f>
        <v>214</v>
      </c>
      <c r="E267" s="43">
        <f>'Raw Data'!F269+Bill!$O$2</f>
        <v>132</v>
      </c>
      <c r="F267" s="43">
        <f>'Raw Data'!F269+Bill!$P$2</f>
        <v>137</v>
      </c>
      <c r="G267" s="43"/>
      <c r="H267" s="43">
        <f>('Raw Data'!F269+Bill!$R$2)</f>
        <v>132</v>
      </c>
      <c r="I267" s="36">
        <f>'Raw Data'!G269/100</f>
        <v>5.6</v>
      </c>
      <c r="K267" s="37">
        <f>Bill!$Y267</f>
        <v>45825</v>
      </c>
      <c r="L267" s="38">
        <f>Bill!$AA267*('Raw Data'!$E269+$L$2)</f>
        <v>781</v>
      </c>
      <c r="M267" s="38">
        <f>Bill!$AB267*('Raw Data'!$E269+$M$2)</f>
        <v>1492.05</v>
      </c>
      <c r="N267" s="38">
        <f>(('Raw Data'!$F269 * 2)-10)*Bill!$AC267</f>
        <v>856</v>
      </c>
      <c r="O267" s="38">
        <f>('Raw Data'!F269+Bill!$O$2)*Bill!$AD267</f>
        <v>277.2</v>
      </c>
      <c r="P267" s="38">
        <f>('Raw Data'!F269+Bill!$P$2)*Bill!$AE267</f>
        <v>0</v>
      </c>
      <c r="Q267" s="38">
        <f>Bill!$Z267*('Raw Data'!$E269+$Q$2)</f>
        <v>0</v>
      </c>
      <c r="R267" s="38">
        <f>('Raw Data'!F269+Bill!$R$2)*Bill!$AF267</f>
        <v>0</v>
      </c>
      <c r="S267" s="48">
        <f>('Raw Data'!G269/100)*Bill!$AG267</f>
        <v>0</v>
      </c>
      <c r="T267" s="38">
        <f>SUM(Bill!$L267:$R267)</f>
        <v>3406.25</v>
      </c>
      <c r="U267" s="49">
        <v>3406.0</v>
      </c>
      <c r="V267" s="50"/>
      <c r="W267" s="38">
        <f>Bill!$U267-Bill!$T267</f>
        <v>-0.25</v>
      </c>
      <c r="Y267" s="37">
        <f>'Raw Data'!D269</f>
        <v>45825</v>
      </c>
      <c r="Z267" s="41">
        <v>0.0</v>
      </c>
      <c r="AA267" s="47">
        <v>5.5</v>
      </c>
      <c r="AB267" s="47">
        <v>10.15</v>
      </c>
      <c r="AC267" s="47">
        <v>4.0</v>
      </c>
      <c r="AD267" s="47">
        <v>2.1</v>
      </c>
      <c r="AE267" s="47">
        <v>0.0</v>
      </c>
      <c r="AF267" s="47">
        <v>0.0</v>
      </c>
      <c r="AG267" s="47">
        <v>0.0</v>
      </c>
    </row>
    <row r="268" ht="15.75" customHeight="1">
      <c r="A268" s="35">
        <f>Bill!$Y268</f>
        <v>45826</v>
      </c>
      <c r="B268" s="43">
        <f>'Raw Data'!E270+Bill!$L$2</f>
        <v>142</v>
      </c>
      <c r="C268" s="43">
        <f>'Raw Data'!E270+Bill!$M$2</f>
        <v>147</v>
      </c>
      <c r="D268" s="43">
        <f>('Raw Data'!$F270*2)-10</f>
        <v>214</v>
      </c>
      <c r="E268" s="43">
        <f>'Raw Data'!F270+Bill!$O$2</f>
        <v>132</v>
      </c>
      <c r="F268" s="43">
        <f>'Raw Data'!F270+Bill!$P$2</f>
        <v>137</v>
      </c>
      <c r="G268" s="43"/>
      <c r="H268" s="43">
        <f>('Raw Data'!F270+Bill!$R$2)</f>
        <v>132</v>
      </c>
      <c r="I268" s="36">
        <f>'Raw Data'!G270/100</f>
        <v>5.6</v>
      </c>
      <c r="K268" s="37">
        <f>Bill!$Y268</f>
        <v>45826</v>
      </c>
      <c r="L268" s="38">
        <f>Bill!$AA268*('Raw Data'!$E270+$L$2)</f>
        <v>0</v>
      </c>
      <c r="M268" s="38">
        <f>Bill!$AB268*('Raw Data'!$E270+$M$2)</f>
        <v>771.75</v>
      </c>
      <c r="N268" s="38">
        <f>(('Raw Data'!$F270 * 2)-10)*Bill!$AC268</f>
        <v>1070</v>
      </c>
      <c r="O268" s="38">
        <f>('Raw Data'!F270+Bill!$O$2)*Bill!$AD268</f>
        <v>0</v>
      </c>
      <c r="P268" s="38">
        <f>('Raw Data'!F270+Bill!$P$2)*Bill!$AE268</f>
        <v>274</v>
      </c>
      <c r="Q268" s="38">
        <f>Bill!$Z268*('Raw Data'!$E270+$Q$2)</f>
        <v>0</v>
      </c>
      <c r="R268" s="38">
        <f>('Raw Data'!F270+Bill!$R$2)*Bill!$AF268</f>
        <v>349.8</v>
      </c>
      <c r="S268" s="48">
        <f>('Raw Data'!G270/100)*Bill!$AG268</f>
        <v>0</v>
      </c>
      <c r="T268" s="38">
        <f>SUM(Bill!$L268:$R268)</f>
        <v>2465.55</v>
      </c>
      <c r="U268" s="49">
        <v>2476.0</v>
      </c>
      <c r="V268" s="50"/>
      <c r="W268" s="38">
        <f>Bill!$U268-Bill!$T268</f>
        <v>10.45</v>
      </c>
      <c r="Y268" s="37">
        <f>'Raw Data'!D270</f>
        <v>45826</v>
      </c>
      <c r="Z268" s="41">
        <v>0.0</v>
      </c>
      <c r="AA268" s="47">
        <v>0.0</v>
      </c>
      <c r="AB268" s="47">
        <v>5.25</v>
      </c>
      <c r="AC268" s="47">
        <v>5.0</v>
      </c>
      <c r="AD268" s="47"/>
      <c r="AE268" s="47">
        <v>2.0</v>
      </c>
      <c r="AF268" s="47">
        <v>2.65</v>
      </c>
      <c r="AG268" s="47">
        <v>0.0</v>
      </c>
    </row>
    <row r="269" ht="15.75" customHeight="1">
      <c r="A269" s="35">
        <f>Bill!$Y269</f>
        <v>45827</v>
      </c>
      <c r="B269" s="43">
        <f>'Raw Data'!E271+Bill!$L$2</f>
        <v>142</v>
      </c>
      <c r="C269" s="43">
        <f>'Raw Data'!E271+Bill!$M$2</f>
        <v>147</v>
      </c>
      <c r="D269" s="43">
        <f>('Raw Data'!$F271*2)-10</f>
        <v>218</v>
      </c>
      <c r="E269" s="43">
        <f>'Raw Data'!F271+Bill!$O$2</f>
        <v>134</v>
      </c>
      <c r="F269" s="43">
        <f>'Raw Data'!F271+Bill!$P$2</f>
        <v>139</v>
      </c>
      <c r="G269" s="43"/>
      <c r="H269" s="43">
        <f>('Raw Data'!F271+Bill!$R$2)</f>
        <v>134</v>
      </c>
      <c r="I269" s="36">
        <f>'Raw Data'!G271/100</f>
        <v>5.6</v>
      </c>
      <c r="K269" s="37">
        <f>Bill!$Y269</f>
        <v>45827</v>
      </c>
      <c r="L269" s="38">
        <f>Bill!$AA269*('Raw Data'!$E271+$L$2)</f>
        <v>1263.8</v>
      </c>
      <c r="M269" s="38">
        <f>Bill!$AB269*('Raw Data'!$E271+$M$2)</f>
        <v>2205</v>
      </c>
      <c r="N269" s="38">
        <f>(('Raw Data'!$F271 * 2)-10)*Bill!$AC269</f>
        <v>1090</v>
      </c>
      <c r="O269" s="38">
        <f>('Raw Data'!F271+Bill!$O$2)*Bill!$AD269</f>
        <v>0</v>
      </c>
      <c r="P269" s="38">
        <f>('Raw Data'!F271+Bill!$P$2)*Bill!$AE269</f>
        <v>0</v>
      </c>
      <c r="Q269" s="38">
        <f>Bill!$Z269*('Raw Data'!$E271+$Q$2)</f>
        <v>0</v>
      </c>
      <c r="R269" s="38">
        <f>('Raw Data'!F271+Bill!$R$2)*Bill!$AF269</f>
        <v>0</v>
      </c>
      <c r="S269" s="48">
        <f>('Raw Data'!G271/100)*Bill!$AG269</f>
        <v>0</v>
      </c>
      <c r="T269" s="38">
        <f>SUM(Bill!$L269:$R269)</f>
        <v>4558.8</v>
      </c>
      <c r="U269" s="49">
        <v>4559.0</v>
      </c>
      <c r="V269" s="50"/>
      <c r="W269" s="38">
        <f>Bill!$U269-Bill!$T269</f>
        <v>0.2</v>
      </c>
      <c r="Y269" s="37">
        <f>'Raw Data'!D271</f>
        <v>45827</v>
      </c>
      <c r="Z269" s="41">
        <v>0.0</v>
      </c>
      <c r="AA269" s="47">
        <v>8.9</v>
      </c>
      <c r="AB269" s="47">
        <v>15.0</v>
      </c>
      <c r="AC269" s="47">
        <v>5.0</v>
      </c>
      <c r="AD269" s="47">
        <v>0.0</v>
      </c>
      <c r="AE269" s="47">
        <v>0.0</v>
      </c>
      <c r="AF269" s="47">
        <v>0.0</v>
      </c>
      <c r="AG269" s="47">
        <v>0.0</v>
      </c>
    </row>
    <row r="270" ht="15.75" customHeight="1">
      <c r="A270" s="35">
        <f>Bill!$Y270</f>
        <v>45828</v>
      </c>
      <c r="B270" s="43">
        <f>'Raw Data'!E272+Bill!$L$2</f>
        <v>144</v>
      </c>
      <c r="C270" s="43">
        <f>'Raw Data'!E272+Bill!$M$2</f>
        <v>149</v>
      </c>
      <c r="D270" s="43">
        <f>('Raw Data'!$F272*2)-10</f>
        <v>226</v>
      </c>
      <c r="E270" s="43">
        <f>'Raw Data'!F272+Bill!$O$2</f>
        <v>138</v>
      </c>
      <c r="F270" s="43">
        <f>'Raw Data'!F272+Bill!$P$2</f>
        <v>143</v>
      </c>
      <c r="G270" s="43"/>
      <c r="H270" s="43">
        <f>('Raw Data'!F272+Bill!$R$2)</f>
        <v>138</v>
      </c>
      <c r="I270" s="36">
        <f>'Raw Data'!G272/100</f>
        <v>5.7</v>
      </c>
      <c r="K270" s="37">
        <f>Bill!$Y270</f>
        <v>45828</v>
      </c>
      <c r="L270" s="38">
        <f>Bill!$AA270*('Raw Data'!$E272+$L$2)</f>
        <v>0</v>
      </c>
      <c r="M270" s="38">
        <f>Bill!$AB270*('Raw Data'!$E272+$M$2)</f>
        <v>1519.8</v>
      </c>
      <c r="N270" s="38">
        <f>(('Raw Data'!$F272 * 2)-10)*Bill!$AC270</f>
        <v>1130</v>
      </c>
      <c r="O270" s="38">
        <f>('Raw Data'!F272+Bill!$O$2)*Bill!$AD270</f>
        <v>0</v>
      </c>
      <c r="P270" s="38">
        <f>('Raw Data'!F272+Bill!$P$2)*Bill!$AE270</f>
        <v>429</v>
      </c>
      <c r="Q270" s="38">
        <f>Bill!$Z270*('Raw Data'!$E272+$Q$2)</f>
        <v>0</v>
      </c>
      <c r="R270" s="38">
        <f>('Raw Data'!F272+Bill!$R$2)*Bill!$AF270</f>
        <v>0</v>
      </c>
      <c r="S270" s="48">
        <f>('Raw Data'!G272/100)*Bill!$AG270</f>
        <v>0</v>
      </c>
      <c r="T270" s="38">
        <f>SUM(Bill!$L270:$R270)</f>
        <v>3078.8</v>
      </c>
      <c r="U270" s="49">
        <v>3094.0</v>
      </c>
      <c r="V270" s="50"/>
      <c r="W270" s="38">
        <f>Bill!$U270-Bill!$T270</f>
        <v>15.2</v>
      </c>
      <c r="Y270" s="37">
        <f>'Raw Data'!D272</f>
        <v>45828</v>
      </c>
      <c r="Z270" s="41">
        <v>0.0</v>
      </c>
      <c r="AA270" s="47">
        <v>0.0</v>
      </c>
      <c r="AB270" s="47">
        <v>10.2</v>
      </c>
      <c r="AC270" s="47">
        <v>5.0</v>
      </c>
      <c r="AD270" s="47">
        <v>0.0</v>
      </c>
      <c r="AE270" s="47">
        <v>3.0</v>
      </c>
      <c r="AF270" s="47">
        <v>0.0</v>
      </c>
      <c r="AG270" s="47">
        <v>0.0</v>
      </c>
    </row>
    <row r="271" ht="15.75" customHeight="1">
      <c r="A271" s="35">
        <f>Bill!$Y271</f>
        <v>45829</v>
      </c>
      <c r="B271" s="43">
        <f>'Raw Data'!E273+Bill!$L$2</f>
        <v>146</v>
      </c>
      <c r="C271" s="43">
        <f>'Raw Data'!E273+Bill!$M$2</f>
        <v>151</v>
      </c>
      <c r="D271" s="43">
        <f>('Raw Data'!$F273*2)-10</f>
        <v>226</v>
      </c>
      <c r="E271" s="43">
        <f>'Raw Data'!F273+Bill!$O$2</f>
        <v>138</v>
      </c>
      <c r="F271" s="43">
        <f>'Raw Data'!F273+Bill!$P$2</f>
        <v>143</v>
      </c>
      <c r="G271" s="43"/>
      <c r="H271" s="43">
        <f>('Raw Data'!F273+Bill!$R$2)</f>
        <v>138</v>
      </c>
      <c r="I271" s="36">
        <f>'Raw Data'!G273/100</f>
        <v>5.8</v>
      </c>
      <c r="K271" s="37">
        <f>Bill!$Y271</f>
        <v>45829</v>
      </c>
      <c r="L271" s="38">
        <f>Bill!$AA271*('Raw Data'!$E273+$L$2)</f>
        <v>1664.4</v>
      </c>
      <c r="M271" s="38">
        <f>Bill!$AB271*('Raw Data'!$E273+$M$2)</f>
        <v>1510</v>
      </c>
      <c r="N271" s="38">
        <f>(('Raw Data'!$F273 * 2)-10)*Bill!$AC271</f>
        <v>1130</v>
      </c>
      <c r="O271" s="38">
        <f>('Raw Data'!F273+Bill!$O$2)*Bill!$AD271</f>
        <v>0</v>
      </c>
      <c r="P271" s="38">
        <f>('Raw Data'!F273+Bill!$P$2)*Bill!$AE271</f>
        <v>286</v>
      </c>
      <c r="Q271" s="38">
        <f>Bill!$Z271*('Raw Data'!$E273+$Q$2)</f>
        <v>0</v>
      </c>
      <c r="R271" s="38">
        <f>('Raw Data'!F273+Bill!$R$2)*Bill!$AF271</f>
        <v>0</v>
      </c>
      <c r="S271" s="48">
        <f>('Raw Data'!G273/100)*Bill!$AG271</f>
        <v>1044</v>
      </c>
      <c r="T271" s="38">
        <f>SUM(Bill!$L271:$R271)</f>
        <v>4590.4</v>
      </c>
      <c r="U271" s="49">
        <v>4600.0</v>
      </c>
      <c r="V271" s="50"/>
      <c r="W271" s="38">
        <f>Bill!$U271-Bill!$T271</f>
        <v>9.6</v>
      </c>
      <c r="Y271" s="37">
        <f>'Raw Data'!D273</f>
        <v>45829</v>
      </c>
      <c r="Z271" s="41">
        <v>0.0</v>
      </c>
      <c r="AA271" s="47">
        <v>11.4</v>
      </c>
      <c r="AB271" s="47">
        <v>10.0</v>
      </c>
      <c r="AC271" s="47">
        <v>5.0</v>
      </c>
      <c r="AD271" s="47">
        <v>0.0</v>
      </c>
      <c r="AE271" s="47">
        <v>2.0</v>
      </c>
      <c r="AF271" s="47">
        <v>0.0</v>
      </c>
      <c r="AG271" s="47">
        <v>180.0</v>
      </c>
    </row>
    <row r="272" ht="15.75" customHeight="1">
      <c r="A272" s="35">
        <f>Bill!$Y272</f>
        <v>45830</v>
      </c>
      <c r="B272" s="43">
        <f>'Raw Data'!E274+Bill!$L$2</f>
        <v>148</v>
      </c>
      <c r="C272" s="43">
        <f>'Raw Data'!E274+Bill!$M$2</f>
        <v>153</v>
      </c>
      <c r="D272" s="43">
        <f>('Raw Data'!$F274*2)-10</f>
        <v>226</v>
      </c>
      <c r="E272" s="43">
        <f>'Raw Data'!F274+Bill!$O$2</f>
        <v>138</v>
      </c>
      <c r="F272" s="43">
        <f>'Raw Data'!F274+Bill!$P$2</f>
        <v>143</v>
      </c>
      <c r="G272" s="43"/>
      <c r="H272" s="43">
        <f>('Raw Data'!F274+Bill!$R$2)</f>
        <v>138</v>
      </c>
      <c r="I272" s="36">
        <f>'Raw Data'!G274/100</f>
        <v>5.85</v>
      </c>
      <c r="K272" s="37">
        <f>Bill!$Y272</f>
        <v>45830</v>
      </c>
      <c r="L272" s="38">
        <f>Bill!$AA272*('Raw Data'!$E274+$L$2)</f>
        <v>0</v>
      </c>
      <c r="M272" s="38">
        <f>Bill!$AB272*('Raw Data'!$E274+$M$2)</f>
        <v>810.9</v>
      </c>
      <c r="N272" s="38">
        <f>(('Raw Data'!$F274 * 2)-10)*Bill!$AC272</f>
        <v>1130</v>
      </c>
      <c r="O272" s="38">
        <f>('Raw Data'!F274+Bill!$O$2)*Bill!$AD272</f>
        <v>414</v>
      </c>
      <c r="P272" s="38">
        <f>('Raw Data'!F274+Bill!$P$2)*Bill!$AE272</f>
        <v>0</v>
      </c>
      <c r="Q272" s="38">
        <f>Bill!$Z272*('Raw Data'!$E274+$Q$2)</f>
        <v>0</v>
      </c>
      <c r="R272" s="38">
        <f>('Raw Data'!F274+Bill!$R$2)*Bill!$AF272</f>
        <v>0</v>
      </c>
      <c r="S272" s="48">
        <f>('Raw Data'!G274/100)*Bill!$AG272</f>
        <v>0</v>
      </c>
      <c r="T272" s="38">
        <f>SUM(Bill!$L272:$R272)</f>
        <v>2354.9</v>
      </c>
      <c r="U272" s="49">
        <v>2359.0</v>
      </c>
      <c r="V272" s="50"/>
      <c r="W272" s="38">
        <f>Bill!$U272-Bill!$T272</f>
        <v>4.1</v>
      </c>
      <c r="Y272" s="37">
        <f>'Raw Data'!D274</f>
        <v>45830</v>
      </c>
      <c r="Z272" s="41">
        <v>0.0</v>
      </c>
      <c r="AA272" s="47">
        <v>0.0</v>
      </c>
      <c r="AB272" s="47">
        <v>5.3</v>
      </c>
      <c r="AC272" s="47">
        <v>5.0</v>
      </c>
      <c r="AD272" s="47">
        <v>3.0</v>
      </c>
      <c r="AE272" s="47">
        <v>0.0</v>
      </c>
      <c r="AF272" s="47">
        <v>0.0</v>
      </c>
      <c r="AG272" s="47">
        <v>0.0</v>
      </c>
    </row>
    <row r="273" ht="15.75" customHeight="1">
      <c r="A273" s="35">
        <f>Bill!$Y273</f>
        <v>45831</v>
      </c>
      <c r="B273" s="43">
        <f>'Raw Data'!E275+Bill!$L$2</f>
        <v>148</v>
      </c>
      <c r="C273" s="43">
        <f>'Raw Data'!E275+Bill!$M$2</f>
        <v>153</v>
      </c>
      <c r="D273" s="43">
        <f>('Raw Data'!$F275*2)-10</f>
        <v>226</v>
      </c>
      <c r="E273" s="43">
        <f>'Raw Data'!F275+Bill!$O$2</f>
        <v>138</v>
      </c>
      <c r="F273" s="43">
        <f>'Raw Data'!F275+Bill!$P$2</f>
        <v>143</v>
      </c>
      <c r="G273" s="43"/>
      <c r="H273" s="43">
        <f>('Raw Data'!F275+Bill!$R$2)</f>
        <v>138</v>
      </c>
      <c r="I273" s="36">
        <f>'Raw Data'!G275/100</f>
        <v>5.9</v>
      </c>
      <c r="K273" s="37">
        <f>Bill!$Y273</f>
        <v>45831</v>
      </c>
      <c r="L273" s="38">
        <f>Bill!$AA273*('Raw Data'!$E275+$L$2)</f>
        <v>1480</v>
      </c>
      <c r="M273" s="38">
        <f>Bill!$AB273*('Raw Data'!$E275+$M$2)</f>
        <v>1575.9</v>
      </c>
      <c r="N273" s="38">
        <f>(('Raw Data'!$F275 * 2)-10)*Bill!$AC273</f>
        <v>1130</v>
      </c>
      <c r="O273" s="38">
        <f>('Raw Data'!F275+Bill!$O$2)*Bill!$AD273</f>
        <v>0</v>
      </c>
      <c r="P273" s="38">
        <f>('Raw Data'!F275+Bill!$P$2)*Bill!$AE273</f>
        <v>286</v>
      </c>
      <c r="Q273" s="38">
        <f>Bill!$Z273*('Raw Data'!$E275+$Q$2)</f>
        <v>0</v>
      </c>
      <c r="R273" s="38">
        <f>('Raw Data'!F275+Bill!$R$2)*Bill!$AF273</f>
        <v>393.3</v>
      </c>
      <c r="S273" s="48">
        <f>('Raw Data'!G275/100)*Bill!$AG273</f>
        <v>0</v>
      </c>
      <c r="T273" s="38">
        <f>SUM(Bill!$L273:$R273)</f>
        <v>4865.2</v>
      </c>
      <c r="U273" s="49">
        <v>4875.0</v>
      </c>
      <c r="V273" s="50"/>
      <c r="W273" s="38">
        <f>Bill!$U273-Bill!$T273</f>
        <v>9.8</v>
      </c>
      <c r="Y273" s="37">
        <f>'Raw Data'!D275</f>
        <v>45831</v>
      </c>
      <c r="Z273" s="41">
        <v>0.0</v>
      </c>
      <c r="AA273" s="47">
        <v>10.0</v>
      </c>
      <c r="AB273" s="47">
        <v>10.3</v>
      </c>
      <c r="AC273" s="47">
        <v>5.0</v>
      </c>
      <c r="AD273" s="47">
        <v>0.0</v>
      </c>
      <c r="AE273" s="47">
        <v>2.0</v>
      </c>
      <c r="AF273" s="47">
        <v>2.85</v>
      </c>
      <c r="AG273" s="47">
        <v>0.0</v>
      </c>
    </row>
    <row r="274" ht="15.75" customHeight="1">
      <c r="A274" s="35">
        <f>Bill!$Y274</f>
        <v>45832</v>
      </c>
      <c r="B274" s="43">
        <f>'Raw Data'!E276+Bill!$L$2</f>
        <v>148</v>
      </c>
      <c r="C274" s="43">
        <f>'Raw Data'!E276+Bill!$M$2</f>
        <v>153</v>
      </c>
      <c r="D274" s="43">
        <f>('Raw Data'!$F276*2)-10</f>
        <v>226</v>
      </c>
      <c r="E274" s="43">
        <f>'Raw Data'!F276+Bill!$O$2</f>
        <v>138</v>
      </c>
      <c r="F274" s="43">
        <f>'Raw Data'!F276+Bill!$P$2</f>
        <v>143</v>
      </c>
      <c r="G274" s="43"/>
      <c r="H274" s="43">
        <f>('Raw Data'!F276+Bill!$R$2)</f>
        <v>138</v>
      </c>
      <c r="I274" s="36">
        <f>'Raw Data'!G276/100</f>
        <v>5.95</v>
      </c>
      <c r="K274" s="37">
        <f>Bill!$Y274</f>
        <v>45832</v>
      </c>
      <c r="L274" s="38">
        <f>Bill!$AA274*('Raw Data'!$E276+$L$2)</f>
        <v>0</v>
      </c>
      <c r="M274" s="38">
        <f>Bill!$AB274*('Raw Data'!$E276+$M$2)</f>
        <v>765</v>
      </c>
      <c r="N274" s="38">
        <f>(('Raw Data'!$F276 * 2)-10)*Bill!$AC274</f>
        <v>3390</v>
      </c>
      <c r="O274" s="38">
        <f>('Raw Data'!F276+Bill!$O$2)*Bill!$AD274</f>
        <v>427.8</v>
      </c>
      <c r="P274" s="38">
        <f>('Raw Data'!F276+Bill!$P$2)*Bill!$AE274</f>
        <v>0</v>
      </c>
      <c r="Q274" s="38">
        <f>Bill!$Z274*('Raw Data'!$E276+$Q$2)</f>
        <v>0</v>
      </c>
      <c r="R274" s="38">
        <f>('Raw Data'!F276+Bill!$R$2)*Bill!$AF274</f>
        <v>0</v>
      </c>
      <c r="S274" s="48">
        <f>('Raw Data'!G276/100)*Bill!$AG274</f>
        <v>0</v>
      </c>
      <c r="T274" s="38">
        <f>SUM(Bill!$L274:$R274)</f>
        <v>4582.8</v>
      </c>
      <c r="U274" s="49">
        <v>4583.0</v>
      </c>
      <c r="V274" s="50"/>
      <c r="W274" s="38">
        <f>Bill!$U274-Bill!$T274</f>
        <v>0.2</v>
      </c>
      <c r="Y274" s="37">
        <f>'Raw Data'!D276</f>
        <v>45832</v>
      </c>
      <c r="Z274" s="41">
        <v>0.0</v>
      </c>
      <c r="AA274" s="47">
        <v>0.0</v>
      </c>
      <c r="AB274" s="47">
        <v>5.0</v>
      </c>
      <c r="AC274" s="47">
        <v>15.0</v>
      </c>
      <c r="AD274" s="47">
        <v>3.1</v>
      </c>
      <c r="AE274" s="47">
        <v>0.0</v>
      </c>
      <c r="AF274" s="47">
        <v>0.0</v>
      </c>
      <c r="AG274" s="47">
        <v>0.0</v>
      </c>
    </row>
    <row r="275" ht="15.75" customHeight="1">
      <c r="A275" s="35">
        <f>Bill!$Y275</f>
        <v>45833</v>
      </c>
      <c r="B275" s="43">
        <f>'Raw Data'!E277+Bill!$L$2</f>
        <v>148</v>
      </c>
      <c r="C275" s="43">
        <f>'Raw Data'!E277+Bill!$M$2</f>
        <v>153</v>
      </c>
      <c r="D275" s="43">
        <f>('Raw Data'!$F277*2)-10</f>
        <v>230</v>
      </c>
      <c r="E275" s="43">
        <f>'Raw Data'!F277+Bill!$O$2</f>
        <v>140</v>
      </c>
      <c r="F275" s="43">
        <f>'Raw Data'!F277+Bill!$P$2</f>
        <v>145</v>
      </c>
      <c r="G275" s="43"/>
      <c r="H275" s="43">
        <f>('Raw Data'!F277+Bill!$R$2)</f>
        <v>140</v>
      </c>
      <c r="I275" s="36">
        <f>'Raw Data'!G277/100</f>
        <v>6.01</v>
      </c>
      <c r="K275" s="37">
        <f>Bill!$Y275</f>
        <v>45833</v>
      </c>
      <c r="L275" s="38">
        <f>Bill!$AA275*('Raw Data'!$E277+$L$2)</f>
        <v>1480</v>
      </c>
      <c r="M275" s="38">
        <f>Bill!$AB275*('Raw Data'!$E277+$M$2)</f>
        <v>3075.3</v>
      </c>
      <c r="N275" s="38">
        <f>(('Raw Data'!$F277 * 2)-10)*Bill!$AC275</f>
        <v>1150</v>
      </c>
      <c r="O275" s="38">
        <f>('Raw Data'!F277+Bill!$O$2)*Bill!$AD275</f>
        <v>0</v>
      </c>
      <c r="P275" s="38">
        <f>('Raw Data'!F277+Bill!$P$2)*Bill!$AE275</f>
        <v>290</v>
      </c>
      <c r="Q275" s="38">
        <f>Bill!$Z275*('Raw Data'!$E277+$Q$2)</f>
        <v>0</v>
      </c>
      <c r="R275" s="38">
        <f>('Raw Data'!F277+Bill!$R$2)*Bill!$AF275</f>
        <v>0</v>
      </c>
      <c r="S275" s="48">
        <f>('Raw Data'!G277/100)*Bill!$AG275</f>
        <v>0</v>
      </c>
      <c r="T275" s="38">
        <f>SUM(Bill!$L275:$R275)</f>
        <v>5995.3</v>
      </c>
      <c r="U275" s="49">
        <v>6005.0</v>
      </c>
      <c r="V275" s="50"/>
      <c r="W275" s="38">
        <f>Bill!$U275-Bill!$T275</f>
        <v>9.7</v>
      </c>
      <c r="Y275" s="37">
        <f>'Raw Data'!D277</f>
        <v>45833</v>
      </c>
      <c r="Z275" s="41">
        <v>0.0</v>
      </c>
      <c r="AA275" s="47">
        <v>10.0</v>
      </c>
      <c r="AB275" s="47">
        <v>20.1</v>
      </c>
      <c r="AC275" s="47">
        <v>5.0</v>
      </c>
      <c r="AD275" s="47">
        <v>0.0</v>
      </c>
      <c r="AE275" s="47">
        <v>2.0</v>
      </c>
      <c r="AF275" s="47">
        <v>0.0</v>
      </c>
      <c r="AG275" s="47">
        <v>0.0</v>
      </c>
    </row>
    <row r="276" ht="15.75" customHeight="1">
      <c r="A276" s="35">
        <f>Bill!$Y276</f>
        <v>45834</v>
      </c>
      <c r="B276" s="43">
        <f>'Raw Data'!E278+Bill!$L$2</f>
        <v>148</v>
      </c>
      <c r="C276" s="43">
        <f>'Raw Data'!E278+Bill!$M$2</f>
        <v>153</v>
      </c>
      <c r="D276" s="43">
        <f>('Raw Data'!$F278*2)-10</f>
        <v>230</v>
      </c>
      <c r="E276" s="43">
        <f>'Raw Data'!F278+Bill!$O$2</f>
        <v>140</v>
      </c>
      <c r="F276" s="43">
        <f>'Raw Data'!F278+Bill!$P$2</f>
        <v>145</v>
      </c>
      <c r="G276" s="43"/>
      <c r="H276" s="43">
        <f>('Raw Data'!F278+Bill!$R$2)</f>
        <v>140</v>
      </c>
      <c r="I276" s="36">
        <f>'Raw Data'!G278/100</f>
        <v>6.06</v>
      </c>
      <c r="K276" s="37">
        <f>Bill!$Y276</f>
        <v>45834</v>
      </c>
      <c r="L276" s="38">
        <f>Bill!$AA276*('Raw Data'!$E278+$L$2)</f>
        <v>0</v>
      </c>
      <c r="M276" s="38">
        <f>Bill!$AB276*('Raw Data'!$E278+$M$2)</f>
        <v>780.3</v>
      </c>
      <c r="N276" s="38">
        <f>(('Raw Data'!$F278 * 2)-10)*Bill!$AC276</f>
        <v>1150</v>
      </c>
      <c r="O276" s="38">
        <f>('Raw Data'!F278+Bill!$O$2)*Bill!$AD276</f>
        <v>434</v>
      </c>
      <c r="P276" s="38">
        <f>('Raw Data'!F278+Bill!$P$2)*Bill!$AE276</f>
        <v>435</v>
      </c>
      <c r="Q276" s="38">
        <f>Bill!$Z276*('Raw Data'!$E278+$Q$2)</f>
        <v>0</v>
      </c>
      <c r="R276" s="38">
        <f>('Raw Data'!F278+Bill!$R$2)*Bill!$AF276</f>
        <v>0</v>
      </c>
      <c r="S276" s="48">
        <f>('Raw Data'!G278/100)*Bill!$AG276</f>
        <v>1090.8</v>
      </c>
      <c r="T276" s="38">
        <f>SUM(Bill!$L276:$R276)</f>
        <v>2799.3</v>
      </c>
      <c r="U276" s="49">
        <v>2814.0</v>
      </c>
      <c r="V276" s="50"/>
      <c r="W276" s="38">
        <f>Bill!$U276-Bill!$T276</f>
        <v>14.7</v>
      </c>
      <c r="Y276" s="37">
        <f>'Raw Data'!D278</f>
        <v>45834</v>
      </c>
      <c r="Z276" s="41">
        <v>0.0</v>
      </c>
      <c r="AA276" s="47">
        <v>0.0</v>
      </c>
      <c r="AB276" s="47">
        <v>5.1</v>
      </c>
      <c r="AC276" s="47">
        <v>5.0</v>
      </c>
      <c r="AD276" s="47">
        <v>3.1</v>
      </c>
      <c r="AE276" s="47">
        <v>3.0</v>
      </c>
      <c r="AF276" s="47">
        <v>0.0</v>
      </c>
      <c r="AG276" s="47">
        <v>180.0</v>
      </c>
    </row>
    <row r="277" ht="15.75" customHeight="1">
      <c r="A277" s="35">
        <f>Bill!$Y277</f>
        <v>45835</v>
      </c>
      <c r="B277" s="43">
        <f>'Raw Data'!E279+Bill!$L$2</f>
        <v>148</v>
      </c>
      <c r="C277" s="43">
        <f>'Raw Data'!E279+Bill!$M$2</f>
        <v>153</v>
      </c>
      <c r="D277" s="43">
        <f>('Raw Data'!$F279*2)-10</f>
        <v>230</v>
      </c>
      <c r="E277" s="43">
        <f>'Raw Data'!F279+Bill!$O$2</f>
        <v>140</v>
      </c>
      <c r="F277" s="43">
        <f>'Raw Data'!F279+Bill!$P$2</f>
        <v>145</v>
      </c>
      <c r="G277" s="43"/>
      <c r="H277" s="43">
        <f>('Raw Data'!F279+Bill!$R$2)</f>
        <v>140</v>
      </c>
      <c r="I277" s="36">
        <f>'Raw Data'!G279/100</f>
        <v>6.11</v>
      </c>
      <c r="K277" s="37">
        <f>Bill!$Y277</f>
        <v>45835</v>
      </c>
      <c r="L277" s="38">
        <f>Bill!$AA277*('Raw Data'!$E279+$L$2)</f>
        <v>1450.4</v>
      </c>
      <c r="M277" s="38">
        <f>Bill!$AB277*('Raw Data'!$E279+$M$2)</f>
        <v>2310.3</v>
      </c>
      <c r="N277" s="38">
        <f>(('Raw Data'!$F279 * 2)-10)*Bill!$AC277</f>
        <v>920</v>
      </c>
      <c r="O277" s="38">
        <f>('Raw Data'!F279+Bill!$O$2)*Bill!$AD277</f>
        <v>0</v>
      </c>
      <c r="P277" s="38">
        <f>('Raw Data'!F279+Bill!$P$2)*Bill!$AE277</f>
        <v>0</v>
      </c>
      <c r="Q277" s="38">
        <f>Bill!$Z277*('Raw Data'!$E279+$Q$2)</f>
        <v>0</v>
      </c>
      <c r="R277" s="38">
        <f>('Raw Data'!F279+Bill!$R$2)*Bill!$AF277</f>
        <v>0</v>
      </c>
      <c r="S277" s="48">
        <f>('Raw Data'!G279/100)*Bill!$AG277</f>
        <v>0</v>
      </c>
      <c r="T277" s="38">
        <f>SUM(Bill!$L277:$R277)</f>
        <v>4680.7</v>
      </c>
      <c r="U277" s="49">
        <v>4680.0</v>
      </c>
      <c r="V277" s="50"/>
      <c r="W277" s="38">
        <f>Bill!$U277-Bill!$T277</f>
        <v>-0.7</v>
      </c>
      <c r="Y277" s="37">
        <f>'Raw Data'!D279</f>
        <v>45835</v>
      </c>
      <c r="Z277" s="41">
        <v>0.0</v>
      </c>
      <c r="AA277" s="47">
        <v>9.8</v>
      </c>
      <c r="AB277" s="47">
        <v>15.1</v>
      </c>
      <c r="AC277" s="47">
        <v>4.0</v>
      </c>
      <c r="AD277" s="47">
        <v>0.0</v>
      </c>
      <c r="AE277" s="47">
        <v>0.0</v>
      </c>
      <c r="AF277" s="47">
        <v>0.0</v>
      </c>
      <c r="AG277" s="47">
        <v>0.0</v>
      </c>
    </row>
    <row r="278" ht="15.75" customHeight="1">
      <c r="A278" s="35">
        <f>Bill!$Y278</f>
        <v>45836</v>
      </c>
      <c r="B278" s="43">
        <f>'Raw Data'!E280+Bill!$L$2</f>
        <v>148</v>
      </c>
      <c r="C278" s="43">
        <f>'Raw Data'!E280+Bill!$M$2</f>
        <v>153</v>
      </c>
      <c r="D278" s="43">
        <f>('Raw Data'!$F280*2)-10</f>
        <v>230</v>
      </c>
      <c r="E278" s="43">
        <f>'Raw Data'!F280+Bill!$O$2</f>
        <v>140</v>
      </c>
      <c r="F278" s="43">
        <f>'Raw Data'!F280+Bill!$P$2</f>
        <v>145</v>
      </c>
      <c r="G278" s="43"/>
      <c r="H278" s="43">
        <f>('Raw Data'!F280+Bill!$R$2)</f>
        <v>140</v>
      </c>
      <c r="I278" s="36">
        <f>'Raw Data'!G280/100</f>
        <v>6.16</v>
      </c>
      <c r="K278" s="37">
        <f>Bill!$Y278</f>
        <v>45836</v>
      </c>
      <c r="L278" s="38">
        <f>Bill!$AA278*('Raw Data'!$E280+$L$2)</f>
        <v>799.2</v>
      </c>
      <c r="M278" s="38">
        <f>Bill!$AB278*('Raw Data'!$E280+$M$2)</f>
        <v>2340.9</v>
      </c>
      <c r="N278" s="38">
        <f>(('Raw Data'!$F280 * 2)-10)*Bill!$AC278</f>
        <v>1150</v>
      </c>
      <c r="O278" s="38">
        <f>('Raw Data'!F280+Bill!$O$2)*Bill!$AD278</f>
        <v>0</v>
      </c>
      <c r="P278" s="38">
        <f>('Raw Data'!F280+Bill!$P$2)*Bill!$AE278</f>
        <v>0</v>
      </c>
      <c r="Q278" s="38">
        <f>Bill!$Z278*('Raw Data'!$E280+$Q$2)</f>
        <v>0</v>
      </c>
      <c r="R278" s="38">
        <f>('Raw Data'!F280+Bill!$R$2)*Bill!$AF278</f>
        <v>0</v>
      </c>
      <c r="S278" s="48">
        <f>('Raw Data'!G280/100)*Bill!$AG278</f>
        <v>0</v>
      </c>
      <c r="T278" s="38">
        <f>SUM(Bill!$L278:$R278)</f>
        <v>4290.1</v>
      </c>
      <c r="U278" s="49">
        <v>4291.0</v>
      </c>
      <c r="V278" s="50"/>
      <c r="W278" s="38">
        <f>Bill!$U278-Bill!$T278</f>
        <v>0.9</v>
      </c>
      <c r="Y278" s="37">
        <f>'Raw Data'!D280</f>
        <v>45836</v>
      </c>
      <c r="Z278" s="41">
        <v>0.0</v>
      </c>
      <c r="AA278" s="47">
        <v>5.4</v>
      </c>
      <c r="AB278" s="47">
        <v>15.3</v>
      </c>
      <c r="AC278" s="47">
        <v>5.0</v>
      </c>
      <c r="AD278" s="47">
        <v>0.0</v>
      </c>
      <c r="AE278" s="47">
        <v>0.0</v>
      </c>
      <c r="AF278" s="47">
        <v>0.0</v>
      </c>
      <c r="AG278" s="47">
        <v>0.0</v>
      </c>
    </row>
    <row r="279" ht="15.75" customHeight="1">
      <c r="A279" s="35">
        <f>Bill!$Y279</f>
        <v>45837</v>
      </c>
      <c r="B279" s="43">
        <f>'Raw Data'!E281+Bill!$L$2</f>
        <v>148</v>
      </c>
      <c r="C279" s="43">
        <f>'Raw Data'!E281+Bill!$M$2</f>
        <v>153</v>
      </c>
      <c r="D279" s="43">
        <f>('Raw Data'!$F281*2)-10</f>
        <v>230</v>
      </c>
      <c r="E279" s="43">
        <f>'Raw Data'!F281+Bill!$O$2</f>
        <v>140</v>
      </c>
      <c r="F279" s="43">
        <f>'Raw Data'!F281+Bill!$P$2</f>
        <v>145</v>
      </c>
      <c r="G279" s="43"/>
      <c r="H279" s="43">
        <f>('Raw Data'!F281+Bill!$R$2)</f>
        <v>140</v>
      </c>
      <c r="I279" s="36">
        <f>'Raw Data'!G281/100</f>
        <v>6.21</v>
      </c>
      <c r="K279" s="37">
        <f>Bill!$Y279</f>
        <v>45837</v>
      </c>
      <c r="L279" s="38">
        <f>Bill!$AA279*('Raw Data'!$E281+$L$2)</f>
        <v>1704.96</v>
      </c>
      <c r="M279" s="38">
        <f>Bill!$AB279*('Raw Data'!$E281+$M$2)</f>
        <v>1530</v>
      </c>
      <c r="N279" s="38">
        <f>(('Raw Data'!$F281 * 2)-10)*Bill!$AC279</f>
        <v>1380</v>
      </c>
      <c r="O279" s="38">
        <f>('Raw Data'!F281+Bill!$O$2)*Bill!$AD279</f>
        <v>406</v>
      </c>
      <c r="P279" s="38">
        <f>('Raw Data'!F281+Bill!$P$2)*Bill!$AE279</f>
        <v>435</v>
      </c>
      <c r="Q279" s="38">
        <f>Bill!$Z279*('Raw Data'!$E281+$Q$2)</f>
        <v>0</v>
      </c>
      <c r="R279" s="38">
        <f>('Raw Data'!F281+Bill!$R$2)*Bill!$AF279</f>
        <v>0</v>
      </c>
      <c r="S279" s="48">
        <f>('Raw Data'!G281/100)*Bill!$AG279</f>
        <v>0</v>
      </c>
      <c r="T279" s="38">
        <f>SUM(Bill!$L279:$R279)</f>
        <v>5455.96</v>
      </c>
      <c r="U279" s="49">
        <v>5497.0</v>
      </c>
      <c r="V279" s="50"/>
      <c r="W279" s="38">
        <f>Bill!$U279-Bill!$T279</f>
        <v>41.04</v>
      </c>
      <c r="Y279" s="37">
        <f>'Raw Data'!D281</f>
        <v>45837</v>
      </c>
      <c r="Z279" s="41">
        <v>0.0</v>
      </c>
      <c r="AA279" s="47">
        <v>11.52</v>
      </c>
      <c r="AB279" s="47">
        <v>10.0</v>
      </c>
      <c r="AC279" s="47">
        <v>6.0</v>
      </c>
      <c r="AD279" s="47">
        <v>2.9</v>
      </c>
      <c r="AE279" s="47">
        <v>3.0</v>
      </c>
      <c r="AF279" s="47">
        <v>0.0</v>
      </c>
      <c r="AG279" s="47">
        <v>0.0</v>
      </c>
    </row>
    <row r="280" ht="15.75" customHeight="1">
      <c r="A280" s="35">
        <f>Bill!$Y280</f>
        <v>45838</v>
      </c>
      <c r="B280" s="43">
        <f>'Raw Data'!E282+Bill!$L$2</f>
        <v>148</v>
      </c>
      <c r="C280" s="43">
        <f>'Raw Data'!E282+Bill!$M$2</f>
        <v>153</v>
      </c>
      <c r="D280" s="43">
        <f>('Raw Data'!$F282*2)-10</f>
        <v>214</v>
      </c>
      <c r="E280" s="43">
        <f>'Raw Data'!F282+Bill!$O$2</f>
        <v>132</v>
      </c>
      <c r="F280" s="43">
        <f>'Raw Data'!F282+Bill!$P$2</f>
        <v>137</v>
      </c>
      <c r="G280" s="43"/>
      <c r="H280" s="43">
        <f>('Raw Data'!F282+Bill!$R$2)</f>
        <v>132</v>
      </c>
      <c r="I280" s="36">
        <f>'Raw Data'!G282/100</f>
        <v>6.25</v>
      </c>
      <c r="K280" s="37">
        <f>Bill!$Y280</f>
        <v>45838</v>
      </c>
      <c r="L280" s="38">
        <f>Bill!$AA280*('Raw Data'!$E282+$L$2)</f>
        <v>1406</v>
      </c>
      <c r="M280" s="38">
        <f>Bill!$AB280*('Raw Data'!$E282+$M$2)</f>
        <v>765</v>
      </c>
      <c r="N280" s="38">
        <f>(('Raw Data'!$F282 * 2)-10)*Bill!$AC280</f>
        <v>1284</v>
      </c>
      <c r="O280" s="38">
        <f>('Raw Data'!F282+Bill!$O$2)*Bill!$AD280</f>
        <v>0</v>
      </c>
      <c r="P280" s="38">
        <f>('Raw Data'!F282+Bill!$P$2)*Bill!$AE280</f>
        <v>0</v>
      </c>
      <c r="Q280" s="38">
        <f>Bill!$Z280*('Raw Data'!$E282+$Q$2)</f>
        <v>0</v>
      </c>
      <c r="R280" s="38">
        <f>('Raw Data'!F282+Bill!$R$2)*Bill!$AF280</f>
        <v>356.4</v>
      </c>
      <c r="S280" s="48">
        <f>('Raw Data'!G282/100)*Bill!$AG280</f>
        <v>937.5</v>
      </c>
      <c r="T280" s="38">
        <f>SUM(Bill!$L280:$R280)</f>
        <v>3811.4</v>
      </c>
      <c r="U280" s="49">
        <v>3829.0</v>
      </c>
      <c r="V280" s="50"/>
      <c r="W280" s="38">
        <f>Bill!$U280-Bill!$T280</f>
        <v>17.6</v>
      </c>
      <c r="Y280" s="37">
        <f>'Raw Data'!D282</f>
        <v>45838</v>
      </c>
      <c r="Z280" s="41">
        <v>0.0</v>
      </c>
      <c r="AA280" s="47">
        <v>9.5</v>
      </c>
      <c r="AB280" s="47">
        <v>5.0</v>
      </c>
      <c r="AC280" s="47">
        <v>6.0</v>
      </c>
      <c r="AD280" s="47">
        <v>0.0</v>
      </c>
      <c r="AE280" s="47">
        <v>0.0</v>
      </c>
      <c r="AF280" s="47">
        <v>2.7</v>
      </c>
      <c r="AG280" s="47">
        <v>150.0</v>
      </c>
    </row>
    <row r="281" ht="15.75" customHeight="1">
      <c r="A281" s="35">
        <f>Bill!$Y281</f>
        <v>45839</v>
      </c>
      <c r="B281" s="43">
        <f>'Raw Data'!E283+Bill!$L$2</f>
        <v>148</v>
      </c>
      <c r="C281" s="43">
        <f>'Raw Data'!E283+Bill!$M$2</f>
        <v>153</v>
      </c>
      <c r="D281" s="43">
        <f>('Raw Data'!$F283*2)-10</f>
        <v>214</v>
      </c>
      <c r="E281" s="43">
        <f>'Raw Data'!F283+Bill!$O$2</f>
        <v>132</v>
      </c>
      <c r="F281" s="43">
        <f>'Raw Data'!F283+Bill!$P$2</f>
        <v>137</v>
      </c>
      <c r="G281" s="43"/>
      <c r="H281" s="43">
        <f>('Raw Data'!F283+Bill!$R$2)</f>
        <v>132</v>
      </c>
      <c r="I281" s="36">
        <f>'Raw Data'!G283/100</f>
        <v>6.3</v>
      </c>
      <c r="K281" s="37">
        <f>Bill!$Y281</f>
        <v>45839</v>
      </c>
      <c r="L281" s="38">
        <f>Bill!$AA281*('Raw Data'!$E283+$L$2)</f>
        <v>0</v>
      </c>
      <c r="M281" s="38">
        <f>Bill!$AB281*('Raw Data'!$E283+$M$2)</f>
        <v>787.95</v>
      </c>
      <c r="N281" s="38">
        <f>(('Raw Data'!$F283 * 2)-10)*Bill!$AC281</f>
        <v>0</v>
      </c>
      <c r="O281" s="38">
        <f>('Raw Data'!F283+Bill!$O$2)*Bill!$AD281</f>
        <v>0</v>
      </c>
      <c r="P281" s="38">
        <f>('Raw Data'!F283+Bill!$P$2)*Bill!$AE281</f>
        <v>0</v>
      </c>
      <c r="Q281" s="38">
        <f>Bill!$Z281*('Raw Data'!$E283+$Q$2)</f>
        <v>0</v>
      </c>
      <c r="R281" s="38">
        <f>('Raw Data'!F283+Bill!$R$2)*Bill!$AF281</f>
        <v>0</v>
      </c>
      <c r="S281" s="48">
        <f>('Raw Data'!G283/100)*Bill!$AG281</f>
        <v>0</v>
      </c>
      <c r="T281" s="38">
        <f>SUM(Bill!$L281:$R281)</f>
        <v>787.95</v>
      </c>
      <c r="U281" s="49">
        <v>788.0</v>
      </c>
      <c r="V281" s="50"/>
      <c r="W281" s="38">
        <f>Bill!$U281-Bill!$T281</f>
        <v>0.05</v>
      </c>
      <c r="Y281" s="37">
        <f>'Raw Data'!D283</f>
        <v>45839</v>
      </c>
      <c r="Z281" s="41">
        <v>0.0</v>
      </c>
      <c r="AA281" s="47">
        <v>0.0</v>
      </c>
      <c r="AB281" s="47">
        <v>5.15</v>
      </c>
      <c r="AC281" s="47">
        <v>0.0</v>
      </c>
      <c r="AD281" s="47">
        <v>0.0</v>
      </c>
      <c r="AE281" s="47">
        <v>0.0</v>
      </c>
      <c r="AF281" s="47">
        <v>0.0</v>
      </c>
      <c r="AG281" s="47">
        <v>0.0</v>
      </c>
    </row>
    <row r="282" ht="15.75" customHeight="1">
      <c r="A282" s="35">
        <f>Bill!$Y282</f>
        <v>45840</v>
      </c>
      <c r="B282" s="43">
        <f>'Raw Data'!E284+Bill!$L$2</f>
        <v>148</v>
      </c>
      <c r="C282" s="43">
        <f>'Raw Data'!E284+Bill!$M$2</f>
        <v>153</v>
      </c>
      <c r="D282" s="43">
        <f>('Raw Data'!$F284*2)-10</f>
        <v>214</v>
      </c>
      <c r="E282" s="43">
        <f>'Raw Data'!F284+Bill!$O$2</f>
        <v>132</v>
      </c>
      <c r="F282" s="43">
        <f>'Raw Data'!F284+Bill!$P$2</f>
        <v>137</v>
      </c>
      <c r="G282" s="43"/>
      <c r="H282" s="43">
        <f>('Raw Data'!F284+Bill!$R$2)</f>
        <v>132</v>
      </c>
      <c r="I282" s="36">
        <f>'Raw Data'!G284/100</f>
        <v>6.35</v>
      </c>
      <c r="K282" s="37">
        <f>Bill!$Y282</f>
        <v>45840</v>
      </c>
      <c r="L282" s="38">
        <f>Bill!$AA282*('Raw Data'!$E284+$L$2)</f>
        <v>1494.8</v>
      </c>
      <c r="M282" s="38">
        <f>Bill!$AB282*('Raw Data'!$E284+$M$2)</f>
        <v>2325.6</v>
      </c>
      <c r="N282" s="38">
        <f>(('Raw Data'!$F284 * 2)-10)*Bill!$AC282</f>
        <v>1498</v>
      </c>
      <c r="O282" s="38">
        <f>('Raw Data'!F284+Bill!$O$2)*Bill!$AD282</f>
        <v>0</v>
      </c>
      <c r="P282" s="38">
        <f>('Raw Data'!F284+Bill!$P$2)*Bill!$AE282</f>
        <v>0</v>
      </c>
      <c r="Q282" s="38">
        <f>Bill!$Z282*('Raw Data'!$E284+$Q$2)</f>
        <v>0</v>
      </c>
      <c r="R282" s="38">
        <f>('Raw Data'!F284+Bill!$R$2)*Bill!$AF282</f>
        <v>0</v>
      </c>
      <c r="S282" s="48">
        <f>('Raw Data'!G284/100)*Bill!$AG282</f>
        <v>0</v>
      </c>
      <c r="T282" s="38">
        <f>SUM(Bill!$L282:$R282)</f>
        <v>5318.4</v>
      </c>
      <c r="U282" s="49">
        <v>5319.0</v>
      </c>
      <c r="V282" s="50"/>
      <c r="W282" s="38">
        <f>Bill!$U282-Bill!$T282</f>
        <v>0.6</v>
      </c>
      <c r="Y282" s="37">
        <f>'Raw Data'!D284</f>
        <v>45840</v>
      </c>
      <c r="Z282" s="41">
        <v>0.0</v>
      </c>
      <c r="AA282" s="47">
        <v>10.1</v>
      </c>
      <c r="AB282" s="47">
        <v>15.2</v>
      </c>
      <c r="AC282" s="47">
        <v>7.0</v>
      </c>
      <c r="AD282" s="47">
        <v>0.0</v>
      </c>
      <c r="AE282" s="47">
        <v>0.0</v>
      </c>
      <c r="AF282" s="47">
        <v>0.0</v>
      </c>
      <c r="AG282" s="47">
        <v>0.0</v>
      </c>
    </row>
    <row r="283" ht="15.75" customHeight="1">
      <c r="A283" s="35">
        <f>Bill!$Y283</f>
        <v>45841</v>
      </c>
      <c r="B283" s="43">
        <f>'Raw Data'!E285+Bill!$L$2</f>
        <v>148</v>
      </c>
      <c r="C283" s="43">
        <f>'Raw Data'!E285+Bill!$M$2</f>
        <v>153</v>
      </c>
      <c r="D283" s="43">
        <f>('Raw Data'!$F285*2)-10</f>
        <v>214</v>
      </c>
      <c r="E283" s="43">
        <f>'Raw Data'!F285+Bill!$O$2</f>
        <v>132</v>
      </c>
      <c r="F283" s="43">
        <f>'Raw Data'!F285+Bill!$P$2</f>
        <v>137</v>
      </c>
      <c r="G283" s="43"/>
      <c r="H283" s="43">
        <f>('Raw Data'!F285+Bill!$R$2)</f>
        <v>132</v>
      </c>
      <c r="I283" s="36">
        <f>'Raw Data'!G285/100</f>
        <v>6.35</v>
      </c>
      <c r="K283" s="37">
        <f>Bill!$Y283</f>
        <v>45841</v>
      </c>
      <c r="L283" s="38">
        <f>Bill!$AA283*('Raw Data'!$E285+$L$2)</f>
        <v>0</v>
      </c>
      <c r="M283" s="38">
        <f>Bill!$AB283*('Raw Data'!$E285+$M$2)</f>
        <v>1530</v>
      </c>
      <c r="N283" s="38">
        <f>(('Raw Data'!$F285 * 2)-10)*Bill!$AC283</f>
        <v>856</v>
      </c>
      <c r="O283" s="38">
        <f>('Raw Data'!F285+Bill!$O$2)*Bill!$AD283</f>
        <v>0</v>
      </c>
      <c r="P283" s="38">
        <f>('Raw Data'!F285+Bill!$P$2)*Bill!$AE283</f>
        <v>0</v>
      </c>
      <c r="Q283" s="38">
        <f>Bill!$Z283*('Raw Data'!$E285+$Q$2)</f>
        <v>0</v>
      </c>
      <c r="R283" s="38">
        <f>('Raw Data'!F285+Bill!$R$2)*Bill!$AF283</f>
        <v>0</v>
      </c>
      <c r="S283" s="48">
        <f>('Raw Data'!G285/100)*Bill!$AG283</f>
        <v>0</v>
      </c>
      <c r="T283" s="38">
        <f>SUM(Bill!$L283:$R283)</f>
        <v>2386</v>
      </c>
      <c r="U283" s="49">
        <v>2386.0</v>
      </c>
      <c r="V283" s="50"/>
      <c r="W283" s="38">
        <f>Bill!$U283-Bill!$T283</f>
        <v>0</v>
      </c>
      <c r="Y283" s="37">
        <f>'Raw Data'!D285</f>
        <v>45841</v>
      </c>
      <c r="Z283" s="41">
        <v>0.0</v>
      </c>
      <c r="AA283" s="47">
        <v>0.0</v>
      </c>
      <c r="AB283" s="47">
        <v>10.0</v>
      </c>
      <c r="AC283" s="47">
        <v>4.0</v>
      </c>
      <c r="AD283" s="47">
        <v>0.0</v>
      </c>
      <c r="AE283" s="47">
        <v>0.0</v>
      </c>
      <c r="AF283" s="47">
        <v>0.0</v>
      </c>
      <c r="AG283" s="47">
        <v>0.0</v>
      </c>
    </row>
    <row r="284" ht="15.75" customHeight="1">
      <c r="A284" s="35">
        <f>Bill!$Y284</f>
        <v>45842</v>
      </c>
      <c r="B284" s="43">
        <f>'Raw Data'!E286+Bill!$L$2</f>
        <v>148</v>
      </c>
      <c r="C284" s="43">
        <f>'Raw Data'!E286+Bill!$M$2</f>
        <v>153</v>
      </c>
      <c r="D284" s="43">
        <f>('Raw Data'!$F286*2)-10</f>
        <v>222</v>
      </c>
      <c r="E284" s="43">
        <f>'Raw Data'!F286+Bill!$O$2</f>
        <v>136</v>
      </c>
      <c r="F284" s="43">
        <f>'Raw Data'!F286+Bill!$P$2</f>
        <v>141</v>
      </c>
      <c r="G284" s="43"/>
      <c r="H284" s="43">
        <f>('Raw Data'!F286+Bill!$R$2)</f>
        <v>136</v>
      </c>
      <c r="I284" s="36">
        <f>'Raw Data'!G286/100</f>
        <v>6.35</v>
      </c>
      <c r="K284" s="37">
        <f>Bill!$Y284</f>
        <v>45842</v>
      </c>
      <c r="L284" s="38">
        <f>Bill!$AA284*('Raw Data'!$E286+$L$2)</f>
        <v>710.4</v>
      </c>
      <c r="M284" s="38">
        <f>Bill!$AB284*('Raw Data'!$E286+$M$2)</f>
        <v>3060</v>
      </c>
      <c r="N284" s="38">
        <f>(('Raw Data'!$F286 * 2)-10)*Bill!$AC284</f>
        <v>0</v>
      </c>
      <c r="O284" s="38">
        <f>('Raw Data'!F286+Bill!$O$2)*Bill!$AD284</f>
        <v>428.4</v>
      </c>
      <c r="P284" s="38">
        <f>('Raw Data'!F286+Bill!$P$2)*Bill!$AE284</f>
        <v>282</v>
      </c>
      <c r="Q284" s="38">
        <f>Bill!$Z284*('Raw Data'!$E286+$Q$2)</f>
        <v>0</v>
      </c>
      <c r="R284" s="38">
        <f>('Raw Data'!F286+Bill!$R$2)*Bill!$AF284</f>
        <v>0</v>
      </c>
      <c r="S284" s="48">
        <f>('Raw Data'!G286/100)*Bill!$AG284</f>
        <v>0</v>
      </c>
      <c r="T284" s="38">
        <f>SUM(Bill!$L284:$R284)</f>
        <v>4480.8</v>
      </c>
      <c r="U284" s="49">
        <v>4490.0</v>
      </c>
      <c r="V284" s="50"/>
      <c r="W284" s="38">
        <f>Bill!$U284-Bill!$T284</f>
        <v>9.2</v>
      </c>
      <c r="Y284" s="37">
        <f>'Raw Data'!D286</f>
        <v>45842</v>
      </c>
      <c r="Z284" s="41">
        <v>0.0</v>
      </c>
      <c r="AA284" s="47">
        <v>4.8</v>
      </c>
      <c r="AB284" s="47">
        <v>20.0</v>
      </c>
      <c r="AC284" s="47">
        <v>0.0</v>
      </c>
      <c r="AD284" s="47">
        <v>3.15</v>
      </c>
      <c r="AE284" s="47">
        <v>2.0</v>
      </c>
      <c r="AF284" s="47">
        <v>0.0</v>
      </c>
      <c r="AG284" s="47">
        <v>0.0</v>
      </c>
    </row>
    <row r="285" ht="15.75" customHeight="1">
      <c r="A285" s="35">
        <f>Bill!$Y285</f>
        <v>45843</v>
      </c>
      <c r="B285" s="43">
        <f>'Raw Data'!E287+Bill!$L$2</f>
        <v>148</v>
      </c>
      <c r="C285" s="43">
        <f>'Raw Data'!E287+Bill!$M$2</f>
        <v>153</v>
      </c>
      <c r="D285" s="43">
        <f>('Raw Data'!$F287*2)-10</f>
        <v>226</v>
      </c>
      <c r="E285" s="43">
        <f>'Raw Data'!F287+Bill!$O$2</f>
        <v>138</v>
      </c>
      <c r="F285" s="43">
        <f>'Raw Data'!F287+Bill!$P$2</f>
        <v>143</v>
      </c>
      <c r="G285" s="43"/>
      <c r="H285" s="43">
        <f>('Raw Data'!F287+Bill!$R$2)</f>
        <v>138</v>
      </c>
      <c r="I285" s="36">
        <f>'Raw Data'!G287/100</f>
        <v>6.15</v>
      </c>
      <c r="K285" s="37">
        <f>Bill!$Y285</f>
        <v>45843</v>
      </c>
      <c r="L285" s="38">
        <f>Bill!$AA285*('Raw Data'!$E287+$L$2)</f>
        <v>0</v>
      </c>
      <c r="M285" s="38">
        <f>Bill!$AB285*('Raw Data'!$E287+$M$2)</f>
        <v>0</v>
      </c>
      <c r="N285" s="38">
        <f>(('Raw Data'!$F287 * 2)-10)*Bill!$AC285</f>
        <v>1130</v>
      </c>
      <c r="O285" s="38">
        <f>('Raw Data'!F287+Bill!$O$2)*Bill!$AD285</f>
        <v>0</v>
      </c>
      <c r="P285" s="38">
        <f>('Raw Data'!F287+Bill!$P$2)*Bill!$AE285</f>
        <v>0</v>
      </c>
      <c r="Q285" s="38">
        <f>Bill!$Z285*('Raw Data'!$E287+$Q$2)</f>
        <v>0</v>
      </c>
      <c r="R285" s="38">
        <f>('Raw Data'!F287+Bill!$R$2)*Bill!$AF285</f>
        <v>0</v>
      </c>
      <c r="S285" s="48">
        <f>('Raw Data'!G287/100)*Bill!$AG285</f>
        <v>0</v>
      </c>
      <c r="T285" s="38">
        <f>SUM(Bill!$L285:$R285)</f>
        <v>1130</v>
      </c>
      <c r="U285" s="49">
        <v>1130.0</v>
      </c>
      <c r="V285" s="50"/>
      <c r="W285" s="38">
        <f>Bill!$U285-Bill!$T285</f>
        <v>0</v>
      </c>
      <c r="Y285" s="37">
        <f>'Raw Data'!D287</f>
        <v>45843</v>
      </c>
      <c r="Z285" s="41">
        <v>0.0</v>
      </c>
      <c r="AA285" s="47">
        <v>0.0</v>
      </c>
      <c r="AB285" s="47">
        <v>0.0</v>
      </c>
      <c r="AC285" s="47">
        <v>5.0</v>
      </c>
      <c r="AD285" s="47">
        <v>0.0</v>
      </c>
      <c r="AE285" s="47">
        <v>0.0</v>
      </c>
      <c r="AF285" s="47">
        <v>0.0</v>
      </c>
      <c r="AG285" s="47">
        <v>0.0</v>
      </c>
    </row>
    <row r="286" ht="15.75" customHeight="1">
      <c r="A286" s="35">
        <f>Bill!$Y286</f>
        <v>45844</v>
      </c>
      <c r="B286" s="43">
        <f>'Raw Data'!E288+Bill!$L$2</f>
        <v>148</v>
      </c>
      <c r="C286" s="43">
        <f>'Raw Data'!E288+Bill!$M$2</f>
        <v>153</v>
      </c>
      <c r="D286" s="43">
        <f>('Raw Data'!$F288*2)-10</f>
        <v>230</v>
      </c>
      <c r="E286" s="43">
        <f>'Raw Data'!F288+Bill!$O$2</f>
        <v>140</v>
      </c>
      <c r="F286" s="43">
        <f>'Raw Data'!F288+Bill!$P$2</f>
        <v>145</v>
      </c>
      <c r="G286" s="43"/>
      <c r="H286" s="43">
        <f>('Raw Data'!F288+Bill!$R$2)</f>
        <v>140</v>
      </c>
      <c r="I286" s="36">
        <f>'Raw Data'!G288/100</f>
        <v>6.15</v>
      </c>
      <c r="K286" s="37">
        <f>Bill!$Y286</f>
        <v>45844</v>
      </c>
      <c r="L286" s="38">
        <f>Bill!$AA286*('Raw Data'!$E288+$L$2)</f>
        <v>1258</v>
      </c>
      <c r="M286" s="38">
        <f>Bill!$AB286*('Raw Data'!$E288+$M$2)</f>
        <v>2310.3</v>
      </c>
      <c r="N286" s="38">
        <f>(('Raw Data'!$F288 * 2)-10)*Bill!$AC286</f>
        <v>1840</v>
      </c>
      <c r="O286" s="38">
        <f>('Raw Data'!F288+Bill!$O$2)*Bill!$AD286</f>
        <v>0</v>
      </c>
      <c r="P286" s="38">
        <f>('Raw Data'!F288+Bill!$P$2)*Bill!$AE286</f>
        <v>435</v>
      </c>
      <c r="Q286" s="38">
        <f>Bill!$Z286*('Raw Data'!$E288+$Q$2)</f>
        <v>0</v>
      </c>
      <c r="R286" s="38">
        <f>('Raw Data'!F288+Bill!$R$2)*Bill!$AF286</f>
        <v>0</v>
      </c>
      <c r="S286" s="48">
        <f>('Raw Data'!G288/100)*Bill!$AG286</f>
        <v>922.5</v>
      </c>
      <c r="T286" s="38">
        <f>SUM(Bill!$L286:$R286)</f>
        <v>5843.3</v>
      </c>
      <c r="U286" s="49">
        <v>5858.0</v>
      </c>
      <c r="V286" s="50"/>
      <c r="W286" s="38">
        <f>Bill!$U286-Bill!$T286</f>
        <v>14.7</v>
      </c>
      <c r="Y286" s="37">
        <f>'Raw Data'!D288</f>
        <v>45844</v>
      </c>
      <c r="Z286" s="41">
        <v>0.0</v>
      </c>
      <c r="AA286" s="47">
        <v>8.5</v>
      </c>
      <c r="AB286" s="47">
        <v>15.1</v>
      </c>
      <c r="AC286" s="47">
        <v>8.0</v>
      </c>
      <c r="AD286" s="47">
        <v>0.0</v>
      </c>
      <c r="AE286" s="47">
        <v>3.0</v>
      </c>
      <c r="AF286" s="47">
        <v>0.0</v>
      </c>
      <c r="AG286" s="47">
        <v>150.0</v>
      </c>
    </row>
    <row r="287" ht="15.75" customHeight="1">
      <c r="A287" s="35">
        <f>Bill!$Y287</f>
        <v>45845</v>
      </c>
      <c r="B287" s="43">
        <f>'Raw Data'!E289+Bill!$L$2</f>
        <v>148</v>
      </c>
      <c r="C287" s="43">
        <f>'Raw Data'!E289+Bill!$M$2</f>
        <v>153</v>
      </c>
      <c r="D287" s="43">
        <f>('Raw Data'!$F289*2)-10</f>
        <v>234</v>
      </c>
      <c r="E287" s="43">
        <f>'Raw Data'!F289+Bill!$O$2</f>
        <v>142</v>
      </c>
      <c r="F287" s="43">
        <f>'Raw Data'!F289+Bill!$P$2</f>
        <v>147</v>
      </c>
      <c r="G287" s="43"/>
      <c r="H287" s="43">
        <f>('Raw Data'!F289+Bill!$R$2)</f>
        <v>142</v>
      </c>
      <c r="I287" s="36">
        <f>'Raw Data'!G289/100</f>
        <v>6.15</v>
      </c>
      <c r="K287" s="37">
        <f>Bill!$Y287</f>
        <v>45845</v>
      </c>
      <c r="L287" s="38">
        <f>Bill!$AA287*('Raw Data'!$E289+$L$2)</f>
        <v>0</v>
      </c>
      <c r="M287" s="38">
        <f>Bill!$AB287*('Raw Data'!$E289+$M$2)</f>
        <v>765</v>
      </c>
      <c r="N287" s="38">
        <f>(('Raw Data'!$F289 * 2)-10)*Bill!$AC287</f>
        <v>1404</v>
      </c>
      <c r="O287" s="38">
        <f>('Raw Data'!F289+Bill!$O$2)*Bill!$AD287</f>
        <v>0</v>
      </c>
      <c r="P287" s="38">
        <f>('Raw Data'!F289+Bill!$P$2)*Bill!$AE287</f>
        <v>0</v>
      </c>
      <c r="Q287" s="38">
        <f>Bill!$Z287*('Raw Data'!$E289+$Q$2)</f>
        <v>0</v>
      </c>
      <c r="R287" s="38">
        <f>('Raw Data'!F289+Bill!$R$2)*Bill!$AF287</f>
        <v>0</v>
      </c>
      <c r="S287" s="48">
        <f>('Raw Data'!G289/100)*Bill!$AG287</f>
        <v>0</v>
      </c>
      <c r="T287" s="38">
        <f>SUM(Bill!$L287:$R287)</f>
        <v>2169</v>
      </c>
      <c r="U287" s="49">
        <v>2169.0</v>
      </c>
      <c r="V287" s="50"/>
      <c r="W287" s="38">
        <f>Bill!$U287-Bill!$T287</f>
        <v>0</v>
      </c>
      <c r="Y287" s="37">
        <f>'Raw Data'!D289</f>
        <v>45845</v>
      </c>
      <c r="Z287" s="41">
        <v>0.0</v>
      </c>
      <c r="AA287" s="47">
        <v>0.0</v>
      </c>
      <c r="AB287" s="47">
        <v>5.0</v>
      </c>
      <c r="AC287" s="47">
        <v>6.0</v>
      </c>
      <c r="AD287" s="47">
        <v>0.0</v>
      </c>
      <c r="AE287" s="47">
        <v>0.0</v>
      </c>
      <c r="AF287" s="47">
        <v>0.0</v>
      </c>
      <c r="AG287" s="47">
        <v>0.0</v>
      </c>
    </row>
    <row r="288" ht="15.75" customHeight="1">
      <c r="A288" s="35">
        <f>Bill!$Y288</f>
        <v>45846</v>
      </c>
      <c r="B288" s="43">
        <f>'Raw Data'!E290+Bill!$L$2</f>
        <v>148</v>
      </c>
      <c r="C288" s="43">
        <f>'Raw Data'!E290+Bill!$M$2</f>
        <v>153</v>
      </c>
      <c r="D288" s="43">
        <f>('Raw Data'!$F290*2)-10</f>
        <v>238</v>
      </c>
      <c r="E288" s="43">
        <f>'Raw Data'!F290+Bill!$O$2</f>
        <v>144</v>
      </c>
      <c r="F288" s="43">
        <f>'Raw Data'!F290+Bill!$P$2</f>
        <v>149</v>
      </c>
      <c r="G288" s="43"/>
      <c r="H288" s="43">
        <f>('Raw Data'!F290+Bill!$R$2)</f>
        <v>144</v>
      </c>
      <c r="I288" s="36">
        <f>'Raw Data'!G290/100</f>
        <v>6.1</v>
      </c>
      <c r="K288" s="37">
        <f>Bill!$Y288</f>
        <v>45846</v>
      </c>
      <c r="L288" s="38">
        <f>Bill!$AA288*('Raw Data'!$E290+$L$2)</f>
        <v>1361.6</v>
      </c>
      <c r="M288" s="38">
        <f>Bill!$AB288*('Raw Data'!$E290+$M$2)</f>
        <v>2295</v>
      </c>
      <c r="N288" s="38">
        <f>(('Raw Data'!$F290 * 2)-10)*Bill!$AC288</f>
        <v>0</v>
      </c>
      <c r="O288" s="38">
        <f>('Raw Data'!F290+Bill!$O$2)*Bill!$AD288</f>
        <v>0</v>
      </c>
      <c r="P288" s="38">
        <f>('Raw Data'!F290+Bill!$P$2)*Bill!$AE288</f>
        <v>298</v>
      </c>
      <c r="Q288" s="38">
        <f>Bill!$Z288*('Raw Data'!$E290+$Q$2)</f>
        <v>0</v>
      </c>
      <c r="R288" s="38">
        <f>('Raw Data'!F290+Bill!$R$2)*Bill!$AF288</f>
        <v>504</v>
      </c>
      <c r="S288" s="48">
        <f>('Raw Data'!G290/100)*Bill!$AG288</f>
        <v>0</v>
      </c>
      <c r="T288" s="38">
        <f>SUM(Bill!$L288:$R288)</f>
        <v>4458.6</v>
      </c>
      <c r="U288" s="49">
        <v>4469.0</v>
      </c>
      <c r="V288" s="50"/>
      <c r="W288" s="38">
        <f>Bill!$U288-Bill!$T288</f>
        <v>10.4</v>
      </c>
      <c r="Y288" s="37">
        <f>'Raw Data'!D290</f>
        <v>45846</v>
      </c>
      <c r="Z288" s="41">
        <v>0.0</v>
      </c>
      <c r="AA288" s="47">
        <v>9.2</v>
      </c>
      <c r="AB288" s="47">
        <v>15.0</v>
      </c>
      <c r="AC288" s="47">
        <v>0.0</v>
      </c>
      <c r="AD288" s="47">
        <v>0.0</v>
      </c>
      <c r="AE288" s="47">
        <v>2.0</v>
      </c>
      <c r="AF288" s="47">
        <v>3.5</v>
      </c>
      <c r="AG288" s="47">
        <v>0.0</v>
      </c>
    </row>
    <row r="289" ht="15.75" customHeight="1">
      <c r="A289" s="35">
        <f>Bill!$Y289</f>
        <v>45847</v>
      </c>
      <c r="B289" s="43">
        <f>'Raw Data'!E291+Bill!$L$2</f>
        <v>148</v>
      </c>
      <c r="C289" s="43">
        <f>'Raw Data'!E291+Bill!$M$2</f>
        <v>153</v>
      </c>
      <c r="D289" s="43">
        <f>('Raw Data'!$F291*2)-10</f>
        <v>238</v>
      </c>
      <c r="E289" s="43">
        <f>'Raw Data'!F291+Bill!$O$2</f>
        <v>144</v>
      </c>
      <c r="F289" s="43">
        <f>'Raw Data'!F291+Bill!$P$2</f>
        <v>149</v>
      </c>
      <c r="G289" s="43"/>
      <c r="H289" s="43">
        <f>('Raw Data'!F291+Bill!$R$2)</f>
        <v>144</v>
      </c>
      <c r="I289" s="36">
        <f>'Raw Data'!G291/100</f>
        <v>6</v>
      </c>
      <c r="K289" s="37">
        <f>Bill!$Y289</f>
        <v>45847</v>
      </c>
      <c r="L289" s="38">
        <f>Bill!$AA289*('Raw Data'!$E291+$L$2)</f>
        <v>1413.4</v>
      </c>
      <c r="M289" s="38">
        <f>Bill!$AB289*('Raw Data'!$E291+$M$2)</f>
        <v>787.95</v>
      </c>
      <c r="N289" s="38">
        <f>(('Raw Data'!$F291 * 2)-10)*Bill!$AC289</f>
        <v>1428</v>
      </c>
      <c r="O289" s="38">
        <f>('Raw Data'!F291+Bill!$O$2)*Bill!$AD289</f>
        <v>0</v>
      </c>
      <c r="P289" s="38">
        <f>('Raw Data'!F291+Bill!$P$2)*Bill!$AE289</f>
        <v>298</v>
      </c>
      <c r="Q289" s="38">
        <f>Bill!$Z289*('Raw Data'!$E291+$Q$2)</f>
        <v>0</v>
      </c>
      <c r="R289" s="38">
        <f>('Raw Data'!F291+Bill!$R$2)*Bill!$AF289</f>
        <v>0</v>
      </c>
      <c r="S289" s="48">
        <f>('Raw Data'!G291/100)*Bill!$AG289</f>
        <v>0</v>
      </c>
      <c r="T289" s="38">
        <f>SUM(Bill!$L289:$R289)</f>
        <v>3927.35</v>
      </c>
      <c r="U289" s="49">
        <v>3937.0</v>
      </c>
      <c r="V289" s="50"/>
      <c r="W289" s="38">
        <f>Bill!$U289-Bill!$T289</f>
        <v>9.65</v>
      </c>
      <c r="Y289" s="37">
        <f>'Raw Data'!D291</f>
        <v>45847</v>
      </c>
      <c r="Z289" s="41">
        <v>0.0</v>
      </c>
      <c r="AA289" s="47">
        <v>9.55</v>
      </c>
      <c r="AB289" s="47">
        <v>5.15</v>
      </c>
      <c r="AC289" s="47">
        <v>6.0</v>
      </c>
      <c r="AD289" s="47">
        <v>0.0</v>
      </c>
      <c r="AE289" s="47">
        <v>2.0</v>
      </c>
      <c r="AF289" s="47">
        <v>0.0</v>
      </c>
      <c r="AG289" s="47">
        <v>0.0</v>
      </c>
    </row>
    <row r="290" ht="15.75" customHeight="1">
      <c r="A290" s="35">
        <f>Bill!$Y290</f>
        <v>45848</v>
      </c>
      <c r="B290" s="43">
        <f>'Raw Data'!E292+Bill!$L$2</f>
        <v>148</v>
      </c>
      <c r="C290" s="43">
        <f>'Raw Data'!E292+Bill!$M$2</f>
        <v>153</v>
      </c>
      <c r="D290" s="43">
        <f>('Raw Data'!$F292*2)-10</f>
        <v>238</v>
      </c>
      <c r="E290" s="43">
        <f>'Raw Data'!F292+Bill!$O$2</f>
        <v>144</v>
      </c>
      <c r="F290" s="43">
        <f>'Raw Data'!F292+Bill!$P$2</f>
        <v>149</v>
      </c>
      <c r="G290" s="43"/>
      <c r="H290" s="43">
        <f>('Raw Data'!F292+Bill!$R$2)</f>
        <v>144</v>
      </c>
      <c r="I290" s="36">
        <f>'Raw Data'!G292/100</f>
        <v>5.85</v>
      </c>
      <c r="K290" s="37">
        <f>Bill!$Y290</f>
        <v>45848</v>
      </c>
      <c r="L290" s="38">
        <f>Bill!$AA290*('Raw Data'!$E292+$L$2)</f>
        <v>1303.88</v>
      </c>
      <c r="M290" s="38">
        <f>Bill!$AB290*('Raw Data'!$E292+$M$2)</f>
        <v>3075.3</v>
      </c>
      <c r="N290" s="38">
        <f>(('Raw Data'!$F292 * 2)-10)*Bill!$AC290</f>
        <v>476</v>
      </c>
      <c r="O290" s="38">
        <f>('Raw Data'!F292+Bill!$O$2)*Bill!$AD290</f>
        <v>0</v>
      </c>
      <c r="P290" s="38">
        <f>('Raw Data'!F292+Bill!$P$2)*Bill!$AE290</f>
        <v>596</v>
      </c>
      <c r="Q290" s="38">
        <f>Bill!$Z290*('Raw Data'!$E292+$Q$2)</f>
        <v>0</v>
      </c>
      <c r="R290" s="38">
        <f>('Raw Data'!F292+Bill!$R$2)*Bill!$AF290</f>
        <v>0</v>
      </c>
      <c r="S290" s="48">
        <f>('Raw Data'!G292/100)*Bill!$AG290</f>
        <v>877.5</v>
      </c>
      <c r="T290" s="38">
        <f>SUM(Bill!$L290:$R290)</f>
        <v>5451.18</v>
      </c>
      <c r="U290" s="49">
        <v>5454.0</v>
      </c>
      <c r="V290" s="50"/>
      <c r="W290" s="38">
        <f>Bill!$U290-Bill!$T290</f>
        <v>2.82</v>
      </c>
      <c r="Y290" s="37">
        <f>'Raw Data'!D292</f>
        <v>45848</v>
      </c>
      <c r="Z290" s="41">
        <v>0.0</v>
      </c>
      <c r="AA290" s="47">
        <v>8.81</v>
      </c>
      <c r="AB290" s="47">
        <v>20.1</v>
      </c>
      <c r="AC290" s="47">
        <v>2.0</v>
      </c>
      <c r="AD290" s="47">
        <v>0.0</v>
      </c>
      <c r="AE290" s="47">
        <v>4.0</v>
      </c>
      <c r="AF290" s="47">
        <v>0.0</v>
      </c>
      <c r="AG290" s="47">
        <v>150.0</v>
      </c>
    </row>
    <row r="291" ht="15.75" customHeight="1">
      <c r="A291" s="35">
        <f>Bill!$Y291</f>
        <v>45849</v>
      </c>
      <c r="B291" s="43">
        <f>'Raw Data'!E293+Bill!$L$2</f>
        <v>148</v>
      </c>
      <c r="C291" s="43">
        <f>'Raw Data'!E293+Bill!$M$2</f>
        <v>153</v>
      </c>
      <c r="D291" s="43">
        <f>('Raw Data'!$F293*2)-10</f>
        <v>234</v>
      </c>
      <c r="E291" s="43">
        <f>'Raw Data'!F293+Bill!$O$2</f>
        <v>142</v>
      </c>
      <c r="F291" s="43">
        <f>'Raw Data'!F293+Bill!$P$2</f>
        <v>147</v>
      </c>
      <c r="G291" s="43"/>
      <c r="H291" s="43">
        <f>('Raw Data'!F293+Bill!$R$2)</f>
        <v>142</v>
      </c>
      <c r="I291" s="36">
        <f>'Raw Data'!G293/100</f>
        <v>5.7</v>
      </c>
      <c r="K291" s="37">
        <f>Bill!$Y291</f>
        <v>45849</v>
      </c>
      <c r="L291" s="38">
        <f>Bill!$AA291*('Raw Data'!$E293+$L$2)</f>
        <v>799.2</v>
      </c>
      <c r="M291" s="38">
        <f>Bill!$AB291*('Raw Data'!$E293+$M$2)</f>
        <v>0</v>
      </c>
      <c r="N291" s="38">
        <f>(('Raw Data'!$F293 * 2)-10)*Bill!$AC291</f>
        <v>1404</v>
      </c>
      <c r="O291" s="38">
        <f>('Raw Data'!F293+Bill!$O$2)*Bill!$AD291</f>
        <v>0</v>
      </c>
      <c r="P291" s="38">
        <f>('Raw Data'!F293+Bill!$P$2)*Bill!$AE291</f>
        <v>0</v>
      </c>
      <c r="Q291" s="38">
        <f>Bill!$Z291*('Raw Data'!$E293+$Q$2)</f>
        <v>0</v>
      </c>
      <c r="R291" s="38">
        <f>('Raw Data'!F293+Bill!$R$2)*Bill!$AF291</f>
        <v>0</v>
      </c>
      <c r="S291" s="48">
        <f>('Raw Data'!G293/100)*Bill!$AG291</f>
        <v>0</v>
      </c>
      <c r="T291" s="38">
        <f>SUM(Bill!$L291:$R291)</f>
        <v>2203.2</v>
      </c>
      <c r="U291" s="49">
        <v>2204.0</v>
      </c>
      <c r="V291" s="50"/>
      <c r="W291" s="38">
        <f>Bill!$U291-Bill!$T291</f>
        <v>0.8</v>
      </c>
      <c r="Y291" s="37">
        <f>'Raw Data'!D293</f>
        <v>45849</v>
      </c>
      <c r="Z291" s="41">
        <v>0.0</v>
      </c>
      <c r="AA291" s="47">
        <v>5.4</v>
      </c>
      <c r="AB291" s="47">
        <v>0.0</v>
      </c>
      <c r="AC291" s="47">
        <v>6.0</v>
      </c>
      <c r="AD291" s="47">
        <v>0.0</v>
      </c>
      <c r="AE291" s="47">
        <v>0.0</v>
      </c>
      <c r="AF291" s="47">
        <v>0.0</v>
      </c>
      <c r="AG291" s="47">
        <v>0.0</v>
      </c>
    </row>
    <row r="292" ht="15.75" customHeight="1">
      <c r="A292" s="35">
        <f>Bill!$Y292</f>
        <v>45850</v>
      </c>
      <c r="B292" s="43">
        <f>'Raw Data'!E294+Bill!$L$2</f>
        <v>148</v>
      </c>
      <c r="C292" s="43">
        <f>'Raw Data'!E294+Bill!$M$2</f>
        <v>153</v>
      </c>
      <c r="D292" s="43">
        <f>('Raw Data'!$F294*2)-10</f>
        <v>230</v>
      </c>
      <c r="E292" s="43">
        <f>'Raw Data'!F294+Bill!$O$2</f>
        <v>140</v>
      </c>
      <c r="F292" s="43">
        <f>'Raw Data'!F294+Bill!$P$2</f>
        <v>145</v>
      </c>
      <c r="G292" s="43"/>
      <c r="H292" s="43">
        <f>('Raw Data'!F294+Bill!$R$2)</f>
        <v>140</v>
      </c>
      <c r="I292" s="36">
        <f>'Raw Data'!G294/100</f>
        <v>5.7</v>
      </c>
      <c r="K292" s="37">
        <f>Bill!$Y292</f>
        <v>45850</v>
      </c>
      <c r="L292" s="38">
        <f>Bill!$AA292*('Raw Data'!$E294+$L$2)</f>
        <v>1176.6</v>
      </c>
      <c r="M292" s="38">
        <f>Bill!$AB292*('Raw Data'!$E294+$M$2)</f>
        <v>3825</v>
      </c>
      <c r="N292" s="38">
        <f>(('Raw Data'!$F294 * 2)-10)*Bill!$AC292</f>
        <v>1610</v>
      </c>
      <c r="O292" s="38">
        <f>('Raw Data'!F294+Bill!$O$2)*Bill!$AD292</f>
        <v>420</v>
      </c>
      <c r="P292" s="38">
        <f>('Raw Data'!F294+Bill!$P$2)*Bill!$AE292</f>
        <v>435</v>
      </c>
      <c r="Q292" s="38">
        <f>Bill!$Z292*('Raw Data'!$E294+$Q$2)</f>
        <v>0</v>
      </c>
      <c r="R292" s="38">
        <f>('Raw Data'!F294+Bill!$R$2)*Bill!$AF292</f>
        <v>0</v>
      </c>
      <c r="S292" s="48">
        <f>('Raw Data'!G294/100)*Bill!$AG292</f>
        <v>0</v>
      </c>
      <c r="T292" s="38">
        <f>SUM(Bill!$L292:$R292)</f>
        <v>7466.6</v>
      </c>
      <c r="U292" s="49">
        <v>7481.0</v>
      </c>
      <c r="V292" s="50"/>
      <c r="W292" s="38">
        <f>Bill!$U292-Bill!$T292</f>
        <v>14.4</v>
      </c>
      <c r="Y292" s="37">
        <f>'Raw Data'!D294</f>
        <v>45850</v>
      </c>
      <c r="Z292" s="41">
        <v>0.0</v>
      </c>
      <c r="AA292" s="47">
        <v>7.95</v>
      </c>
      <c r="AB292" s="47">
        <v>25.0</v>
      </c>
      <c r="AC292" s="47">
        <v>7.0</v>
      </c>
      <c r="AD292" s="47">
        <v>3.0</v>
      </c>
      <c r="AE292" s="47">
        <v>3.0</v>
      </c>
      <c r="AF292" s="47">
        <v>0.0</v>
      </c>
      <c r="AG292" s="47">
        <v>0.0</v>
      </c>
    </row>
    <row r="293" ht="15.75" customHeight="1">
      <c r="A293" s="35">
        <f>Bill!$Y293</f>
        <v>45851</v>
      </c>
      <c r="B293" s="43">
        <f>'Raw Data'!E295+Bill!$L$2</f>
        <v>146</v>
      </c>
      <c r="C293" s="43">
        <f>'Raw Data'!E295+Bill!$M$2</f>
        <v>151</v>
      </c>
      <c r="D293" s="43">
        <f>('Raw Data'!$F295*2)-10</f>
        <v>230</v>
      </c>
      <c r="E293" s="43">
        <f>'Raw Data'!F295+Bill!$O$2</f>
        <v>140</v>
      </c>
      <c r="F293" s="43">
        <f>'Raw Data'!F295+Bill!$P$2</f>
        <v>145</v>
      </c>
      <c r="G293" s="43"/>
      <c r="H293" s="43">
        <f>('Raw Data'!F295+Bill!$R$2)</f>
        <v>140</v>
      </c>
      <c r="I293" s="36">
        <f>'Raw Data'!G295/100</f>
        <v>5.7</v>
      </c>
      <c r="K293" s="37">
        <f>Bill!$Y293</f>
        <v>45851</v>
      </c>
      <c r="L293" s="38">
        <f>Bill!$AA293*('Raw Data'!$E295+$L$2)</f>
        <v>1357.8</v>
      </c>
      <c r="M293" s="38">
        <f>Bill!$AB293*('Raw Data'!$E295+$M$2)</f>
        <v>1087.2</v>
      </c>
      <c r="N293" s="38">
        <f>(('Raw Data'!$F295 * 2)-10)*Bill!$AC293</f>
        <v>1380</v>
      </c>
      <c r="O293" s="38">
        <f>('Raw Data'!F295+Bill!$O$2)*Bill!$AD293</f>
        <v>0</v>
      </c>
      <c r="P293" s="38">
        <f>('Raw Data'!F295+Bill!$P$2)*Bill!$AE293</f>
        <v>0</v>
      </c>
      <c r="Q293" s="38">
        <f>Bill!$Z293*('Raw Data'!$E295+$Q$2)</f>
        <v>0</v>
      </c>
      <c r="R293" s="38">
        <f>('Raw Data'!F295+Bill!$R$2)*Bill!$AF293</f>
        <v>0</v>
      </c>
      <c r="S293" s="48">
        <f>('Raw Data'!G295/100)*Bill!$AG293</f>
        <v>0</v>
      </c>
      <c r="T293" s="38">
        <f>SUM(Bill!$L293:$R293)</f>
        <v>3825</v>
      </c>
      <c r="U293" s="49">
        <v>3825.0</v>
      </c>
      <c r="V293" s="50"/>
      <c r="W293" s="38">
        <f>Bill!$U293-Bill!$T293</f>
        <v>0</v>
      </c>
      <c r="Y293" s="37">
        <f>'Raw Data'!D295</f>
        <v>45851</v>
      </c>
      <c r="Z293" s="41">
        <v>0.0</v>
      </c>
      <c r="AA293" s="47">
        <v>9.3</v>
      </c>
      <c r="AB293" s="47">
        <v>7.2</v>
      </c>
      <c r="AC293" s="47">
        <v>6.0</v>
      </c>
      <c r="AD293" s="47">
        <v>0.0</v>
      </c>
      <c r="AE293" s="47">
        <v>0.0</v>
      </c>
      <c r="AF293" s="47">
        <v>0.0</v>
      </c>
      <c r="AG293" s="47">
        <v>0.0</v>
      </c>
    </row>
    <row r="294" ht="15.75" customHeight="1">
      <c r="A294" s="35">
        <f>Bill!$Y294</f>
        <v>45852</v>
      </c>
      <c r="B294" s="43">
        <f>'Raw Data'!E296+Bill!$L$2</f>
        <v>146</v>
      </c>
      <c r="C294" s="43">
        <f>'Raw Data'!E296+Bill!$M$2</f>
        <v>151</v>
      </c>
      <c r="D294" s="43">
        <f>('Raw Data'!$F296*2)-10</f>
        <v>230</v>
      </c>
      <c r="E294" s="43">
        <f>'Raw Data'!F296+Bill!$O$2</f>
        <v>140</v>
      </c>
      <c r="F294" s="43">
        <f>'Raw Data'!F296+Bill!$P$2</f>
        <v>145</v>
      </c>
      <c r="G294" s="43"/>
      <c r="H294" s="43">
        <f>('Raw Data'!F296+Bill!$R$2)</f>
        <v>140</v>
      </c>
      <c r="I294" s="36">
        <f>'Raw Data'!G296/100</f>
        <v>5.6</v>
      </c>
      <c r="K294" s="37">
        <f>Bill!$Y294</f>
        <v>45852</v>
      </c>
      <c r="L294" s="38">
        <f>Bill!$AA294*('Raw Data'!$E296+$L$2)</f>
        <v>1284.8</v>
      </c>
      <c r="M294" s="38">
        <f>Bill!$AB294*('Raw Data'!$E296+$M$2)</f>
        <v>1510</v>
      </c>
      <c r="N294" s="38">
        <f>(('Raw Data'!$F296 * 2)-10)*Bill!$AC294</f>
        <v>0</v>
      </c>
      <c r="O294" s="38">
        <f>('Raw Data'!F296+Bill!$O$2)*Bill!$AD294</f>
        <v>441</v>
      </c>
      <c r="P294" s="38">
        <f>('Raw Data'!F296+Bill!$P$2)*Bill!$AE294</f>
        <v>0</v>
      </c>
      <c r="Q294" s="38">
        <f>Bill!$Z294*('Raw Data'!$E296+$Q$2)</f>
        <v>0</v>
      </c>
      <c r="R294" s="38">
        <f>('Raw Data'!F296+Bill!$R$2)*Bill!$AF294</f>
        <v>350</v>
      </c>
      <c r="S294" s="48">
        <f>('Raw Data'!G296/100)*Bill!$AG294</f>
        <v>0</v>
      </c>
      <c r="T294" s="38">
        <f>SUM(Bill!$L294:$R294)</f>
        <v>3585.8</v>
      </c>
      <c r="U294" s="49">
        <v>3586.0</v>
      </c>
      <c r="V294" s="50"/>
      <c r="W294" s="38">
        <f>Bill!$U294-Bill!$T294</f>
        <v>0.2</v>
      </c>
      <c r="Y294" s="37">
        <f>'Raw Data'!D296</f>
        <v>45852</v>
      </c>
      <c r="Z294" s="41">
        <v>0.0</v>
      </c>
      <c r="AA294" s="47">
        <v>8.8</v>
      </c>
      <c r="AB294" s="47">
        <v>10.0</v>
      </c>
      <c r="AC294" s="47">
        <v>0.0</v>
      </c>
      <c r="AD294" s="47">
        <v>3.15</v>
      </c>
      <c r="AE294" s="47">
        <v>0.0</v>
      </c>
      <c r="AF294" s="47">
        <v>2.5</v>
      </c>
      <c r="AG294" s="47">
        <v>0.0</v>
      </c>
    </row>
    <row r="295" ht="15.75" customHeight="1">
      <c r="A295" s="35">
        <f>Bill!$Y295</f>
        <v>45853</v>
      </c>
      <c r="B295" s="43">
        <f>'Raw Data'!E297+Bill!$L$2</f>
        <v>146</v>
      </c>
      <c r="C295" s="43">
        <f>'Raw Data'!E297+Bill!$M$2</f>
        <v>151</v>
      </c>
      <c r="D295" s="43">
        <f>('Raw Data'!$F297*2)-10</f>
        <v>230</v>
      </c>
      <c r="E295" s="43">
        <f>'Raw Data'!F297+Bill!$O$2</f>
        <v>140</v>
      </c>
      <c r="F295" s="43">
        <f>'Raw Data'!F297+Bill!$P$2</f>
        <v>145</v>
      </c>
      <c r="G295" s="43"/>
      <c r="H295" s="43">
        <f>('Raw Data'!F297+Bill!$R$2)</f>
        <v>140</v>
      </c>
      <c r="I295" s="36">
        <f>'Raw Data'!G297/100</f>
        <v>5.6</v>
      </c>
      <c r="K295" s="37">
        <f>Bill!$Y295</f>
        <v>45853</v>
      </c>
      <c r="L295" s="38">
        <f>Bill!$AA295*('Raw Data'!$E297+$L$2)</f>
        <v>0</v>
      </c>
      <c r="M295" s="38">
        <f>Bill!$AB295*('Raw Data'!$E297+$M$2)</f>
        <v>785.2</v>
      </c>
      <c r="N295" s="38">
        <f>(('Raw Data'!$F297 * 2)-10)*Bill!$AC295</f>
        <v>1150</v>
      </c>
      <c r="O295" s="38">
        <f>('Raw Data'!F297+Bill!$O$2)*Bill!$AD295</f>
        <v>0</v>
      </c>
      <c r="P295" s="38">
        <f>('Raw Data'!F297+Bill!$P$2)*Bill!$AE295</f>
        <v>0</v>
      </c>
      <c r="Q295" s="38">
        <f>Bill!$Z295*('Raw Data'!$E297+$Q$2)</f>
        <v>0</v>
      </c>
      <c r="R295" s="38">
        <f>('Raw Data'!F297+Bill!$R$2)*Bill!$AF295</f>
        <v>0</v>
      </c>
      <c r="S295" s="48">
        <f>('Raw Data'!G297/100)*Bill!$AG295</f>
        <v>1008</v>
      </c>
      <c r="T295" s="38">
        <f>SUM(Bill!$L295:$R295)</f>
        <v>1935.2</v>
      </c>
      <c r="U295" s="49">
        <v>1935.0</v>
      </c>
      <c r="V295" s="50"/>
      <c r="W295" s="38">
        <f>Bill!$U295-Bill!$T295</f>
        <v>-0.2</v>
      </c>
      <c r="Y295" s="37">
        <f>'Raw Data'!D297</f>
        <v>45853</v>
      </c>
      <c r="Z295" s="41">
        <v>0.0</v>
      </c>
      <c r="AA295" s="47">
        <v>0.0</v>
      </c>
      <c r="AB295" s="47">
        <v>5.2</v>
      </c>
      <c r="AC295" s="47">
        <v>5.0</v>
      </c>
      <c r="AD295" s="47">
        <v>0.0</v>
      </c>
      <c r="AE295" s="47">
        <v>0.0</v>
      </c>
      <c r="AF295" s="47">
        <v>0.0</v>
      </c>
      <c r="AG295" s="47">
        <v>180.0</v>
      </c>
    </row>
    <row r="296" ht="15.75" customHeight="1">
      <c r="A296" s="35">
        <f>Bill!$Y296</f>
        <v>45854</v>
      </c>
      <c r="B296" s="43">
        <f>'Raw Data'!E298+Bill!$L$2</f>
        <v>144</v>
      </c>
      <c r="C296" s="43">
        <f>'Raw Data'!E298+Bill!$M$2</f>
        <v>149</v>
      </c>
      <c r="D296" s="43">
        <f>('Raw Data'!$F298*2)-10</f>
        <v>230</v>
      </c>
      <c r="E296" s="43">
        <f>'Raw Data'!F298+Bill!$O$2</f>
        <v>140</v>
      </c>
      <c r="F296" s="43">
        <f>'Raw Data'!F298+Bill!$P$2</f>
        <v>145</v>
      </c>
      <c r="G296" s="43"/>
      <c r="H296" s="43">
        <f>('Raw Data'!F298+Bill!$R$2)</f>
        <v>140</v>
      </c>
      <c r="I296" s="36">
        <f>'Raw Data'!G298/100</f>
        <v>5.6</v>
      </c>
      <c r="K296" s="37">
        <f>Bill!$Y296</f>
        <v>45854</v>
      </c>
      <c r="L296" s="38">
        <f>Bill!$AA296*('Raw Data'!$E298+$L$2)</f>
        <v>0</v>
      </c>
      <c r="M296" s="38">
        <f>Bill!$AB296*('Raw Data'!$E298+$M$2)</f>
        <v>0</v>
      </c>
      <c r="N296" s="38">
        <f>(('Raw Data'!$F298 * 2)-10)*Bill!$AC296</f>
        <v>1150</v>
      </c>
      <c r="O296" s="38">
        <f>('Raw Data'!F298+Bill!$O$2)*Bill!$AD296</f>
        <v>0</v>
      </c>
      <c r="P296" s="38">
        <f>('Raw Data'!F298+Bill!$P$2)*Bill!$AE296</f>
        <v>290</v>
      </c>
      <c r="Q296" s="38">
        <f>Bill!$Z296*('Raw Data'!$E298+$Q$2)</f>
        <v>0</v>
      </c>
      <c r="R296" s="38">
        <f>('Raw Data'!F298+Bill!$R$2)*Bill!$AF296</f>
        <v>0</v>
      </c>
      <c r="S296" s="48">
        <f>('Raw Data'!G298/100)*Bill!$AG296</f>
        <v>0</v>
      </c>
      <c r="T296" s="38">
        <f>SUM(Bill!$L296:$R296)</f>
        <v>1440</v>
      </c>
      <c r="U296" s="49">
        <v>1450.0</v>
      </c>
      <c r="V296" s="50"/>
      <c r="W296" s="38">
        <f>Bill!$U296-Bill!$T296</f>
        <v>10</v>
      </c>
      <c r="Y296" s="37">
        <f>'Raw Data'!D298</f>
        <v>45854</v>
      </c>
      <c r="Z296" s="41">
        <v>0.0</v>
      </c>
      <c r="AA296" s="47">
        <v>0.0</v>
      </c>
      <c r="AB296" s="47">
        <v>0.0</v>
      </c>
      <c r="AC296" s="47">
        <v>5.0</v>
      </c>
      <c r="AD296" s="47">
        <v>0.0</v>
      </c>
      <c r="AE296" s="47">
        <v>2.0</v>
      </c>
      <c r="AF296" s="47">
        <v>0.0</v>
      </c>
      <c r="AG296" s="47">
        <v>0.0</v>
      </c>
    </row>
    <row r="297" ht="15.75" customHeight="1">
      <c r="A297" s="35">
        <f>Bill!$Y297</f>
        <v>45855</v>
      </c>
      <c r="B297" s="43">
        <f>'Raw Data'!E299+Bill!$L$2</f>
        <v>146</v>
      </c>
      <c r="C297" s="43">
        <f>'Raw Data'!E299+Bill!$M$2</f>
        <v>151</v>
      </c>
      <c r="D297" s="43">
        <f>('Raw Data'!$F299*2)-10</f>
        <v>230</v>
      </c>
      <c r="E297" s="43">
        <f>'Raw Data'!F299+Bill!$O$2</f>
        <v>140</v>
      </c>
      <c r="F297" s="43">
        <f>'Raw Data'!F299+Bill!$P$2</f>
        <v>145</v>
      </c>
      <c r="G297" s="43"/>
      <c r="H297" s="43">
        <f>('Raw Data'!F299+Bill!$R$2)</f>
        <v>140</v>
      </c>
      <c r="I297" s="36">
        <f>'Raw Data'!G299/100</f>
        <v>5.6</v>
      </c>
      <c r="K297" s="37">
        <f>Bill!$Y297</f>
        <v>45855</v>
      </c>
      <c r="L297" s="38">
        <f>Bill!$AA297*('Raw Data'!$E299+$L$2)</f>
        <v>0</v>
      </c>
      <c r="M297" s="38">
        <f>Bill!$AB297*('Raw Data'!$E299+$M$2)</f>
        <v>2317.85</v>
      </c>
      <c r="N297" s="38">
        <f>(('Raw Data'!$F299 * 2)-10)*Bill!$AC297</f>
        <v>1150</v>
      </c>
      <c r="O297" s="38">
        <f>('Raw Data'!F299+Bill!$O$2)*Bill!$AD297</f>
        <v>0</v>
      </c>
      <c r="P297" s="38">
        <f>('Raw Data'!F299+Bill!$P$2)*Bill!$AE297</f>
        <v>290</v>
      </c>
      <c r="Q297" s="38">
        <f>Bill!$Z297*('Raw Data'!$E299+$Q$2)</f>
        <v>0</v>
      </c>
      <c r="R297" s="38">
        <f>('Raw Data'!F299+Bill!$R$2)*Bill!$AF297</f>
        <v>0</v>
      </c>
      <c r="S297" s="48">
        <f>('Raw Data'!G299/100)*Bill!$AG297</f>
        <v>0</v>
      </c>
      <c r="T297" s="38">
        <f>SUM(Bill!$L297:$R297)</f>
        <v>3757.85</v>
      </c>
      <c r="U297" s="49">
        <v>3768.0</v>
      </c>
      <c r="V297" s="50"/>
      <c r="W297" s="38">
        <f>Bill!$U297-Bill!$T297</f>
        <v>10.15</v>
      </c>
      <c r="Y297" s="37">
        <f>'Raw Data'!D299</f>
        <v>45855</v>
      </c>
      <c r="Z297" s="41">
        <v>0.0</v>
      </c>
      <c r="AA297" s="47">
        <v>0.0</v>
      </c>
      <c r="AB297" s="47">
        <v>15.35</v>
      </c>
      <c r="AC297" s="47">
        <v>5.0</v>
      </c>
      <c r="AD297" s="47">
        <v>0.0</v>
      </c>
      <c r="AE297" s="47">
        <v>2.0</v>
      </c>
      <c r="AF297" s="47">
        <v>0.0</v>
      </c>
      <c r="AG297" s="47">
        <v>0.0</v>
      </c>
    </row>
    <row r="298" ht="15.75" customHeight="1">
      <c r="A298" s="35">
        <f>Bill!$Y298</f>
        <v>45856</v>
      </c>
      <c r="B298" s="43">
        <f>'Raw Data'!E300+Bill!$L$2</f>
        <v>146</v>
      </c>
      <c r="C298" s="43">
        <f>'Raw Data'!E300+Bill!$M$2</f>
        <v>151</v>
      </c>
      <c r="D298" s="43">
        <f>('Raw Data'!$F300*2)-10</f>
        <v>234</v>
      </c>
      <c r="E298" s="43">
        <f>'Raw Data'!F300+Bill!$O$2</f>
        <v>142</v>
      </c>
      <c r="F298" s="43">
        <f>'Raw Data'!F300+Bill!$P$2</f>
        <v>147</v>
      </c>
      <c r="G298" s="43"/>
      <c r="H298" s="43">
        <f>('Raw Data'!F300+Bill!$R$2)</f>
        <v>142</v>
      </c>
      <c r="I298" s="36">
        <f>'Raw Data'!G300/100</f>
        <v>5.6</v>
      </c>
      <c r="K298" s="37">
        <f>Bill!$Y298</f>
        <v>45856</v>
      </c>
      <c r="L298" s="38">
        <f>Bill!$AA298*('Raw Data'!$E300+$L$2)</f>
        <v>751.9</v>
      </c>
      <c r="M298" s="38">
        <f>Bill!$AB298*('Raw Data'!$E300+$M$2)</f>
        <v>755</v>
      </c>
      <c r="N298" s="38">
        <f>(('Raw Data'!$F300 * 2)-10)*Bill!$AC298</f>
        <v>468</v>
      </c>
      <c r="O298" s="38">
        <f>('Raw Data'!F300+Bill!$O$2)*Bill!$AD298</f>
        <v>0</v>
      </c>
      <c r="P298" s="38">
        <f>('Raw Data'!F300+Bill!$P$2)*Bill!$AE298</f>
        <v>0</v>
      </c>
      <c r="Q298" s="38">
        <f>Bill!$Z298*('Raw Data'!$E300+$Q$2)</f>
        <v>0</v>
      </c>
      <c r="R298" s="38">
        <f>('Raw Data'!F300+Bill!$R$2)*Bill!$AF298</f>
        <v>0</v>
      </c>
      <c r="S298" s="48">
        <f>('Raw Data'!G300/100)*Bill!$AG298</f>
        <v>0</v>
      </c>
      <c r="T298" s="38">
        <f>SUM(Bill!$L298:$R298)</f>
        <v>1974.9</v>
      </c>
      <c r="U298" s="49">
        <v>1975.0</v>
      </c>
      <c r="V298" s="50"/>
      <c r="W298" s="38">
        <f>Bill!$U298-Bill!$T298</f>
        <v>0.1</v>
      </c>
      <c r="Y298" s="37">
        <f>'Raw Data'!D300</f>
        <v>45856</v>
      </c>
      <c r="Z298" s="41">
        <v>0.0</v>
      </c>
      <c r="AA298" s="47">
        <v>5.15</v>
      </c>
      <c r="AB298" s="47">
        <v>5.0</v>
      </c>
      <c r="AC298" s="47">
        <v>2.0</v>
      </c>
      <c r="AD298" s="47">
        <v>0.0</v>
      </c>
      <c r="AE298" s="47">
        <v>0.0</v>
      </c>
      <c r="AF298" s="47">
        <v>0.0</v>
      </c>
      <c r="AG298" s="47">
        <v>0.0</v>
      </c>
    </row>
    <row r="299" ht="15.75" customHeight="1">
      <c r="A299" s="35">
        <f>Bill!$Y299</f>
        <v>45857</v>
      </c>
      <c r="B299" s="43">
        <f>'Raw Data'!E301+Bill!$L$2</f>
        <v>146</v>
      </c>
      <c r="C299" s="43">
        <f>'Raw Data'!E301+Bill!$M$2</f>
        <v>151</v>
      </c>
      <c r="D299" s="43">
        <f>('Raw Data'!$F301*2)-10</f>
        <v>238</v>
      </c>
      <c r="E299" s="43">
        <f>'Raw Data'!F301+Bill!$O$2</f>
        <v>144</v>
      </c>
      <c r="F299" s="43">
        <f>'Raw Data'!F301+Bill!$P$2</f>
        <v>149</v>
      </c>
      <c r="G299" s="43"/>
      <c r="H299" s="43">
        <f>('Raw Data'!F301+Bill!$R$2)</f>
        <v>144</v>
      </c>
      <c r="I299" s="36">
        <f>'Raw Data'!G301/100</f>
        <v>5.6</v>
      </c>
      <c r="K299" s="37">
        <f>Bill!$Y299</f>
        <v>45857</v>
      </c>
      <c r="L299" s="38">
        <f>Bill!$AA299*('Raw Data'!$E301+$L$2)</f>
        <v>1109.6</v>
      </c>
      <c r="M299" s="38">
        <f>Bill!$AB299*('Raw Data'!$E301+$M$2)</f>
        <v>792.75</v>
      </c>
      <c r="N299" s="38">
        <f>(('Raw Data'!$F301 * 2)-10)*Bill!$AC299</f>
        <v>476</v>
      </c>
      <c r="O299" s="38">
        <f>('Raw Data'!F301+Bill!$O$2)*Bill!$AD299</f>
        <v>0</v>
      </c>
      <c r="P299" s="38">
        <f>('Raw Data'!F301+Bill!$P$2)*Bill!$AE299</f>
        <v>298</v>
      </c>
      <c r="Q299" s="38">
        <f>Bill!$Z299*('Raw Data'!$E301+$Q$2)</f>
        <v>0</v>
      </c>
      <c r="R299" s="38">
        <f>('Raw Data'!F301+Bill!$R$2)*Bill!$AF299</f>
        <v>0</v>
      </c>
      <c r="S299" s="48">
        <f>('Raw Data'!G301/100)*Bill!$AG299</f>
        <v>1008</v>
      </c>
      <c r="T299" s="38">
        <f>SUM(Bill!$L299:$R299)</f>
        <v>2676.35</v>
      </c>
      <c r="U299" s="49">
        <v>2687.0</v>
      </c>
      <c r="V299" s="50"/>
      <c r="W299" s="38">
        <f>Bill!$U299-Bill!$T299</f>
        <v>10.65</v>
      </c>
      <c r="Y299" s="37">
        <f>'Raw Data'!D301</f>
        <v>45857</v>
      </c>
      <c r="Z299" s="41">
        <v>0.0</v>
      </c>
      <c r="AA299" s="47">
        <v>7.6</v>
      </c>
      <c r="AB299" s="47">
        <v>5.25</v>
      </c>
      <c r="AC299" s="47">
        <v>2.0</v>
      </c>
      <c r="AD299" s="47">
        <v>0.0</v>
      </c>
      <c r="AE299" s="47">
        <v>2.0</v>
      </c>
      <c r="AF299" s="47">
        <v>0.0</v>
      </c>
      <c r="AG299" s="47">
        <v>180.0</v>
      </c>
    </row>
    <row r="300" ht="15.75" customHeight="1">
      <c r="A300" s="35">
        <f>Bill!$Y300</f>
        <v>45858</v>
      </c>
      <c r="B300" s="43">
        <f>'Raw Data'!E302+Bill!$L$2</f>
        <v>148</v>
      </c>
      <c r="C300" s="43">
        <f>'Raw Data'!E302+Bill!$M$2</f>
        <v>153</v>
      </c>
      <c r="D300" s="43">
        <f>('Raw Data'!$F302*2)-10</f>
        <v>246</v>
      </c>
      <c r="E300" s="43">
        <f>'Raw Data'!F302+Bill!$O$2</f>
        <v>148</v>
      </c>
      <c r="F300" s="43">
        <f>'Raw Data'!F302+Bill!$P$2</f>
        <v>153</v>
      </c>
      <c r="G300" s="43"/>
      <c r="H300" s="43">
        <f>('Raw Data'!F302+Bill!$R$2)</f>
        <v>148</v>
      </c>
      <c r="I300" s="36">
        <f>'Raw Data'!G302/100</f>
        <v>5.6</v>
      </c>
      <c r="K300" s="37">
        <f>Bill!$Y300</f>
        <v>45858</v>
      </c>
      <c r="L300" s="38">
        <f>Bill!$AA300*('Raw Data'!$E302+$L$2)</f>
        <v>784.4</v>
      </c>
      <c r="M300" s="38">
        <f>Bill!$AB300*('Raw Data'!$E302+$M$2)</f>
        <v>2295</v>
      </c>
      <c r="N300" s="38">
        <f>(('Raw Data'!$F302 * 2)-10)*Bill!$AC300</f>
        <v>1476</v>
      </c>
      <c r="O300" s="38">
        <f>('Raw Data'!F302+Bill!$O$2)*Bill!$AD300</f>
        <v>0</v>
      </c>
      <c r="P300" s="38">
        <f>('Raw Data'!F302+Bill!$P$2)*Bill!$AE300</f>
        <v>0</v>
      </c>
      <c r="Q300" s="38">
        <f>Bill!$Z300*('Raw Data'!$E302+$Q$2)</f>
        <v>0</v>
      </c>
      <c r="R300" s="38">
        <f>('Raw Data'!F302+Bill!$R$2)*Bill!$AF300</f>
        <v>0</v>
      </c>
      <c r="S300" s="48">
        <f>('Raw Data'!G302/100)*Bill!$AG300</f>
        <v>0</v>
      </c>
      <c r="T300" s="38">
        <f>SUM(Bill!$L300:$R300)</f>
        <v>4555.4</v>
      </c>
      <c r="U300" s="49">
        <v>4555.0</v>
      </c>
      <c r="V300" s="50"/>
      <c r="W300" s="38">
        <f>Bill!$U300-Bill!$T300</f>
        <v>-0.4</v>
      </c>
      <c r="Y300" s="37">
        <f>'Raw Data'!D302</f>
        <v>45858</v>
      </c>
      <c r="Z300" s="41">
        <v>0.0</v>
      </c>
      <c r="AA300" s="47">
        <v>5.3</v>
      </c>
      <c r="AB300" s="47">
        <v>15.0</v>
      </c>
      <c r="AC300" s="47">
        <v>6.0</v>
      </c>
      <c r="AD300" s="47"/>
      <c r="AE300" s="47"/>
      <c r="AF300" s="47"/>
      <c r="AG300" s="47">
        <v>0.0</v>
      </c>
    </row>
    <row r="301" ht="15.75" customHeight="1">
      <c r="A301" s="35">
        <f>Bill!$Y301</f>
        <v>45859</v>
      </c>
      <c r="B301" s="43">
        <f>'Raw Data'!E303+Bill!$L$2</f>
        <v>150</v>
      </c>
      <c r="C301" s="43">
        <f>'Raw Data'!E303+Bill!$M$2</f>
        <v>155</v>
      </c>
      <c r="D301" s="43">
        <f>('Raw Data'!$F303*2)-10</f>
        <v>250</v>
      </c>
      <c r="E301" s="43">
        <f>'Raw Data'!F303+Bill!$O$2</f>
        <v>150</v>
      </c>
      <c r="F301" s="43">
        <f>'Raw Data'!F303+Bill!$P$2</f>
        <v>155</v>
      </c>
      <c r="G301" s="43"/>
      <c r="H301" s="43">
        <f>('Raw Data'!F303+Bill!$R$2)</f>
        <v>150</v>
      </c>
      <c r="I301" s="36">
        <f>'Raw Data'!G303/100</f>
        <v>5.6</v>
      </c>
      <c r="K301" s="37">
        <f>Bill!$Y301</f>
        <v>45859</v>
      </c>
      <c r="L301" s="38">
        <f>Bill!$AA301*('Raw Data'!$E303+$L$2)</f>
        <v>1290</v>
      </c>
      <c r="M301" s="38">
        <f>Bill!$AB301*('Raw Data'!$E303+$M$2)</f>
        <v>1550</v>
      </c>
      <c r="N301" s="38">
        <f>(('Raw Data'!$F303 * 2)-10)*Bill!$AC301</f>
        <v>1500</v>
      </c>
      <c r="O301" s="38">
        <f>('Raw Data'!F303+Bill!$O$2)*Bill!$AD301</f>
        <v>450</v>
      </c>
      <c r="P301" s="38">
        <f>('Raw Data'!F303+Bill!$P$2)*Bill!$AE301</f>
        <v>465</v>
      </c>
      <c r="Q301" s="38">
        <f>Bill!$Z301*('Raw Data'!$E303+$Q$2)</f>
        <v>0</v>
      </c>
      <c r="R301" s="38">
        <f>('Raw Data'!F303+Bill!$R$2)*Bill!$AF301</f>
        <v>465</v>
      </c>
      <c r="S301" s="48">
        <f>('Raw Data'!G303/100)*Bill!$AG301</f>
        <v>0</v>
      </c>
      <c r="T301" s="38">
        <f>SUM(Bill!$L301:$R301)</f>
        <v>5720</v>
      </c>
      <c r="U301" s="49">
        <v>5735.0</v>
      </c>
      <c r="V301" s="50"/>
      <c r="W301" s="38">
        <f>Bill!$U301-Bill!$T301</f>
        <v>15</v>
      </c>
      <c r="Y301" s="37">
        <f>'Raw Data'!D303</f>
        <v>45859</v>
      </c>
      <c r="Z301" s="41">
        <v>0.0</v>
      </c>
      <c r="AA301" s="47">
        <v>8.6</v>
      </c>
      <c r="AB301" s="47">
        <v>10.0</v>
      </c>
      <c r="AC301" s="47">
        <v>6.0</v>
      </c>
      <c r="AD301" s="47">
        <v>3.0</v>
      </c>
      <c r="AE301" s="47">
        <v>3.0</v>
      </c>
      <c r="AF301" s="47">
        <v>3.1</v>
      </c>
      <c r="AG301" s="47">
        <v>0.0</v>
      </c>
    </row>
    <row r="302" ht="15.75" customHeight="1">
      <c r="A302" s="35">
        <f>Bill!$Y302</f>
        <v>45860</v>
      </c>
      <c r="B302" s="43">
        <f>'Raw Data'!E304+Bill!$L$2</f>
        <v>152</v>
      </c>
      <c r="C302" s="43">
        <f>'Raw Data'!E304+Bill!$M$2</f>
        <v>157</v>
      </c>
      <c r="D302" s="43">
        <f>('Raw Data'!$F304*2)-10</f>
        <v>258</v>
      </c>
      <c r="E302" s="43">
        <f>'Raw Data'!F304+Bill!$O$2</f>
        <v>154</v>
      </c>
      <c r="F302" s="43">
        <f>'Raw Data'!F304+Bill!$P$2</f>
        <v>159</v>
      </c>
      <c r="G302" s="43"/>
      <c r="H302" s="43">
        <f>('Raw Data'!F304+Bill!$R$2)</f>
        <v>154</v>
      </c>
      <c r="I302" s="36">
        <f>'Raw Data'!G304/100</f>
        <v>5.45</v>
      </c>
      <c r="K302" s="37">
        <f>Bill!$Y302</f>
        <v>45860</v>
      </c>
      <c r="L302" s="38">
        <f>Bill!$AA302*('Raw Data'!$E304+$L$2)</f>
        <v>0</v>
      </c>
      <c r="M302" s="38">
        <f>Bill!$AB302*('Raw Data'!$E304+$M$2)</f>
        <v>0</v>
      </c>
      <c r="N302" s="38">
        <f>(('Raw Data'!$F304 * 2)-10)*Bill!$AC302</f>
        <v>0</v>
      </c>
      <c r="O302" s="38">
        <f>('Raw Data'!F304+Bill!$O$2)*Bill!$AD302</f>
        <v>0</v>
      </c>
      <c r="P302" s="38">
        <f>('Raw Data'!F304+Bill!$P$2)*Bill!$AE302</f>
        <v>0</v>
      </c>
      <c r="Q302" s="38">
        <f>Bill!$Z302*('Raw Data'!$E304+$Q$2)</f>
        <v>0</v>
      </c>
      <c r="R302" s="38">
        <f>('Raw Data'!F304+Bill!$R$2)*Bill!$AF302</f>
        <v>0</v>
      </c>
      <c r="S302" s="48">
        <f>('Raw Data'!G304/100)*Bill!$AG302</f>
        <v>0</v>
      </c>
      <c r="T302" s="38">
        <f>SUM(Bill!$L302:$R302)</f>
        <v>0</v>
      </c>
      <c r="U302" s="49">
        <v>0.0</v>
      </c>
      <c r="V302" s="50"/>
      <c r="W302" s="38">
        <f>Bill!$U302-Bill!$T302</f>
        <v>0</v>
      </c>
      <c r="Y302" s="37">
        <f>'Raw Data'!D304</f>
        <v>45860</v>
      </c>
      <c r="Z302" s="41">
        <v>0.0</v>
      </c>
      <c r="AA302" s="47">
        <v>0.0</v>
      </c>
      <c r="AB302" s="47">
        <v>0.0</v>
      </c>
      <c r="AC302" s="47">
        <v>0.0</v>
      </c>
      <c r="AD302" s="47">
        <v>0.0</v>
      </c>
      <c r="AE302" s="47">
        <v>0.0</v>
      </c>
      <c r="AF302" s="47">
        <v>0.0</v>
      </c>
      <c r="AG302" s="47">
        <v>0.0</v>
      </c>
    </row>
    <row r="303" ht="15.75" customHeight="1">
      <c r="A303" s="35">
        <f>Bill!$Y303</f>
        <v>45861</v>
      </c>
      <c r="B303" s="43">
        <f>'Raw Data'!E305+Bill!$L$2</f>
        <v>154</v>
      </c>
      <c r="C303" s="43">
        <f>'Raw Data'!E305+Bill!$M$2</f>
        <v>159</v>
      </c>
      <c r="D303" s="43">
        <f>('Raw Data'!$F305*2)-10</f>
        <v>258</v>
      </c>
      <c r="E303" s="43">
        <f>'Raw Data'!F305+Bill!$O$2</f>
        <v>154</v>
      </c>
      <c r="F303" s="43">
        <f>'Raw Data'!F305+Bill!$P$2</f>
        <v>159</v>
      </c>
      <c r="G303" s="43"/>
      <c r="H303" s="43">
        <f>('Raw Data'!F305+Bill!$R$2)</f>
        <v>154</v>
      </c>
      <c r="I303" s="36">
        <f>'Raw Data'!G305/100</f>
        <v>5.3</v>
      </c>
      <c r="K303" s="37">
        <f>Bill!$Y303</f>
        <v>45861</v>
      </c>
      <c r="L303" s="38">
        <f>Bill!$AA303*('Raw Data'!$E305+$L$2)</f>
        <v>0</v>
      </c>
      <c r="M303" s="38">
        <f>Bill!$AB303*('Raw Data'!$E305+$M$2)</f>
        <v>1621.8</v>
      </c>
      <c r="N303" s="38">
        <f>(('Raw Data'!$F305 * 2)-10)*Bill!$AC303</f>
        <v>1548</v>
      </c>
      <c r="O303" s="38">
        <f>('Raw Data'!F305+Bill!$O$2)*Bill!$AD303</f>
        <v>0</v>
      </c>
      <c r="P303" s="38">
        <f>('Raw Data'!F305+Bill!$P$2)*Bill!$AE303</f>
        <v>0</v>
      </c>
      <c r="Q303" s="38">
        <f>Bill!$Z303*('Raw Data'!$E305+$Q$2)</f>
        <v>0</v>
      </c>
      <c r="R303" s="38">
        <f>('Raw Data'!F305+Bill!$R$2)*Bill!$AF303</f>
        <v>0</v>
      </c>
      <c r="S303" s="48">
        <f>('Raw Data'!G305/100)*Bill!$AG303</f>
        <v>0</v>
      </c>
      <c r="T303" s="38">
        <f>SUM(Bill!$L303:$R303)</f>
        <v>3169.8</v>
      </c>
      <c r="U303" s="49">
        <v>3170.0</v>
      </c>
      <c r="V303" s="50"/>
      <c r="W303" s="38">
        <f>Bill!$U303-Bill!$T303</f>
        <v>0.2</v>
      </c>
      <c r="Y303" s="37">
        <f>'Raw Data'!D305</f>
        <v>45861</v>
      </c>
      <c r="Z303" s="41">
        <v>0.0</v>
      </c>
      <c r="AA303" s="47">
        <v>0.0</v>
      </c>
      <c r="AB303" s="47">
        <v>10.2</v>
      </c>
      <c r="AC303" s="47">
        <v>6.0</v>
      </c>
      <c r="AD303" s="47">
        <v>0.0</v>
      </c>
      <c r="AE303" s="47">
        <v>0.0</v>
      </c>
      <c r="AF303" s="47">
        <v>0.0</v>
      </c>
      <c r="AG303" s="47">
        <v>0.0</v>
      </c>
    </row>
    <row r="304" ht="15.75" customHeight="1">
      <c r="A304" s="35">
        <f>Bill!$Y304</f>
        <v>45862</v>
      </c>
      <c r="B304" s="43">
        <f>'Raw Data'!E306+Bill!$L$2</f>
        <v>154</v>
      </c>
      <c r="C304" s="43">
        <f>'Raw Data'!E306+Bill!$M$2</f>
        <v>159</v>
      </c>
      <c r="D304" s="43">
        <f>('Raw Data'!$F306*2)-10</f>
        <v>258</v>
      </c>
      <c r="E304" s="43">
        <f>'Raw Data'!F306+Bill!$O$2</f>
        <v>154</v>
      </c>
      <c r="F304" s="43">
        <f>'Raw Data'!F306+Bill!$P$2</f>
        <v>159</v>
      </c>
      <c r="G304" s="43"/>
      <c r="H304" s="43">
        <f>('Raw Data'!F306+Bill!$R$2)</f>
        <v>154</v>
      </c>
      <c r="I304" s="36">
        <f>'Raw Data'!G306/100</f>
        <v>5.15</v>
      </c>
      <c r="K304" s="37">
        <f>Bill!$Y304</f>
        <v>45862</v>
      </c>
      <c r="L304" s="38">
        <f>Bill!$AA304*('Raw Data'!$E306+$L$2)</f>
        <v>1509.2</v>
      </c>
      <c r="M304" s="38">
        <f>Bill!$AB304*('Raw Data'!$E306+$M$2)</f>
        <v>2385</v>
      </c>
      <c r="N304" s="38">
        <f>(('Raw Data'!$F306 * 2)-10)*Bill!$AC304</f>
        <v>0</v>
      </c>
      <c r="O304" s="38">
        <f>('Raw Data'!F306+Bill!$O$2)*Bill!$AD304</f>
        <v>0</v>
      </c>
      <c r="P304" s="38">
        <f>('Raw Data'!F306+Bill!$P$2)*Bill!$AE304</f>
        <v>318</v>
      </c>
      <c r="Q304" s="38">
        <f>Bill!$Z304*('Raw Data'!$E306+$Q$2)</f>
        <v>0</v>
      </c>
      <c r="R304" s="38">
        <f>('Raw Data'!F306+Bill!$R$2)*Bill!$AF304</f>
        <v>0</v>
      </c>
      <c r="S304" s="48">
        <f>('Raw Data'!G306/100)*Bill!$AG304</f>
        <v>0</v>
      </c>
      <c r="T304" s="38">
        <f>SUM(Bill!$L304:$R304)</f>
        <v>4212.2</v>
      </c>
      <c r="U304" s="49">
        <v>4222.0</v>
      </c>
      <c r="V304" s="50"/>
      <c r="W304" s="38">
        <f>Bill!$U304-Bill!$T304</f>
        <v>9.8</v>
      </c>
      <c r="Y304" s="37">
        <f>'Raw Data'!D306</f>
        <v>45862</v>
      </c>
      <c r="Z304" s="41">
        <v>0.0</v>
      </c>
      <c r="AA304" s="47">
        <v>9.8</v>
      </c>
      <c r="AB304" s="47">
        <v>15.0</v>
      </c>
      <c r="AC304" s="47">
        <v>0.0</v>
      </c>
      <c r="AD304" s="47">
        <v>0.0</v>
      </c>
      <c r="AE304" s="47">
        <v>2.0</v>
      </c>
      <c r="AF304" s="47">
        <v>0.0</v>
      </c>
      <c r="AG304" s="47">
        <v>0.0</v>
      </c>
    </row>
    <row r="305" ht="15.75" customHeight="1">
      <c r="A305" s="35">
        <f>Bill!$Y305</f>
        <v>45863</v>
      </c>
      <c r="B305" s="43">
        <f>'Raw Data'!E307+Bill!$L$2</f>
        <v>154</v>
      </c>
      <c r="C305" s="43">
        <f>'Raw Data'!E307+Bill!$M$2</f>
        <v>159</v>
      </c>
      <c r="D305" s="43">
        <f>('Raw Data'!$F307*2)-10</f>
        <v>258</v>
      </c>
      <c r="E305" s="43">
        <f>'Raw Data'!F307+Bill!$O$2</f>
        <v>154</v>
      </c>
      <c r="F305" s="43">
        <f>'Raw Data'!F307+Bill!$P$2</f>
        <v>159</v>
      </c>
      <c r="G305" s="43"/>
      <c r="H305" s="43">
        <f>('Raw Data'!F307+Bill!$R$2)</f>
        <v>154</v>
      </c>
      <c r="I305" s="36">
        <f>'Raw Data'!G307/100</f>
        <v>4.95</v>
      </c>
      <c r="K305" s="37">
        <f>Bill!$Y305</f>
        <v>45863</v>
      </c>
      <c r="L305" s="38">
        <f>Bill!$AA305*('Raw Data'!$E307+$L$2)</f>
        <v>1478.4</v>
      </c>
      <c r="M305" s="38">
        <f>Bill!$AB305*('Raw Data'!$E307+$M$2)</f>
        <v>795</v>
      </c>
      <c r="N305" s="38">
        <f>(('Raw Data'!$F307 * 2)-10)*Bill!$AC305</f>
        <v>1548</v>
      </c>
      <c r="O305" s="38">
        <f>('Raw Data'!F307+Bill!$O$2)*Bill!$AD305</f>
        <v>0</v>
      </c>
      <c r="P305" s="38">
        <f>('Raw Data'!F307+Bill!$P$2)*Bill!$AE305</f>
        <v>477</v>
      </c>
      <c r="Q305" s="38">
        <f>Bill!$Z305*('Raw Data'!$E307+$Q$2)</f>
        <v>0</v>
      </c>
      <c r="R305" s="38">
        <f>('Raw Data'!F307+Bill!$R$2)*Bill!$AF305</f>
        <v>0</v>
      </c>
      <c r="S305" s="48">
        <f>('Raw Data'!G307/100)*Bill!$AG305</f>
        <v>0</v>
      </c>
      <c r="T305" s="38">
        <f>SUM(Bill!$L305:$R305)</f>
        <v>4298.4</v>
      </c>
      <c r="U305" s="49">
        <v>4313.0</v>
      </c>
      <c r="V305" s="50"/>
      <c r="W305" s="38">
        <f>Bill!$U305-Bill!$T305</f>
        <v>14.6</v>
      </c>
      <c r="Y305" s="37">
        <f>'Raw Data'!D307</f>
        <v>45863</v>
      </c>
      <c r="Z305" s="41">
        <v>0.0</v>
      </c>
      <c r="AA305" s="47">
        <v>9.6</v>
      </c>
      <c r="AB305" s="47">
        <v>5.0</v>
      </c>
      <c r="AC305" s="47">
        <v>6.0</v>
      </c>
      <c r="AD305" s="47">
        <v>0.0</v>
      </c>
      <c r="AE305" s="47">
        <v>3.0</v>
      </c>
      <c r="AF305" s="47">
        <v>0.0</v>
      </c>
      <c r="AG305" s="47">
        <v>0.0</v>
      </c>
    </row>
    <row r="306" ht="15.75" customHeight="1">
      <c r="A306" s="35">
        <f>Bill!$Y306</f>
        <v>45864</v>
      </c>
      <c r="B306" s="43">
        <f>'Raw Data'!E308+Bill!$L$2</f>
        <v>152</v>
      </c>
      <c r="C306" s="43">
        <f>'Raw Data'!E308+Bill!$M$2</f>
        <v>157</v>
      </c>
      <c r="D306" s="43">
        <f>('Raw Data'!$F308*2)-10</f>
        <v>250</v>
      </c>
      <c r="E306" s="43">
        <f>'Raw Data'!F308+Bill!$O$2</f>
        <v>150</v>
      </c>
      <c r="F306" s="43">
        <f>'Raw Data'!F308+Bill!$P$2</f>
        <v>155</v>
      </c>
      <c r="G306" s="43"/>
      <c r="H306" s="43">
        <f>('Raw Data'!F308+Bill!$R$2)</f>
        <v>150</v>
      </c>
      <c r="I306" s="36">
        <f>'Raw Data'!G308/100</f>
        <v>4.85</v>
      </c>
      <c r="K306" s="37">
        <f>Bill!$Y306</f>
        <v>45864</v>
      </c>
      <c r="L306" s="38">
        <f>Bill!$AA306*('Raw Data'!$E308+$L$2)</f>
        <v>0</v>
      </c>
      <c r="M306" s="38">
        <f>Bill!$AB306*('Raw Data'!$E308+$M$2)</f>
        <v>2355</v>
      </c>
      <c r="N306" s="38">
        <f>(('Raw Data'!$F308 * 2)-10)*Bill!$AC306</f>
        <v>1750</v>
      </c>
      <c r="O306" s="38">
        <f>('Raw Data'!F308+Bill!$O$2)*Bill!$AD306</f>
        <v>0</v>
      </c>
      <c r="P306" s="38">
        <f>('Raw Data'!F308+Bill!$P$2)*Bill!$AE306</f>
        <v>0</v>
      </c>
      <c r="Q306" s="38">
        <f>Bill!$Z306*('Raw Data'!$E308+$Q$2)</f>
        <v>0</v>
      </c>
      <c r="R306" s="38">
        <f>('Raw Data'!F308+Bill!$R$2)*Bill!$AF306</f>
        <v>0</v>
      </c>
      <c r="S306" s="48">
        <f>('Raw Data'!G308/100)*Bill!$AG306</f>
        <v>0</v>
      </c>
      <c r="T306" s="38">
        <f>SUM(Bill!$L306:$R306)</f>
        <v>4105</v>
      </c>
      <c r="U306" s="49">
        <v>4105.0</v>
      </c>
      <c r="V306" s="50"/>
      <c r="W306" s="38">
        <f>Bill!$U306-Bill!$T306</f>
        <v>0</v>
      </c>
      <c r="Y306" s="37">
        <f>'Raw Data'!D308</f>
        <v>45864</v>
      </c>
      <c r="Z306" s="41">
        <v>0.0</v>
      </c>
      <c r="AA306" s="47">
        <v>0.0</v>
      </c>
      <c r="AB306" s="47">
        <v>15.0</v>
      </c>
      <c r="AC306" s="47">
        <v>7.0</v>
      </c>
      <c r="AD306" s="47">
        <v>0.0</v>
      </c>
      <c r="AE306" s="47">
        <v>0.0</v>
      </c>
      <c r="AF306" s="47">
        <v>0.0</v>
      </c>
      <c r="AG306" s="47">
        <v>0.0</v>
      </c>
    </row>
    <row r="307" ht="15.75" customHeight="1">
      <c r="A307" s="35">
        <f>Bill!$Y307</f>
        <v>45865</v>
      </c>
      <c r="B307" s="43">
        <f>'Raw Data'!E309+Bill!$L$2</f>
        <v>152</v>
      </c>
      <c r="C307" s="43">
        <f>'Raw Data'!E309+Bill!$M$2</f>
        <v>157</v>
      </c>
      <c r="D307" s="43">
        <f>('Raw Data'!$F309*2)-10</f>
        <v>246</v>
      </c>
      <c r="E307" s="43">
        <f>'Raw Data'!F309+Bill!$O$2</f>
        <v>148</v>
      </c>
      <c r="F307" s="43">
        <f>'Raw Data'!F309+Bill!$P$2</f>
        <v>153</v>
      </c>
      <c r="G307" s="43"/>
      <c r="H307" s="43">
        <f>('Raw Data'!F309+Bill!$R$2)</f>
        <v>148</v>
      </c>
      <c r="I307" s="36">
        <f>'Raw Data'!G309/100</f>
        <v>4.65</v>
      </c>
      <c r="K307" s="37">
        <f>Bill!$Y307</f>
        <v>45865</v>
      </c>
      <c r="L307" s="38">
        <f>Bill!$AA307*('Raw Data'!$E309+$L$2)</f>
        <v>0</v>
      </c>
      <c r="M307" s="38">
        <f>Bill!$AB307*('Raw Data'!$E309+$M$2)</f>
        <v>0</v>
      </c>
      <c r="N307" s="38">
        <f>(('Raw Data'!$F309 * 2)-10)*Bill!$AC307</f>
        <v>0</v>
      </c>
      <c r="O307" s="38">
        <f>('Raw Data'!F309+Bill!$O$2)*Bill!$AD307</f>
        <v>0</v>
      </c>
      <c r="P307" s="38">
        <f>('Raw Data'!F309+Bill!$P$2)*Bill!$AE307</f>
        <v>0</v>
      </c>
      <c r="Q307" s="38">
        <f>Bill!$Z307*('Raw Data'!$E309+$Q$2)</f>
        <v>0</v>
      </c>
      <c r="R307" s="38">
        <f>('Raw Data'!F309+Bill!$R$2)*Bill!$AF307</f>
        <v>0</v>
      </c>
      <c r="S307" s="48">
        <f>('Raw Data'!G309/100)*Bill!$AG307</f>
        <v>0</v>
      </c>
      <c r="T307" s="38">
        <f>SUM(Bill!$L307:$R307)</f>
        <v>0</v>
      </c>
      <c r="U307" s="49">
        <v>0.0</v>
      </c>
      <c r="V307" s="50"/>
      <c r="W307" s="38">
        <f>Bill!$U307-Bill!$T307</f>
        <v>0</v>
      </c>
      <c r="Y307" s="37">
        <f>'Raw Data'!D309</f>
        <v>45865</v>
      </c>
      <c r="Z307" s="41">
        <v>0.0</v>
      </c>
      <c r="AA307" s="47">
        <v>0.0</v>
      </c>
      <c r="AB307" s="47">
        <v>0.0</v>
      </c>
      <c r="AC307" s="47">
        <v>0.0</v>
      </c>
      <c r="AD307" s="47">
        <v>0.0</v>
      </c>
      <c r="AE307" s="47">
        <v>0.0</v>
      </c>
      <c r="AF307" s="47">
        <v>0.0</v>
      </c>
      <c r="AG307" s="47">
        <v>0.0</v>
      </c>
    </row>
    <row r="308" ht="15.75" customHeight="1">
      <c r="A308" s="35">
        <f>Bill!$Y308</f>
        <v>45866</v>
      </c>
      <c r="B308" s="43">
        <f>'Raw Data'!E310+Bill!$L$2</f>
        <v>152</v>
      </c>
      <c r="C308" s="43">
        <f>'Raw Data'!E310+Bill!$M$2</f>
        <v>157</v>
      </c>
      <c r="D308" s="43">
        <f>('Raw Data'!$F310*2)-10</f>
        <v>246</v>
      </c>
      <c r="E308" s="43">
        <f>'Raw Data'!F310+Bill!$O$2</f>
        <v>148</v>
      </c>
      <c r="F308" s="43">
        <f>'Raw Data'!F310+Bill!$P$2</f>
        <v>153</v>
      </c>
      <c r="G308" s="43"/>
      <c r="H308" s="43">
        <f>('Raw Data'!F310+Bill!$R$2)</f>
        <v>148</v>
      </c>
      <c r="I308" s="36">
        <f>'Raw Data'!G310/100</f>
        <v>4.55</v>
      </c>
      <c r="K308" s="37">
        <f>Bill!$Y308</f>
        <v>45866</v>
      </c>
      <c r="L308" s="38">
        <f>Bill!$AA308*('Raw Data'!$E310+$L$2)</f>
        <v>0</v>
      </c>
      <c r="M308" s="38">
        <f>Bill!$AB308*('Raw Data'!$E310+$M$2)</f>
        <v>329.7</v>
      </c>
      <c r="N308" s="38">
        <f>(('Raw Data'!$F310 * 2)-10)*Bill!$AC308</f>
        <v>0</v>
      </c>
      <c r="O308" s="38">
        <f>('Raw Data'!F310+Bill!$O$2)*Bill!$AD308</f>
        <v>0</v>
      </c>
      <c r="P308" s="38">
        <f>('Raw Data'!F310+Bill!$P$2)*Bill!$AE308</f>
        <v>0</v>
      </c>
      <c r="Q308" s="38">
        <f>Bill!$Z308*('Raw Data'!$E310+$Q$2)</f>
        <v>0</v>
      </c>
      <c r="R308" s="38">
        <f>('Raw Data'!F310+Bill!$R$2)*Bill!$AF308</f>
        <v>384.8</v>
      </c>
      <c r="S308" s="48">
        <f>('Raw Data'!G310/100)*Bill!$AG308</f>
        <v>0</v>
      </c>
      <c r="T308" s="38">
        <f>SUM(Bill!$L308:$R308)</f>
        <v>714.5</v>
      </c>
      <c r="U308" s="49">
        <v>715.0</v>
      </c>
      <c r="V308" s="50"/>
      <c r="W308" s="38">
        <f>Bill!$U308-Bill!$T308</f>
        <v>0.5</v>
      </c>
      <c r="Y308" s="37">
        <f>'Raw Data'!D310</f>
        <v>45866</v>
      </c>
      <c r="Z308" s="41">
        <v>0.0</v>
      </c>
      <c r="AA308" s="47">
        <v>0.0</v>
      </c>
      <c r="AB308" s="47">
        <v>2.1</v>
      </c>
      <c r="AC308" s="47">
        <v>0.0</v>
      </c>
      <c r="AD308" s="47">
        <v>0.0</v>
      </c>
      <c r="AE308" s="47">
        <v>0.0</v>
      </c>
      <c r="AF308" s="47">
        <v>2.6</v>
      </c>
      <c r="AG308" s="47">
        <v>0.0</v>
      </c>
    </row>
    <row r="309" ht="15.75" customHeight="1">
      <c r="A309" s="35">
        <f>Bill!$Y309</f>
        <v>45867</v>
      </c>
      <c r="B309" s="43">
        <f>'Raw Data'!E311+Bill!$L$2</f>
        <v>150</v>
      </c>
      <c r="C309" s="43">
        <f>'Raw Data'!E311+Bill!$M$2</f>
        <v>155</v>
      </c>
      <c r="D309" s="43">
        <f>('Raw Data'!$F311*2)-10</f>
        <v>246</v>
      </c>
      <c r="E309" s="43">
        <f>'Raw Data'!F311+Bill!$O$2</f>
        <v>148</v>
      </c>
      <c r="F309" s="43">
        <f>'Raw Data'!F311+Bill!$P$2</f>
        <v>153</v>
      </c>
      <c r="G309" s="43"/>
      <c r="H309" s="43">
        <f>('Raw Data'!F311+Bill!$R$2)</f>
        <v>148</v>
      </c>
      <c r="I309" s="36">
        <f>'Raw Data'!G311/100</f>
        <v>4.55</v>
      </c>
      <c r="K309" s="37">
        <f>Bill!$Y309</f>
        <v>45867</v>
      </c>
      <c r="L309" s="38">
        <f>Bill!$AA309*('Raw Data'!$E311+$L$2)</f>
        <v>0</v>
      </c>
      <c r="M309" s="38">
        <f>Bill!$AB309*('Raw Data'!$E311+$M$2)</f>
        <v>798.25</v>
      </c>
      <c r="N309" s="38">
        <f>(('Raw Data'!$F311 * 2)-10)*Bill!$AC309</f>
        <v>246</v>
      </c>
      <c r="O309" s="38">
        <f>('Raw Data'!F311+Bill!$O$2)*Bill!$AD309</f>
        <v>429.2</v>
      </c>
      <c r="P309" s="38">
        <f>('Raw Data'!F311+Bill!$P$2)*Bill!$AE309</f>
        <v>0</v>
      </c>
      <c r="Q309" s="38">
        <f>Bill!$Z309*('Raw Data'!$E311+$Q$2)</f>
        <v>0</v>
      </c>
      <c r="R309" s="38">
        <f>('Raw Data'!F311+Bill!$R$2)*Bill!$AF309</f>
        <v>0</v>
      </c>
      <c r="S309" s="48">
        <f>('Raw Data'!G311/100)*Bill!$AG309</f>
        <v>0</v>
      </c>
      <c r="T309" s="38">
        <f>SUM(Bill!$L309:$R309)</f>
        <v>1473.45</v>
      </c>
      <c r="U309" s="49">
        <v>1473.0</v>
      </c>
      <c r="V309" s="50"/>
      <c r="W309" s="38">
        <f>Bill!$U309-Bill!$T309</f>
        <v>-0.45</v>
      </c>
      <c r="Y309" s="37">
        <f>'Raw Data'!D311</f>
        <v>45867</v>
      </c>
      <c r="Z309" s="41">
        <v>0.0</v>
      </c>
      <c r="AA309" s="47">
        <v>0.0</v>
      </c>
      <c r="AB309" s="47">
        <v>5.15</v>
      </c>
      <c r="AC309" s="47">
        <v>1.0</v>
      </c>
      <c r="AD309" s="47">
        <v>2.9</v>
      </c>
      <c r="AE309" s="47">
        <v>0.0</v>
      </c>
      <c r="AF309" s="47">
        <v>0.0</v>
      </c>
      <c r="AG309" s="47">
        <v>0.0</v>
      </c>
    </row>
    <row r="310" ht="15.75" customHeight="1">
      <c r="A310" s="35">
        <f>Bill!$Y310</f>
        <v>45868</v>
      </c>
      <c r="B310" s="43">
        <f>'Raw Data'!E312+Bill!$L$2</f>
        <v>148</v>
      </c>
      <c r="C310" s="43">
        <f>'Raw Data'!E312+Bill!$M$2</f>
        <v>153</v>
      </c>
      <c r="D310" s="43">
        <f>('Raw Data'!$F312*2)-10</f>
        <v>232</v>
      </c>
      <c r="E310" s="43">
        <f>'Raw Data'!F312+Bill!$O$2</f>
        <v>141</v>
      </c>
      <c r="F310" s="43">
        <f>'Raw Data'!F312+Bill!$P$2</f>
        <v>146</v>
      </c>
      <c r="G310" s="43"/>
      <c r="H310" s="43">
        <f>('Raw Data'!F312+Bill!$R$2)</f>
        <v>141</v>
      </c>
      <c r="I310" s="36">
        <f>'Raw Data'!G312/100</f>
        <v>4.55</v>
      </c>
      <c r="K310" s="37">
        <f>Bill!$Y310</f>
        <v>45868</v>
      </c>
      <c r="L310" s="38">
        <f>Bill!$AA310*('Raw Data'!$E312+$L$2)</f>
        <v>0</v>
      </c>
      <c r="M310" s="38">
        <f>Bill!$AB310*('Raw Data'!$E312+$M$2)</f>
        <v>0</v>
      </c>
      <c r="N310" s="38">
        <f>(('Raw Data'!$F312 * 2)-10)*Bill!$AC310</f>
        <v>0</v>
      </c>
      <c r="O310" s="38">
        <f>('Raw Data'!F312+Bill!$O$2)*Bill!$AD310</f>
        <v>0</v>
      </c>
      <c r="P310" s="38">
        <f>('Raw Data'!F312+Bill!$P$2)*Bill!$AE310</f>
        <v>0</v>
      </c>
      <c r="Q310" s="38">
        <f>Bill!$Z310*('Raw Data'!$E312+$Q$2)</f>
        <v>0</v>
      </c>
      <c r="R310" s="38">
        <f>('Raw Data'!F312+Bill!$R$2)*Bill!$AF310</f>
        <v>0</v>
      </c>
      <c r="S310" s="48">
        <f>('Raw Data'!G312/100)*Bill!$AG310</f>
        <v>0</v>
      </c>
      <c r="T310" s="38">
        <f>SUM(Bill!$L310:$R310)</f>
        <v>0</v>
      </c>
      <c r="U310" s="49">
        <v>0.0</v>
      </c>
      <c r="V310" s="50"/>
      <c r="W310" s="38">
        <f>Bill!$U310-Bill!$T310</f>
        <v>0</v>
      </c>
      <c r="Y310" s="37">
        <f>'Raw Data'!D312</f>
        <v>45868</v>
      </c>
      <c r="Z310" s="41">
        <v>0.0</v>
      </c>
      <c r="AA310" s="47">
        <v>0.0</v>
      </c>
      <c r="AB310" s="47">
        <v>0.0</v>
      </c>
      <c r="AC310" s="47">
        <v>0.0</v>
      </c>
      <c r="AD310" s="47">
        <v>0.0</v>
      </c>
      <c r="AE310" s="47">
        <v>0.0</v>
      </c>
      <c r="AF310" s="47">
        <v>0.0</v>
      </c>
      <c r="AG310" s="47">
        <v>0.0</v>
      </c>
    </row>
    <row r="311" ht="15.75" customHeight="1">
      <c r="A311" s="35">
        <f>Bill!$Y311</f>
        <v>45869</v>
      </c>
      <c r="B311" s="43">
        <f>'Raw Data'!E313+Bill!$L$2</f>
        <v>146</v>
      </c>
      <c r="C311" s="43">
        <f>'Raw Data'!E313+Bill!$M$2</f>
        <v>151</v>
      </c>
      <c r="D311" s="43">
        <f>('Raw Data'!$F313*2)-10</f>
        <v>220</v>
      </c>
      <c r="E311" s="43">
        <f>'Raw Data'!F313+Bill!$O$2</f>
        <v>135</v>
      </c>
      <c r="F311" s="43">
        <f>'Raw Data'!F313+Bill!$P$2</f>
        <v>140</v>
      </c>
      <c r="G311" s="43"/>
      <c r="H311" s="43">
        <f>('Raw Data'!F313+Bill!$R$2)</f>
        <v>135</v>
      </c>
      <c r="I311" s="36">
        <f>'Raw Data'!G313/100</f>
        <v>4.6</v>
      </c>
      <c r="K311" s="37">
        <f>Bill!$Y311</f>
        <v>45869</v>
      </c>
      <c r="L311" s="38">
        <f>Bill!$AA311*('Raw Data'!$E313+$L$2)</f>
        <v>0</v>
      </c>
      <c r="M311" s="38">
        <f>Bill!$AB311*('Raw Data'!$E313+$M$2)</f>
        <v>755</v>
      </c>
      <c r="N311" s="38">
        <f>(('Raw Data'!$F313 * 2)-10)*Bill!$AC311</f>
        <v>440</v>
      </c>
      <c r="O311" s="38">
        <f>('Raw Data'!F313+Bill!$O$2)*Bill!$AD311</f>
        <v>0</v>
      </c>
      <c r="P311" s="38">
        <f>('Raw Data'!F313+Bill!$P$2)*Bill!$AE311</f>
        <v>0</v>
      </c>
      <c r="Q311" s="38">
        <f>Bill!$Z311*('Raw Data'!$E313+$Q$2)</f>
        <v>0</v>
      </c>
      <c r="R311" s="38">
        <f>('Raw Data'!F313+Bill!$R$2)*Bill!$AF311</f>
        <v>0</v>
      </c>
      <c r="S311" s="48">
        <f>('Raw Data'!G313/100)*Bill!$AG311</f>
        <v>0</v>
      </c>
      <c r="T311" s="38">
        <f>SUM(Bill!$L311:$R311)</f>
        <v>1195</v>
      </c>
      <c r="U311" s="49">
        <v>1195.0</v>
      </c>
      <c r="V311" s="50"/>
      <c r="W311" s="38">
        <f>Bill!$U311-Bill!$T311</f>
        <v>0</v>
      </c>
      <c r="Y311" s="37">
        <f>'Raw Data'!D313</f>
        <v>45869</v>
      </c>
      <c r="Z311" s="41">
        <v>0.0</v>
      </c>
      <c r="AA311" s="47">
        <v>0.0</v>
      </c>
      <c r="AB311" s="47">
        <v>5.0</v>
      </c>
      <c r="AC311" s="47">
        <v>2.0</v>
      </c>
      <c r="AD311" s="47">
        <v>0.0</v>
      </c>
      <c r="AE311" s="47">
        <v>0.0</v>
      </c>
      <c r="AF311" s="47">
        <v>0.0</v>
      </c>
      <c r="AG311" s="47">
        <v>0.0</v>
      </c>
    </row>
    <row r="312" ht="15.75" customHeight="1">
      <c r="A312" s="35">
        <f>Bill!$Y312</f>
        <v>45870</v>
      </c>
      <c r="B312" s="43">
        <f>'Raw Data'!E314+Bill!$L$2</f>
        <v>144</v>
      </c>
      <c r="C312" s="43">
        <f>'Raw Data'!E314+Bill!$M$2</f>
        <v>149</v>
      </c>
      <c r="D312" s="43">
        <f>('Raw Data'!$F314*2)-10</f>
        <v>220</v>
      </c>
      <c r="E312" s="43">
        <f>'Raw Data'!F314+Bill!$O$2</f>
        <v>135</v>
      </c>
      <c r="F312" s="43">
        <f>'Raw Data'!F314+Bill!$P$2</f>
        <v>140</v>
      </c>
      <c r="G312" s="43">
        <f>'Raw Data'!E314+Bill!$Q$2</f>
        <v>174</v>
      </c>
      <c r="H312" s="43">
        <f>('Raw Data'!F314+Bill!$R$2)</f>
        <v>135</v>
      </c>
      <c r="I312" s="36">
        <f>'Raw Data'!G314/100</f>
        <v>4.65</v>
      </c>
      <c r="K312" s="37">
        <f>Bill!$Y312</f>
        <v>45870</v>
      </c>
      <c r="L312" s="38">
        <f>Bill!$AA312*('Raw Data'!$E314+$L$2)</f>
        <v>0</v>
      </c>
      <c r="M312" s="38">
        <f>Bill!$AB312*('Raw Data'!$E314+$M$2)</f>
        <v>759.9</v>
      </c>
      <c r="N312" s="38">
        <f>(('Raw Data'!$F314 * 2)-10)*Bill!$AC312</f>
        <v>440</v>
      </c>
      <c r="O312" s="38">
        <f>('Raw Data'!F314+Bill!$O$2)*Bill!$AD312</f>
        <v>0</v>
      </c>
      <c r="P312" s="38">
        <f>('Raw Data'!F314+Bill!$P$2)*Bill!$AE312</f>
        <v>140</v>
      </c>
      <c r="Q312" s="38">
        <f>Bill!$Z312*('Raw Data'!$E314+$Q$2)</f>
        <v>748.2</v>
      </c>
      <c r="R312" s="38">
        <f>('Raw Data'!F314+Bill!$R$2)*Bill!$AF312</f>
        <v>0</v>
      </c>
      <c r="S312" s="48">
        <f>('Raw Data'!G314/100)*Bill!$AG312</f>
        <v>0</v>
      </c>
      <c r="T312" s="38">
        <f>SUM(Bill!$L312:$R312)</f>
        <v>2088.1</v>
      </c>
      <c r="U312" s="49">
        <v>1964.0</v>
      </c>
      <c r="V312" s="50"/>
      <c r="W312" s="38">
        <f>Bill!$U312-Bill!$T312</f>
        <v>-124.1</v>
      </c>
      <c r="Y312" s="37">
        <f>'Raw Data'!D314</f>
        <v>45870</v>
      </c>
      <c r="Z312" s="47">
        <v>4.3</v>
      </c>
      <c r="AA312" s="47">
        <v>0.0</v>
      </c>
      <c r="AB312" s="47">
        <v>5.1</v>
      </c>
      <c r="AC312" s="47">
        <v>2.0</v>
      </c>
      <c r="AD312" s="47">
        <v>0.0</v>
      </c>
      <c r="AE312" s="47">
        <v>1.0</v>
      </c>
      <c r="AF312" s="47">
        <v>0.0</v>
      </c>
      <c r="AG312" s="47">
        <v>0.0</v>
      </c>
    </row>
    <row r="313" ht="15.75" customHeight="1">
      <c r="A313" s="35">
        <f>Bill!$Y313</f>
        <v>45871</v>
      </c>
      <c r="B313" s="43">
        <f>'Raw Data'!E315+Bill!$L$2</f>
        <v>144</v>
      </c>
      <c r="C313" s="43">
        <f>'Raw Data'!E315+Bill!$M$2</f>
        <v>149</v>
      </c>
      <c r="D313" s="43">
        <f>('Raw Data'!$F315*2)-10</f>
        <v>216</v>
      </c>
      <c r="E313" s="43">
        <f>'Raw Data'!F315+Bill!$O$2</f>
        <v>133</v>
      </c>
      <c r="F313" s="43">
        <f>'Raw Data'!F315+Bill!$P$2</f>
        <v>138</v>
      </c>
      <c r="G313" s="43">
        <f>'Raw Data'!E315+Bill!$Q$2</f>
        <v>174</v>
      </c>
      <c r="H313" s="43">
        <f>('Raw Data'!F315+Bill!$R$2)</f>
        <v>133</v>
      </c>
      <c r="I313" s="36">
        <f>'Raw Data'!G315/100</f>
        <v>4.7</v>
      </c>
      <c r="K313" s="37">
        <f>Bill!$Y313</f>
        <v>45871</v>
      </c>
      <c r="L313" s="38">
        <f>Bill!$AA313*('Raw Data'!$E315+$L$2)</f>
        <v>0</v>
      </c>
      <c r="M313" s="38">
        <f>Bill!$AB313*('Raw Data'!$E315+$M$2)</f>
        <v>1490</v>
      </c>
      <c r="N313" s="38">
        <f>(('Raw Data'!$F315 * 2)-10)*Bill!$AC313</f>
        <v>432</v>
      </c>
      <c r="O313" s="38">
        <f>('Raw Data'!F315+Bill!$O$2)*Bill!$AD313</f>
        <v>0</v>
      </c>
      <c r="P313" s="38">
        <f>('Raw Data'!F315+Bill!$P$2)*Bill!$AE313</f>
        <v>0</v>
      </c>
      <c r="Q313" s="38">
        <f>Bill!$Z313*('Raw Data'!$E315+$Q$2)</f>
        <v>1040.52</v>
      </c>
      <c r="R313" s="38">
        <f>('Raw Data'!F315+Bill!$R$2)*Bill!$AF313</f>
        <v>0</v>
      </c>
      <c r="S313" s="48">
        <f>('Raw Data'!G315/100)*Bill!$AG313</f>
        <v>0</v>
      </c>
      <c r="T313" s="38">
        <f>SUM(Bill!$L313:$R313)</f>
        <v>2962.52</v>
      </c>
      <c r="U313" s="49">
        <v>2957.0</v>
      </c>
      <c r="V313" s="50"/>
      <c r="W313" s="38">
        <f>Bill!$U313-Bill!$T313</f>
        <v>-5.52</v>
      </c>
      <c r="Y313" s="37">
        <f>'Raw Data'!D315</f>
        <v>45871</v>
      </c>
      <c r="Z313" s="47">
        <v>5.98</v>
      </c>
      <c r="AA313" s="47">
        <v>0.0</v>
      </c>
      <c r="AB313" s="47">
        <v>10.0</v>
      </c>
      <c r="AC313" s="47">
        <v>2.0</v>
      </c>
      <c r="AD313" s="47"/>
      <c r="AE313" s="47"/>
      <c r="AF313" s="47"/>
      <c r="AG313" s="47"/>
    </row>
    <row r="314" ht="15.75" customHeight="1">
      <c r="A314" s="35">
        <f>Bill!$Y314</f>
        <v>45872</v>
      </c>
      <c r="B314" s="43">
        <f>'Raw Data'!E316+Bill!$L$2</f>
        <v>144</v>
      </c>
      <c r="C314" s="43">
        <f>'Raw Data'!E316+Bill!$M$2</f>
        <v>149</v>
      </c>
      <c r="D314" s="43">
        <f>('Raw Data'!$F316*2)-10</f>
        <v>216</v>
      </c>
      <c r="E314" s="43">
        <f>'Raw Data'!F316+Bill!$O$2</f>
        <v>133</v>
      </c>
      <c r="F314" s="43">
        <f>'Raw Data'!F316+Bill!$P$2</f>
        <v>138</v>
      </c>
      <c r="G314" s="43">
        <f>'Raw Data'!E316+Bill!$Q$2</f>
        <v>174</v>
      </c>
      <c r="H314" s="43">
        <f>('Raw Data'!F316+Bill!$R$2)</f>
        <v>133</v>
      </c>
      <c r="I314" s="36">
        <f>'Raw Data'!G316/100</f>
        <v>4.7</v>
      </c>
      <c r="K314" s="37">
        <f>Bill!$Y314</f>
        <v>45872</v>
      </c>
      <c r="L314" s="38">
        <f>Bill!$AA314*('Raw Data'!$E316+$L$2)</f>
        <v>0</v>
      </c>
      <c r="M314" s="38">
        <f>Bill!$AB314*('Raw Data'!$E316+$M$2)</f>
        <v>759.9</v>
      </c>
      <c r="N314" s="38">
        <f>(('Raw Data'!$F316 * 2)-10)*Bill!$AC314</f>
        <v>432</v>
      </c>
      <c r="O314" s="38">
        <f>('Raw Data'!F316+Bill!$O$2)*Bill!$AD314</f>
        <v>0</v>
      </c>
      <c r="P314" s="38">
        <f>('Raw Data'!F316+Bill!$P$2)*Bill!$AE314</f>
        <v>0</v>
      </c>
      <c r="Q314" s="38">
        <f>Bill!$Z314*('Raw Data'!$E316+$Q$2)</f>
        <v>0</v>
      </c>
      <c r="R314" s="38">
        <f>('Raw Data'!F316+Bill!$R$2)*Bill!$AF314</f>
        <v>0</v>
      </c>
      <c r="S314" s="48">
        <f>('Raw Data'!G316/100)*Bill!$AG314</f>
        <v>705</v>
      </c>
      <c r="T314" s="38">
        <f>SUM(Bill!$L314:$R314)</f>
        <v>1191.9</v>
      </c>
      <c r="U314" s="49">
        <v>1192.0</v>
      </c>
      <c r="V314" s="50"/>
      <c r="W314" s="38">
        <f>Bill!$U314-Bill!$T314</f>
        <v>0.1</v>
      </c>
      <c r="Y314" s="37">
        <f>'Raw Data'!D316</f>
        <v>45872</v>
      </c>
      <c r="Z314" s="47">
        <v>0.0</v>
      </c>
      <c r="AA314" s="47">
        <v>0.0</v>
      </c>
      <c r="AB314" s="47">
        <v>5.1</v>
      </c>
      <c r="AC314" s="47">
        <v>2.0</v>
      </c>
      <c r="AD314" s="47"/>
      <c r="AE314" s="47">
        <v>0.0</v>
      </c>
      <c r="AF314" s="47">
        <v>0.0</v>
      </c>
      <c r="AG314" s="47">
        <v>150.0</v>
      </c>
    </row>
    <row r="315" ht="15.75" customHeight="1">
      <c r="A315" s="35">
        <f>Bill!$Y315</f>
        <v>45873</v>
      </c>
      <c r="B315" s="43">
        <f>'Raw Data'!E317+Bill!$L$2</f>
        <v>144</v>
      </c>
      <c r="C315" s="43">
        <f>'Raw Data'!E317+Bill!$M$2</f>
        <v>149</v>
      </c>
      <c r="D315" s="43">
        <f>('Raw Data'!$F317*2)-10</f>
        <v>216</v>
      </c>
      <c r="E315" s="43">
        <f>'Raw Data'!F317+Bill!$O$2</f>
        <v>133</v>
      </c>
      <c r="F315" s="43">
        <f>'Raw Data'!F317+Bill!$P$2</f>
        <v>138</v>
      </c>
      <c r="G315" s="43">
        <f>'Raw Data'!E317+Bill!$Q$2</f>
        <v>174</v>
      </c>
      <c r="H315" s="43">
        <f>('Raw Data'!F317+Bill!$R$2)</f>
        <v>133</v>
      </c>
      <c r="I315" s="36">
        <f>'Raw Data'!G317/100</f>
        <v>4.75</v>
      </c>
      <c r="K315" s="37">
        <f>Bill!$Y315</f>
        <v>45873</v>
      </c>
      <c r="L315" s="38">
        <f>Bill!$AA315*('Raw Data'!$E317+$L$2)</f>
        <v>0</v>
      </c>
      <c r="M315" s="38">
        <f>Bill!$AB315*('Raw Data'!$E317+$M$2)</f>
        <v>1519.8</v>
      </c>
      <c r="N315" s="38">
        <f>(('Raw Data'!$F317 * 2)-10)*Bill!$AC315</f>
        <v>648</v>
      </c>
      <c r="O315" s="38">
        <f>('Raw Data'!F317+Bill!$O$2)*Bill!$AD315</f>
        <v>0</v>
      </c>
      <c r="P315" s="38">
        <f>('Raw Data'!F317+Bill!$P$2)*Bill!$AE315</f>
        <v>138</v>
      </c>
      <c r="Q315" s="38">
        <f>Bill!$Z315*('Raw Data'!$E317+$Q$2)</f>
        <v>1626.9</v>
      </c>
      <c r="R315" s="38">
        <f>('Raw Data'!F317+Bill!$R$2)*Bill!$AF315</f>
        <v>365.75</v>
      </c>
      <c r="S315" s="48">
        <f>('Raw Data'!G317/100)*Bill!$AG315</f>
        <v>0</v>
      </c>
      <c r="T315" s="38">
        <f>SUM(Bill!$L315:$R315)</f>
        <v>4298.45</v>
      </c>
      <c r="U315" s="49">
        <v>4304.0</v>
      </c>
      <c r="V315" s="50"/>
      <c r="W315" s="38">
        <f>Bill!$U315-Bill!$T315</f>
        <v>5.55</v>
      </c>
      <c r="Y315" s="37">
        <f>'Raw Data'!D317</f>
        <v>45873</v>
      </c>
      <c r="Z315" s="47">
        <v>9.35</v>
      </c>
      <c r="AA315" s="47">
        <v>0.0</v>
      </c>
      <c r="AB315" s="47">
        <v>10.2</v>
      </c>
      <c r="AC315" s="47">
        <v>3.0</v>
      </c>
      <c r="AD315" s="47"/>
      <c r="AE315" s="47">
        <v>1.0</v>
      </c>
      <c r="AF315" s="47">
        <v>2.75</v>
      </c>
      <c r="AG315" s="47"/>
    </row>
    <row r="316" ht="15.75" customHeight="1">
      <c r="A316" s="35">
        <f>Bill!$Y316</f>
        <v>45874</v>
      </c>
      <c r="B316" s="43">
        <f>'Raw Data'!E318+Bill!$L$2</f>
        <v>142</v>
      </c>
      <c r="C316" s="43">
        <f>'Raw Data'!E318+Bill!$M$2</f>
        <v>147</v>
      </c>
      <c r="D316" s="43">
        <f>('Raw Data'!$F318*2)-10</f>
        <v>200</v>
      </c>
      <c r="E316" s="43">
        <f>'Raw Data'!F318+Bill!$O$2</f>
        <v>125</v>
      </c>
      <c r="F316" s="43">
        <f>'Raw Data'!F318+Bill!$P$2</f>
        <v>130</v>
      </c>
      <c r="G316" s="43">
        <f>'Raw Data'!E318+Bill!$Q$2</f>
        <v>172</v>
      </c>
      <c r="H316" s="43">
        <f>('Raw Data'!F318+Bill!$R$2)</f>
        <v>125</v>
      </c>
      <c r="I316" s="36">
        <f>'Raw Data'!G318/100</f>
        <v>4.75</v>
      </c>
      <c r="K316" s="37">
        <f>Bill!$Y316</f>
        <v>45874</v>
      </c>
      <c r="L316" s="38">
        <f>Bill!$AA316*('Raw Data'!$E318+$L$2)</f>
        <v>0</v>
      </c>
      <c r="M316" s="38">
        <f>Bill!$AB316*('Raw Data'!$E318+$M$2)</f>
        <v>0</v>
      </c>
      <c r="N316" s="38">
        <f>(('Raw Data'!$F318 * 2)-10)*Bill!$AC316</f>
        <v>0</v>
      </c>
      <c r="O316" s="38">
        <f>('Raw Data'!F318+Bill!$O$2)*Bill!$AD316</f>
        <v>0</v>
      </c>
      <c r="P316" s="38">
        <f>('Raw Data'!F318+Bill!$P$2)*Bill!$AE316</f>
        <v>0</v>
      </c>
      <c r="Q316" s="38">
        <f>Bill!$Z316*('Raw Data'!$E318+$Q$2)</f>
        <v>0</v>
      </c>
      <c r="R316" s="38">
        <f>('Raw Data'!F318+Bill!$R$2)*Bill!$AF316</f>
        <v>0</v>
      </c>
      <c r="S316" s="48">
        <f>('Raw Data'!G318/100)*Bill!$AG316</f>
        <v>0</v>
      </c>
      <c r="T316" s="38">
        <f>SUM(Bill!$L316:$R316)</f>
        <v>0</v>
      </c>
      <c r="U316" s="49">
        <v>0.0</v>
      </c>
      <c r="V316" s="50"/>
      <c r="W316" s="38">
        <f>Bill!$U316-Bill!$T316</f>
        <v>0</v>
      </c>
      <c r="Y316" s="37">
        <f>'Raw Data'!D318</f>
        <v>45874</v>
      </c>
      <c r="Z316" s="47">
        <v>0.0</v>
      </c>
      <c r="AA316" s="47"/>
      <c r="AB316" s="47"/>
      <c r="AC316" s="47"/>
      <c r="AD316" s="47"/>
      <c r="AE316" s="47"/>
      <c r="AF316" s="47"/>
      <c r="AG316" s="47"/>
    </row>
    <row r="317" ht="15.75" customHeight="1">
      <c r="A317" s="35">
        <f>Bill!$Y317</f>
        <v>45875</v>
      </c>
      <c r="B317" s="43">
        <f>'Raw Data'!E319+Bill!$L$2</f>
        <v>142</v>
      </c>
      <c r="C317" s="43">
        <f>'Raw Data'!E319+Bill!$M$2</f>
        <v>147</v>
      </c>
      <c r="D317" s="43">
        <f>('Raw Data'!$F319*2)-10</f>
        <v>200</v>
      </c>
      <c r="E317" s="43">
        <f>'Raw Data'!F319+Bill!$O$2</f>
        <v>125</v>
      </c>
      <c r="F317" s="43">
        <f>'Raw Data'!F319+Bill!$P$2</f>
        <v>130</v>
      </c>
      <c r="G317" s="43">
        <f>'Raw Data'!E319+Bill!$Q$2</f>
        <v>172</v>
      </c>
      <c r="H317" s="43">
        <f>('Raw Data'!F319+Bill!$R$2)</f>
        <v>125</v>
      </c>
      <c r="I317" s="36">
        <f>'Raw Data'!G319/100</f>
        <v>4.75</v>
      </c>
      <c r="K317" s="37">
        <f>Bill!$Y317</f>
        <v>45875</v>
      </c>
      <c r="L317" s="38">
        <f>Bill!$AA317*('Raw Data'!$E319+$L$2)</f>
        <v>0</v>
      </c>
      <c r="M317" s="38">
        <f>Bill!$AB317*('Raw Data'!$E319+$M$2)</f>
        <v>0</v>
      </c>
      <c r="N317" s="38">
        <f>(('Raw Data'!$F319 * 2)-10)*Bill!$AC317</f>
        <v>0</v>
      </c>
      <c r="O317" s="38">
        <f>('Raw Data'!F319+Bill!$O$2)*Bill!$AD317</f>
        <v>0</v>
      </c>
      <c r="P317" s="38">
        <f>('Raw Data'!F319+Bill!$P$2)*Bill!$AE317</f>
        <v>0</v>
      </c>
      <c r="Q317" s="38">
        <f>Bill!$Z317*('Raw Data'!$E319+$Q$2)</f>
        <v>0</v>
      </c>
      <c r="R317" s="38">
        <f>('Raw Data'!F319+Bill!$R$2)*Bill!$AF317</f>
        <v>0</v>
      </c>
      <c r="S317" s="48">
        <f>('Raw Data'!G319/100)*Bill!$AG317</f>
        <v>0</v>
      </c>
      <c r="T317" s="38">
        <f>SUM(Bill!$L317:$R317)</f>
        <v>0</v>
      </c>
      <c r="U317" s="49">
        <v>0.0</v>
      </c>
      <c r="V317" s="50"/>
      <c r="W317" s="38">
        <f>Bill!$U317-Bill!$T317</f>
        <v>0</v>
      </c>
      <c r="Y317" s="37">
        <f>'Raw Data'!D319</f>
        <v>45875</v>
      </c>
      <c r="Z317" s="47">
        <v>0.0</v>
      </c>
      <c r="AA317" s="47">
        <v>0.0</v>
      </c>
      <c r="AB317" s="47">
        <v>0.0</v>
      </c>
      <c r="AC317" s="47"/>
      <c r="AD317" s="47"/>
      <c r="AE317" s="47"/>
      <c r="AF317" s="47"/>
      <c r="AG317" s="47"/>
    </row>
    <row r="318" ht="15.75" customHeight="1">
      <c r="A318" s="35">
        <f>Bill!$Y318</f>
        <v>45876</v>
      </c>
      <c r="B318" s="43">
        <f>'Raw Data'!E320+Bill!$L$2</f>
        <v>142</v>
      </c>
      <c r="C318" s="43">
        <f>'Raw Data'!E320+Bill!$M$2</f>
        <v>147</v>
      </c>
      <c r="D318" s="43">
        <f>('Raw Data'!$F320*2)-10</f>
        <v>184</v>
      </c>
      <c r="E318" s="43">
        <f>'Raw Data'!F320+Bill!$O$2</f>
        <v>117</v>
      </c>
      <c r="F318" s="43">
        <f>'Raw Data'!F320+Bill!$P$2</f>
        <v>122</v>
      </c>
      <c r="G318" s="43">
        <f>'Raw Data'!E320+Bill!$Q$2</f>
        <v>172</v>
      </c>
      <c r="H318" s="43">
        <f>('Raw Data'!F320+Bill!$R$2)</f>
        <v>117</v>
      </c>
      <c r="I318" s="36">
        <f>'Raw Data'!G320/100</f>
        <v>4.8</v>
      </c>
      <c r="K318" s="37">
        <f>Bill!$Y318</f>
        <v>45876</v>
      </c>
      <c r="L318" s="38">
        <f>Bill!$AA318*('Raw Data'!$E320+$L$2)</f>
        <v>0</v>
      </c>
      <c r="M318" s="38">
        <f>Bill!$AB318*('Raw Data'!$E320+$M$2)</f>
        <v>441</v>
      </c>
      <c r="N318" s="38">
        <f>(('Raw Data'!$F320 * 2)-10)*Bill!$AC318</f>
        <v>552</v>
      </c>
      <c r="O318" s="38">
        <f>('Raw Data'!F320+Bill!$O$2)*Bill!$AD318</f>
        <v>0</v>
      </c>
      <c r="P318" s="38">
        <f>('Raw Data'!F320+Bill!$P$2)*Bill!$AE318</f>
        <v>0</v>
      </c>
      <c r="Q318" s="38">
        <f>Bill!$Z318*('Raw Data'!$E320+$Q$2)</f>
        <v>0</v>
      </c>
      <c r="R318" s="38">
        <f>('Raw Data'!F320+Bill!$R$2)*Bill!$AF318</f>
        <v>0</v>
      </c>
      <c r="S318" s="48">
        <f>('Raw Data'!G320/100)*Bill!$AG318</f>
        <v>0</v>
      </c>
      <c r="T318" s="38">
        <f>SUM(Bill!$L318:$R318)</f>
        <v>993</v>
      </c>
      <c r="U318" s="49">
        <v>993.0</v>
      </c>
      <c r="V318" s="50"/>
      <c r="W318" s="38">
        <f>Bill!$U318-Bill!$T318</f>
        <v>0</v>
      </c>
      <c r="Y318" s="37">
        <f>'Raw Data'!D320</f>
        <v>45876</v>
      </c>
      <c r="Z318" s="47">
        <v>0.0</v>
      </c>
      <c r="AA318" s="47">
        <v>0.0</v>
      </c>
      <c r="AB318" s="47">
        <v>3.0</v>
      </c>
      <c r="AC318" s="47">
        <v>3.0</v>
      </c>
      <c r="AD318" s="47"/>
      <c r="AE318" s="47"/>
      <c r="AF318" s="47"/>
      <c r="AG318" s="47"/>
    </row>
    <row r="319" ht="15.75" customHeight="1">
      <c r="A319" s="35">
        <f>Bill!$Y319</f>
        <v>45877</v>
      </c>
      <c r="B319" s="43">
        <f>'Raw Data'!E321+Bill!$L$2</f>
        <v>142</v>
      </c>
      <c r="C319" s="43">
        <f>'Raw Data'!E321+Bill!$M$2</f>
        <v>147</v>
      </c>
      <c r="D319" s="43">
        <f>('Raw Data'!$F321*2)-10</f>
        <v>188</v>
      </c>
      <c r="E319" s="43">
        <f>'Raw Data'!F321+Bill!$O$2</f>
        <v>119</v>
      </c>
      <c r="F319" s="43">
        <f>'Raw Data'!F321+Bill!$P$2</f>
        <v>124</v>
      </c>
      <c r="G319" s="43">
        <f>'Raw Data'!E321+Bill!$Q$2</f>
        <v>172</v>
      </c>
      <c r="H319" s="43">
        <f>('Raw Data'!F321+Bill!$R$2)</f>
        <v>119</v>
      </c>
      <c r="I319" s="36">
        <f>'Raw Data'!G321/100</f>
        <v>4.85</v>
      </c>
      <c r="K319" s="37">
        <f>Bill!$Y319</f>
        <v>45877</v>
      </c>
      <c r="L319" s="38">
        <f>Bill!$AA319*('Raw Data'!$E321+$L$2)</f>
        <v>0</v>
      </c>
      <c r="M319" s="38">
        <f>Bill!$AB319*('Raw Data'!$E321+$M$2)</f>
        <v>1484.7</v>
      </c>
      <c r="N319" s="38">
        <f>(('Raw Data'!$F321 * 2)-10)*Bill!$AC319</f>
        <v>940</v>
      </c>
      <c r="O319" s="38">
        <f>('Raw Data'!F321+Bill!$O$2)*Bill!$AD319</f>
        <v>0</v>
      </c>
      <c r="P319" s="38">
        <f>('Raw Data'!F321+Bill!$P$2)*Bill!$AE319</f>
        <v>0</v>
      </c>
      <c r="Q319" s="38">
        <f>Bill!$Z319*('Raw Data'!$E321+$Q$2)</f>
        <v>1565.2</v>
      </c>
      <c r="R319" s="38">
        <f>('Raw Data'!F321+Bill!$R$2)*Bill!$AF319</f>
        <v>0</v>
      </c>
      <c r="S319" s="48">
        <f>('Raw Data'!G321/100)*Bill!$AG319</f>
        <v>0</v>
      </c>
      <c r="T319" s="38">
        <f>SUM(Bill!$L319:$R319)</f>
        <v>3989.9</v>
      </c>
      <c r="U319" s="49">
        <v>3990.0</v>
      </c>
      <c r="V319" s="50"/>
      <c r="W319" s="38">
        <f>Bill!$U319-Bill!$T319</f>
        <v>0.1</v>
      </c>
      <c r="Y319" s="37">
        <f>'Raw Data'!D321</f>
        <v>45877</v>
      </c>
      <c r="Z319" s="47">
        <v>9.1</v>
      </c>
      <c r="AA319" s="47">
        <v>0.0</v>
      </c>
      <c r="AB319" s="47">
        <v>10.1</v>
      </c>
      <c r="AC319" s="47">
        <v>5.0</v>
      </c>
      <c r="AD319" s="47"/>
      <c r="AE319" s="47"/>
      <c r="AF319" s="47"/>
      <c r="AG319" s="47"/>
    </row>
    <row r="320" ht="15.75" customHeight="1">
      <c r="A320" s="35">
        <f>Bill!$Y320</f>
        <v>45878</v>
      </c>
      <c r="B320" s="43">
        <f>'Raw Data'!E322+Bill!$L$2</f>
        <v>142</v>
      </c>
      <c r="C320" s="43">
        <f>'Raw Data'!E322+Bill!$M$2</f>
        <v>147</v>
      </c>
      <c r="D320" s="43">
        <f>('Raw Data'!$F322*2)-10</f>
        <v>188</v>
      </c>
      <c r="E320" s="43">
        <f>'Raw Data'!F322+Bill!$O$2</f>
        <v>119</v>
      </c>
      <c r="F320" s="43">
        <f>'Raw Data'!F322+Bill!$P$2</f>
        <v>124</v>
      </c>
      <c r="G320" s="43">
        <f>'Raw Data'!E322+Bill!$Q$2</f>
        <v>172</v>
      </c>
      <c r="H320" s="43">
        <f>('Raw Data'!F322+Bill!$R$2)</f>
        <v>119</v>
      </c>
      <c r="I320" s="36">
        <f>'Raw Data'!G322/100</f>
        <v>4.9</v>
      </c>
      <c r="K320" s="37">
        <f>Bill!$Y320</f>
        <v>45878</v>
      </c>
      <c r="L320" s="38">
        <f>Bill!$AA320*('Raw Data'!$E322+$L$2)</f>
        <v>0</v>
      </c>
      <c r="M320" s="38">
        <f>Bill!$AB320*('Raw Data'!$E322+$M$2)</f>
        <v>463.05</v>
      </c>
      <c r="N320" s="38">
        <f>(('Raw Data'!$F322 * 2)-10)*Bill!$AC320</f>
        <v>564</v>
      </c>
      <c r="O320" s="38">
        <f>('Raw Data'!F322+Bill!$O$2)*Bill!$AD320</f>
        <v>0</v>
      </c>
      <c r="P320" s="38">
        <f>('Raw Data'!F322+Bill!$P$2)*Bill!$AE320</f>
        <v>248</v>
      </c>
      <c r="Q320" s="38">
        <f>Bill!$Z320*('Raw Data'!$E322+$Q$2)</f>
        <v>0</v>
      </c>
      <c r="R320" s="38">
        <f>('Raw Data'!F322+Bill!$R$2)*Bill!$AF320</f>
        <v>0</v>
      </c>
      <c r="S320" s="48">
        <f>('Raw Data'!G322/100)*Bill!$AG320</f>
        <v>735</v>
      </c>
      <c r="T320" s="38">
        <f>SUM(Bill!$L320:$R320)</f>
        <v>1275.05</v>
      </c>
      <c r="U320" s="49">
        <v>1285.0</v>
      </c>
      <c r="V320" s="50"/>
      <c r="W320" s="38">
        <f>Bill!$U320-Bill!$T320</f>
        <v>9.95</v>
      </c>
      <c r="Y320" s="37">
        <f>'Raw Data'!D322</f>
        <v>45878</v>
      </c>
      <c r="Z320" s="47">
        <v>0.0</v>
      </c>
      <c r="AA320" s="47">
        <v>0.0</v>
      </c>
      <c r="AB320" s="47">
        <v>3.15</v>
      </c>
      <c r="AC320" s="47">
        <v>3.0</v>
      </c>
      <c r="AD320" s="47"/>
      <c r="AE320" s="47">
        <v>2.0</v>
      </c>
      <c r="AF320" s="47"/>
      <c r="AG320" s="47">
        <v>150.0</v>
      </c>
    </row>
    <row r="321" ht="15.75" customHeight="1">
      <c r="A321" s="35">
        <f>Bill!$Y321</f>
        <v>45879</v>
      </c>
      <c r="B321" s="43">
        <f>'Raw Data'!E323+Bill!$L$2</f>
        <v>144</v>
      </c>
      <c r="C321" s="43">
        <f>'Raw Data'!E323+Bill!$M$2</f>
        <v>149</v>
      </c>
      <c r="D321" s="43">
        <f>('Raw Data'!$F323*2)-10</f>
        <v>200</v>
      </c>
      <c r="E321" s="43">
        <f>'Raw Data'!F323+Bill!$O$2</f>
        <v>125</v>
      </c>
      <c r="F321" s="43">
        <f>'Raw Data'!F323+Bill!$P$2</f>
        <v>130</v>
      </c>
      <c r="G321" s="43">
        <f>'Raw Data'!E323+Bill!$Q$2</f>
        <v>174</v>
      </c>
      <c r="H321" s="43">
        <f>('Raw Data'!F323+Bill!$R$2)</f>
        <v>125</v>
      </c>
      <c r="I321" s="36">
        <f>'Raw Data'!G323/100</f>
        <v>4.95</v>
      </c>
      <c r="K321" s="37">
        <f>Bill!$Y321</f>
        <v>45879</v>
      </c>
      <c r="L321" s="38">
        <f>Bill!$AA321*('Raw Data'!$E323+$L$2)</f>
        <v>0</v>
      </c>
      <c r="M321" s="38">
        <f>Bill!$AB321*('Raw Data'!$E323+$M$2)</f>
        <v>484.25</v>
      </c>
      <c r="N321" s="38">
        <f>(('Raw Data'!$F323 * 2)-10)*Bill!$AC321</f>
        <v>1000</v>
      </c>
      <c r="O321" s="38">
        <f>('Raw Data'!F323+Bill!$O$2)*Bill!$AD321</f>
        <v>0</v>
      </c>
      <c r="P321" s="38">
        <f>('Raw Data'!F323+Bill!$P$2)*Bill!$AE321</f>
        <v>344.5</v>
      </c>
      <c r="Q321" s="38">
        <f>Bill!$Z321*('Raw Data'!$E323+$Q$2)</f>
        <v>0</v>
      </c>
      <c r="R321" s="38">
        <f>('Raw Data'!F323+Bill!$R$2)*Bill!$AF321</f>
        <v>0</v>
      </c>
      <c r="S321" s="48">
        <f>('Raw Data'!G323/100)*Bill!$AG321</f>
        <v>0</v>
      </c>
      <c r="T321" s="38">
        <f>SUM(Bill!$L321:$R321)</f>
        <v>1828.75</v>
      </c>
      <c r="U321" s="49">
        <v>1815.0</v>
      </c>
      <c r="V321" s="50"/>
      <c r="W321" s="38">
        <f>Bill!$U321-Bill!$T321</f>
        <v>-13.75</v>
      </c>
      <c r="Y321" s="37">
        <f>'Raw Data'!D323</f>
        <v>45879</v>
      </c>
      <c r="Z321" s="47">
        <v>0.0</v>
      </c>
      <c r="AA321" s="47"/>
      <c r="AB321" s="47">
        <v>3.25</v>
      </c>
      <c r="AC321" s="47">
        <v>5.0</v>
      </c>
      <c r="AD321" s="47"/>
      <c r="AE321" s="47">
        <v>2.65</v>
      </c>
      <c r="AF321" s="47"/>
      <c r="AG321" s="47"/>
    </row>
    <row r="322" ht="15.75" customHeight="1">
      <c r="A322" s="35">
        <f>Bill!$Y322</f>
        <v>45880</v>
      </c>
      <c r="B322" s="43">
        <f>'Raw Data'!E324+Bill!$L$2</f>
        <v>144</v>
      </c>
      <c r="C322" s="43">
        <f>'Raw Data'!E324+Bill!$M$2</f>
        <v>149</v>
      </c>
      <c r="D322" s="43">
        <f>('Raw Data'!$F324*2)-10</f>
        <v>200</v>
      </c>
      <c r="E322" s="43">
        <f>'Raw Data'!F324+Bill!$O$2</f>
        <v>125</v>
      </c>
      <c r="F322" s="43">
        <f>'Raw Data'!F324+Bill!$P$2</f>
        <v>130</v>
      </c>
      <c r="G322" s="43">
        <f>'Raw Data'!E324+Bill!$Q$2</f>
        <v>174</v>
      </c>
      <c r="H322" s="43">
        <f>('Raw Data'!F324+Bill!$R$2)</f>
        <v>125</v>
      </c>
      <c r="I322" s="36">
        <f>'Raw Data'!G324/100</f>
        <v>5.05</v>
      </c>
      <c r="K322" s="37">
        <f>Bill!$Y322</f>
        <v>45880</v>
      </c>
      <c r="L322" s="38">
        <f>Bill!$AA322*('Raw Data'!$E324+$L$2)</f>
        <v>0</v>
      </c>
      <c r="M322" s="38">
        <f>Bill!$AB322*('Raw Data'!$E324+$M$2)</f>
        <v>1788</v>
      </c>
      <c r="N322" s="38">
        <f>(('Raw Data'!$F324 * 2)-10)*Bill!$AC322</f>
        <v>1000</v>
      </c>
      <c r="O322" s="38">
        <f>('Raw Data'!F324+Bill!$O$2)*Bill!$AD322</f>
        <v>0</v>
      </c>
      <c r="P322" s="38">
        <f>('Raw Data'!F324+Bill!$P$2)*Bill!$AE322</f>
        <v>0</v>
      </c>
      <c r="Q322" s="38">
        <f>Bill!$Z322*('Raw Data'!$E324+$Q$2)</f>
        <v>0</v>
      </c>
      <c r="R322" s="38">
        <f>('Raw Data'!F324+Bill!$R$2)*Bill!$AF322</f>
        <v>0</v>
      </c>
      <c r="S322" s="48">
        <f>('Raw Data'!G324/100)*Bill!$AG322</f>
        <v>0</v>
      </c>
      <c r="T322" s="38">
        <f>SUM(Bill!$L322:$R322)</f>
        <v>2788</v>
      </c>
      <c r="U322" s="49">
        <v>2788.0</v>
      </c>
      <c r="V322" s="50"/>
      <c r="W322" s="38">
        <f>Bill!$U322-Bill!$T322</f>
        <v>0</v>
      </c>
      <c r="Y322" s="37">
        <f>'Raw Data'!D324</f>
        <v>45880</v>
      </c>
      <c r="Z322" s="47">
        <v>0.0</v>
      </c>
      <c r="AA322" s="47">
        <v>0.0</v>
      </c>
      <c r="AB322" s="47">
        <v>12.0</v>
      </c>
      <c r="AC322" s="47">
        <v>5.0</v>
      </c>
      <c r="AD322" s="47"/>
      <c r="AE322" s="47"/>
      <c r="AF322" s="47"/>
      <c r="AG322" s="47"/>
    </row>
    <row r="323" ht="15.75" customHeight="1">
      <c r="A323" s="35">
        <f>Bill!$Y323</f>
        <v>45881</v>
      </c>
      <c r="B323" s="43">
        <f>'Raw Data'!E325+Bill!$L$2</f>
        <v>146</v>
      </c>
      <c r="C323" s="43">
        <f>'Raw Data'!E325+Bill!$M$2</f>
        <v>151</v>
      </c>
      <c r="D323" s="43">
        <f>('Raw Data'!$F325*2)-10</f>
        <v>204</v>
      </c>
      <c r="E323" s="43">
        <f>'Raw Data'!F325+Bill!$O$2</f>
        <v>127</v>
      </c>
      <c r="F323" s="43">
        <f>'Raw Data'!F325+Bill!$P$2</f>
        <v>132</v>
      </c>
      <c r="G323" s="43">
        <f>'Raw Data'!E325+Bill!$Q$2</f>
        <v>176</v>
      </c>
      <c r="H323" s="43">
        <f>('Raw Data'!F325+Bill!$R$2)</f>
        <v>127</v>
      </c>
      <c r="I323" s="36">
        <f>'Raw Data'!G325/100</f>
        <v>5.15</v>
      </c>
      <c r="K323" s="37">
        <f>Bill!$Y323</f>
        <v>45881</v>
      </c>
      <c r="L323" s="38">
        <f>Bill!$AA323*('Raw Data'!$E325+$L$2)</f>
        <v>0</v>
      </c>
      <c r="M323" s="38">
        <f>Bill!$AB323*('Raw Data'!$E325+$M$2)</f>
        <v>0</v>
      </c>
      <c r="N323" s="38">
        <f>(('Raw Data'!$F325 * 2)-10)*Bill!$AC323</f>
        <v>408</v>
      </c>
      <c r="O323" s="38">
        <f>('Raw Data'!F325+Bill!$O$2)*Bill!$AD323</f>
        <v>0</v>
      </c>
      <c r="P323" s="38">
        <f>('Raw Data'!F325+Bill!$P$2)*Bill!$AE323</f>
        <v>0</v>
      </c>
      <c r="Q323" s="38">
        <f>Bill!$Z323*('Raw Data'!$E325+$Q$2)</f>
        <v>862.4</v>
      </c>
      <c r="R323" s="38">
        <f>('Raw Data'!F325+Bill!$R$2)*Bill!$AF323</f>
        <v>0</v>
      </c>
      <c r="S323" s="48">
        <f>('Raw Data'!G325/100)*Bill!$AG323</f>
        <v>0</v>
      </c>
      <c r="T323" s="38">
        <f>SUM(Bill!$L323:$R323)</f>
        <v>1270.4</v>
      </c>
      <c r="U323" s="49">
        <v>1253.0</v>
      </c>
      <c r="V323" s="50"/>
      <c r="W323" s="38">
        <f>Bill!$U323-Bill!$T323</f>
        <v>-17.4</v>
      </c>
      <c r="Y323" s="37">
        <f>'Raw Data'!D325</f>
        <v>45881</v>
      </c>
      <c r="Z323" s="47">
        <v>4.9</v>
      </c>
      <c r="AA323" s="47">
        <v>0.0</v>
      </c>
      <c r="AB323" s="47">
        <v>0.0</v>
      </c>
      <c r="AC323" s="47">
        <v>2.0</v>
      </c>
      <c r="AD323" s="47"/>
      <c r="AE323" s="47"/>
      <c r="AF323" s="47"/>
      <c r="AG323" s="47"/>
    </row>
    <row r="324" ht="15.75" customHeight="1">
      <c r="A324" s="35">
        <f>Bill!$Y324</f>
        <v>45882</v>
      </c>
      <c r="B324" s="43">
        <f>'Raw Data'!E326+Bill!$L$2</f>
        <v>146</v>
      </c>
      <c r="C324" s="43">
        <f>'Raw Data'!E326+Bill!$M$2</f>
        <v>151</v>
      </c>
      <c r="D324" s="43">
        <f>('Raw Data'!$F326*2)-10</f>
        <v>208</v>
      </c>
      <c r="E324" s="43">
        <f>'Raw Data'!F326+Bill!$O$2</f>
        <v>129</v>
      </c>
      <c r="F324" s="43">
        <f>'Raw Data'!F326+Bill!$P$2</f>
        <v>134</v>
      </c>
      <c r="G324" s="43">
        <f>'Raw Data'!E326+Bill!$Q$2</f>
        <v>176</v>
      </c>
      <c r="H324" s="43">
        <f>('Raw Data'!F326+Bill!$R$2)</f>
        <v>129</v>
      </c>
      <c r="I324" s="36">
        <f>'Raw Data'!G326/100</f>
        <v>5.2</v>
      </c>
      <c r="K324" s="37">
        <f>Bill!$Y324</f>
        <v>45882</v>
      </c>
      <c r="L324" s="38">
        <f>Bill!$AA324*('Raw Data'!$E326+$L$2)</f>
        <v>0</v>
      </c>
      <c r="M324" s="38">
        <f>Bill!$AB324*('Raw Data'!$E326+$M$2)</f>
        <v>755</v>
      </c>
      <c r="N324" s="38">
        <f>(('Raw Data'!$F326 * 2)-10)*Bill!$AC324</f>
        <v>0</v>
      </c>
      <c r="O324" s="38">
        <f>('Raw Data'!F326+Bill!$O$2)*Bill!$AD324</f>
        <v>0</v>
      </c>
      <c r="P324" s="38">
        <f>('Raw Data'!F326+Bill!$P$2)*Bill!$AE324</f>
        <v>0</v>
      </c>
      <c r="Q324" s="38">
        <f>Bill!$Z324*('Raw Data'!$E326+$Q$2)</f>
        <v>0</v>
      </c>
      <c r="R324" s="38">
        <f>('Raw Data'!F326+Bill!$R$2)*Bill!$AF324</f>
        <v>0</v>
      </c>
      <c r="S324" s="48">
        <f>('Raw Data'!G326/100)*Bill!$AG324</f>
        <v>0</v>
      </c>
      <c r="T324" s="38">
        <f>SUM(Bill!$L324:$R324)</f>
        <v>755</v>
      </c>
      <c r="U324" s="49">
        <v>755.0</v>
      </c>
      <c r="V324" s="50"/>
      <c r="W324" s="38">
        <f>Bill!$U324-Bill!$T324</f>
        <v>0</v>
      </c>
      <c r="Y324" s="37">
        <f>'Raw Data'!D326</f>
        <v>45882</v>
      </c>
      <c r="Z324" s="47">
        <v>0.0</v>
      </c>
      <c r="AA324" s="47">
        <v>0.0</v>
      </c>
      <c r="AB324" s="47">
        <v>5.0</v>
      </c>
      <c r="AC324" s="47"/>
      <c r="AD324" s="47">
        <v>0.0</v>
      </c>
      <c r="AE324" s="47"/>
      <c r="AF324" s="47"/>
      <c r="AG324" s="47"/>
    </row>
    <row r="325" ht="15.75" customHeight="1">
      <c r="A325" s="35">
        <f>Bill!$Y325</f>
        <v>45883</v>
      </c>
      <c r="B325" s="43">
        <f>'Raw Data'!E327+Bill!$L$2</f>
        <v>146</v>
      </c>
      <c r="C325" s="43">
        <f>'Raw Data'!E327+Bill!$M$2</f>
        <v>151</v>
      </c>
      <c r="D325" s="43">
        <f>('Raw Data'!$F327*2)-10</f>
        <v>214</v>
      </c>
      <c r="E325" s="43">
        <f>'Raw Data'!F327+Bill!$O$2</f>
        <v>132</v>
      </c>
      <c r="F325" s="43">
        <f>'Raw Data'!F327+Bill!$P$2</f>
        <v>137</v>
      </c>
      <c r="G325" s="43">
        <f>'Raw Data'!E327+Bill!$Q$2</f>
        <v>176</v>
      </c>
      <c r="H325" s="43">
        <f>('Raw Data'!F327+Bill!$R$2)</f>
        <v>132</v>
      </c>
      <c r="I325" s="36">
        <f>'Raw Data'!G327/100</f>
        <v>5.2</v>
      </c>
      <c r="K325" s="37">
        <f>Bill!$Y325</f>
        <v>45883</v>
      </c>
      <c r="L325" s="38">
        <f>Bill!$AA325*('Raw Data'!$E327+$L$2)</f>
        <v>0</v>
      </c>
      <c r="M325" s="38">
        <f>Bill!$AB325*('Raw Data'!$E327+$M$2)</f>
        <v>1510</v>
      </c>
      <c r="N325" s="38">
        <f>(('Raw Data'!$F327 * 2)-10)*Bill!$AC325</f>
        <v>428</v>
      </c>
      <c r="O325" s="38">
        <f>('Raw Data'!F327+Bill!$O$2)*Bill!$AD325</f>
        <v>0</v>
      </c>
      <c r="P325" s="38">
        <f>('Raw Data'!F327+Bill!$P$2)*Bill!$AE325</f>
        <v>274</v>
      </c>
      <c r="Q325" s="38">
        <f>Bill!$Z325*('Raw Data'!$E327+$Q$2)</f>
        <v>823.68</v>
      </c>
      <c r="R325" s="38">
        <f>('Raw Data'!F327+Bill!$R$2)*Bill!$AF325</f>
        <v>0</v>
      </c>
      <c r="S325" s="48">
        <f>('Raw Data'!G327/100)*Bill!$AG325</f>
        <v>0</v>
      </c>
      <c r="T325" s="38">
        <f>SUM(Bill!$L325:$R325)</f>
        <v>3035.68</v>
      </c>
      <c r="U325" s="49">
        <v>3035.0</v>
      </c>
      <c r="V325" s="50"/>
      <c r="W325" s="38">
        <f>Bill!$U325-Bill!$T325</f>
        <v>-0.68</v>
      </c>
      <c r="Y325" s="37">
        <f>'Raw Data'!D327</f>
        <v>45883</v>
      </c>
      <c r="Z325" s="47">
        <v>4.68</v>
      </c>
      <c r="AA325" s="47"/>
      <c r="AB325" s="47">
        <v>10.0</v>
      </c>
      <c r="AC325" s="47">
        <v>2.0</v>
      </c>
      <c r="AD325" s="47"/>
      <c r="AE325" s="47">
        <v>2.0</v>
      </c>
      <c r="AF325" s="47"/>
      <c r="AG325" s="47"/>
    </row>
    <row r="326" ht="15.75" customHeight="1">
      <c r="A326" s="35">
        <f>Bill!$Y326</f>
        <v>45884</v>
      </c>
      <c r="B326" s="43">
        <f>'Raw Data'!E328+Bill!$L$2</f>
        <v>146</v>
      </c>
      <c r="C326" s="43">
        <f>'Raw Data'!E328+Bill!$M$2</f>
        <v>151</v>
      </c>
      <c r="D326" s="43">
        <f>('Raw Data'!$F328*2)-10</f>
        <v>214</v>
      </c>
      <c r="E326" s="43">
        <f>'Raw Data'!F328+Bill!$O$2</f>
        <v>132</v>
      </c>
      <c r="F326" s="43">
        <f>'Raw Data'!F328+Bill!$P$2</f>
        <v>137</v>
      </c>
      <c r="G326" s="43">
        <f>'Raw Data'!E328+Bill!$Q$2</f>
        <v>176</v>
      </c>
      <c r="H326" s="43">
        <f>('Raw Data'!F328+Bill!$R$2)</f>
        <v>132</v>
      </c>
      <c r="I326" s="36">
        <f>'Raw Data'!G328/100</f>
        <v>5.2</v>
      </c>
      <c r="K326" s="37">
        <f>Bill!$Y326</f>
        <v>45884</v>
      </c>
      <c r="L326" s="38">
        <f>Bill!$AA326*('Raw Data'!$E328+$L$2)</f>
        <v>0</v>
      </c>
      <c r="M326" s="38">
        <f>Bill!$AB326*('Raw Data'!$E328+$M$2)</f>
        <v>755</v>
      </c>
      <c r="N326" s="38">
        <f>(('Raw Data'!$F328 * 2)-10)*Bill!$AC326</f>
        <v>1070</v>
      </c>
      <c r="O326" s="38">
        <f>('Raw Data'!F328+Bill!$O$2)*Bill!$AD326</f>
        <v>0</v>
      </c>
      <c r="P326" s="38">
        <f>('Raw Data'!F328+Bill!$P$2)*Bill!$AE326</f>
        <v>0</v>
      </c>
      <c r="Q326" s="38">
        <f>Bill!$Z326*('Raw Data'!$E328+$Q$2)</f>
        <v>1742.4</v>
      </c>
      <c r="R326" s="38">
        <f>('Raw Data'!F328+Bill!$R$2)*Bill!$AF326</f>
        <v>0</v>
      </c>
      <c r="S326" s="48">
        <f>('Raw Data'!G328/100)*Bill!$AG326</f>
        <v>0</v>
      </c>
      <c r="T326" s="38">
        <f>SUM(Bill!$L326:$R326)</f>
        <v>3567.4</v>
      </c>
      <c r="U326" s="49">
        <v>3567.0</v>
      </c>
      <c r="V326" s="50"/>
      <c r="W326" s="38">
        <f>Bill!$U326-Bill!$T326</f>
        <v>-0.4</v>
      </c>
      <c r="Y326" s="37">
        <f>'Raw Data'!D328</f>
        <v>45884</v>
      </c>
      <c r="Z326" s="47">
        <v>9.9</v>
      </c>
      <c r="AA326" s="47"/>
      <c r="AB326" s="47">
        <v>5.0</v>
      </c>
      <c r="AC326" s="47">
        <v>5.0</v>
      </c>
      <c r="AD326" s="47">
        <v>0.0</v>
      </c>
      <c r="AE326" s="47"/>
      <c r="AF326" s="47"/>
      <c r="AG326" s="47"/>
    </row>
    <row r="327" ht="15.75" customHeight="1">
      <c r="A327" s="35">
        <f>Bill!$Y327</f>
        <v>45885</v>
      </c>
      <c r="B327" s="43">
        <f>'Raw Data'!E329+Bill!$L$2</f>
        <v>146</v>
      </c>
      <c r="C327" s="43">
        <f>'Raw Data'!E329+Bill!$M$2</f>
        <v>151</v>
      </c>
      <c r="D327" s="43">
        <f>('Raw Data'!$F329*2)-10</f>
        <v>218</v>
      </c>
      <c r="E327" s="43">
        <f>'Raw Data'!F329+Bill!$O$2</f>
        <v>134</v>
      </c>
      <c r="F327" s="43">
        <f>'Raw Data'!F329+Bill!$P$2</f>
        <v>139</v>
      </c>
      <c r="G327" s="43">
        <f>'Raw Data'!E329+Bill!$Q$2</f>
        <v>176</v>
      </c>
      <c r="H327" s="43">
        <f>('Raw Data'!F329+Bill!$R$2)</f>
        <v>134</v>
      </c>
      <c r="I327" s="36">
        <f>'Raw Data'!G329/100</f>
        <v>5.2</v>
      </c>
      <c r="K327" s="37">
        <f>Bill!$Y327</f>
        <v>45885</v>
      </c>
      <c r="L327" s="38">
        <f>Bill!$AA327*('Raw Data'!$E329+$L$2)</f>
        <v>0</v>
      </c>
      <c r="M327" s="38">
        <f>Bill!$AB327*('Raw Data'!$E329+$M$2)</f>
        <v>1057</v>
      </c>
      <c r="N327" s="38">
        <f>(('Raw Data'!$F329 * 2)-10)*Bill!$AC327</f>
        <v>436</v>
      </c>
      <c r="O327" s="38">
        <f>('Raw Data'!F329+Bill!$O$2)*Bill!$AD327</f>
        <v>0</v>
      </c>
      <c r="P327" s="38">
        <f>('Raw Data'!F329+Bill!$P$2)*Bill!$AE327</f>
        <v>0</v>
      </c>
      <c r="Q327" s="38">
        <f>Bill!$Z327*('Raw Data'!$E329+$Q$2)</f>
        <v>1460.8</v>
      </c>
      <c r="R327" s="38">
        <f>('Raw Data'!F329+Bill!$R$2)*Bill!$AF327</f>
        <v>0</v>
      </c>
      <c r="S327" s="48">
        <f>('Raw Data'!G329/100)*Bill!$AG327</f>
        <v>0</v>
      </c>
      <c r="T327" s="38">
        <f>SUM(Bill!$L327:$R327)</f>
        <v>2953.8</v>
      </c>
      <c r="U327" s="49">
        <v>2953.0</v>
      </c>
      <c r="V327" s="50"/>
      <c r="W327" s="38">
        <f>Bill!$U327-Bill!$T327</f>
        <v>-0.8</v>
      </c>
      <c r="Y327" s="37">
        <f>'Raw Data'!D329</f>
        <v>45885</v>
      </c>
      <c r="Z327" s="47">
        <v>8.3</v>
      </c>
      <c r="AA327" s="47"/>
      <c r="AB327" s="47">
        <v>7.0</v>
      </c>
      <c r="AC327" s="47">
        <v>2.0</v>
      </c>
      <c r="AD327" s="47"/>
      <c r="AE327" s="47"/>
      <c r="AF327" s="47"/>
      <c r="AG327" s="47"/>
    </row>
    <row r="328" ht="15.75" customHeight="1">
      <c r="A328" s="35">
        <f>Bill!$Y328</f>
        <v>45886</v>
      </c>
      <c r="B328" s="43">
        <f>'Raw Data'!E330+Bill!$L$2</f>
        <v>146</v>
      </c>
      <c r="C328" s="43">
        <f>'Raw Data'!E330+Bill!$M$2</f>
        <v>151</v>
      </c>
      <c r="D328" s="43">
        <f>('Raw Data'!$F330*2)-10</f>
        <v>218</v>
      </c>
      <c r="E328" s="43">
        <f>'Raw Data'!F330+Bill!$O$2</f>
        <v>134</v>
      </c>
      <c r="F328" s="43">
        <f>'Raw Data'!F330+Bill!$P$2</f>
        <v>139</v>
      </c>
      <c r="G328" s="43">
        <f>'Raw Data'!E330+Bill!$Q$2</f>
        <v>176</v>
      </c>
      <c r="H328" s="43">
        <f>('Raw Data'!F330+Bill!$R$2)</f>
        <v>134</v>
      </c>
      <c r="I328" s="36">
        <f>'Raw Data'!G330/100</f>
        <v>5.2</v>
      </c>
      <c r="K328" s="37">
        <f>Bill!$Y328</f>
        <v>45886</v>
      </c>
      <c r="L328" s="38">
        <f>Bill!$AA328*('Raw Data'!$E330+$L$2)</f>
        <v>0</v>
      </c>
      <c r="M328" s="38">
        <f>Bill!$AB328*('Raw Data'!$E330+$M$2)</f>
        <v>815.4</v>
      </c>
      <c r="N328" s="38">
        <f>(('Raw Data'!$F330 * 2)-10)*Bill!$AC328</f>
        <v>1090</v>
      </c>
      <c r="O328" s="38">
        <f>('Raw Data'!F330+Bill!$O$2)*Bill!$AD328</f>
        <v>415.4</v>
      </c>
      <c r="P328" s="38">
        <f>('Raw Data'!F330+Bill!$P$2)*Bill!$AE328</f>
        <v>0</v>
      </c>
      <c r="Q328" s="38">
        <f>Bill!$Z328*('Raw Data'!$E330+$Q$2)</f>
        <v>0</v>
      </c>
      <c r="R328" s="38">
        <f>('Raw Data'!F330+Bill!$R$2)*Bill!$AF328</f>
        <v>0</v>
      </c>
      <c r="S328" s="48">
        <f>('Raw Data'!G330/100)*Bill!$AG328</f>
        <v>0</v>
      </c>
      <c r="T328" s="38">
        <f>SUM(Bill!$L328:$R328)</f>
        <v>2320.8</v>
      </c>
      <c r="U328" s="49">
        <v>2351.0</v>
      </c>
      <c r="V328" s="50"/>
      <c r="W328" s="38">
        <f>Bill!$U328-Bill!$T328</f>
        <v>30.2</v>
      </c>
      <c r="Y328" s="37">
        <f>'Raw Data'!D330</f>
        <v>45886</v>
      </c>
      <c r="Z328" s="47">
        <v>0.0</v>
      </c>
      <c r="AA328" s="47"/>
      <c r="AB328" s="47">
        <v>5.4</v>
      </c>
      <c r="AC328" s="47">
        <v>5.0</v>
      </c>
      <c r="AD328" s="47">
        <v>3.1</v>
      </c>
      <c r="AE328" s="47"/>
      <c r="AF328" s="47"/>
      <c r="AG328" s="47"/>
    </row>
    <row r="329" ht="15.75" customHeight="1">
      <c r="A329" s="35">
        <f>Bill!$Y329</f>
        <v>45887</v>
      </c>
      <c r="B329" s="43">
        <f>'Raw Data'!E331+Bill!$L$2</f>
        <v>146</v>
      </c>
      <c r="C329" s="43">
        <f>'Raw Data'!E331+Bill!$M$2</f>
        <v>151</v>
      </c>
      <c r="D329" s="43">
        <f>('Raw Data'!$F331*2)-10</f>
        <v>218</v>
      </c>
      <c r="E329" s="43">
        <f>'Raw Data'!F331+Bill!$O$2</f>
        <v>134</v>
      </c>
      <c r="F329" s="43">
        <f>'Raw Data'!F331+Bill!$P$2</f>
        <v>139</v>
      </c>
      <c r="G329" s="43">
        <f>'Raw Data'!E331+Bill!$Q$2</f>
        <v>176</v>
      </c>
      <c r="H329" s="43">
        <f>('Raw Data'!F331+Bill!$R$2)</f>
        <v>134</v>
      </c>
      <c r="I329" s="36">
        <f>'Raw Data'!G331/100</f>
        <v>5.25</v>
      </c>
      <c r="K329" s="37">
        <f>Bill!$Y329</f>
        <v>45887</v>
      </c>
      <c r="L329" s="38">
        <f>Bill!$AA329*('Raw Data'!$E331+$L$2)</f>
        <v>0</v>
      </c>
      <c r="M329" s="38">
        <f>Bill!$AB329*('Raw Data'!$E331+$M$2)</f>
        <v>755</v>
      </c>
      <c r="N329" s="38">
        <f>(('Raw Data'!$F331 * 2)-10)*Bill!$AC329</f>
        <v>436</v>
      </c>
      <c r="O329" s="38">
        <f>('Raw Data'!F331+Bill!$O$2)*Bill!$AD329</f>
        <v>0</v>
      </c>
      <c r="P329" s="38">
        <f>('Raw Data'!F331+Bill!$P$2)*Bill!$AE329</f>
        <v>0</v>
      </c>
      <c r="Q329" s="38">
        <f>Bill!$Z329*('Raw Data'!$E331+$Q$2)</f>
        <v>0</v>
      </c>
      <c r="R329" s="38">
        <f>('Raw Data'!F331+Bill!$R$2)*Bill!$AF329</f>
        <v>355.1</v>
      </c>
      <c r="S329" s="48">
        <f>('Raw Data'!G331/100)*Bill!$AG329</f>
        <v>0</v>
      </c>
      <c r="T329" s="38">
        <f>SUM(Bill!$L329:$R329)</f>
        <v>1546.1</v>
      </c>
      <c r="U329" s="49">
        <v>1539.0</v>
      </c>
      <c r="V329" s="50"/>
      <c r="W329" s="38">
        <f>Bill!$U329-Bill!$T329</f>
        <v>-7.1</v>
      </c>
      <c r="Y329" s="37">
        <f>'Raw Data'!D331</f>
        <v>45887</v>
      </c>
      <c r="Z329" s="47">
        <v>0.0</v>
      </c>
      <c r="AA329" s="47">
        <v>0.0</v>
      </c>
      <c r="AB329" s="47">
        <v>5.0</v>
      </c>
      <c r="AC329" s="47">
        <v>2.0</v>
      </c>
      <c r="AD329" s="47"/>
      <c r="AE329" s="47"/>
      <c r="AF329" s="47">
        <v>2.65</v>
      </c>
      <c r="AG329" s="47"/>
    </row>
    <row r="330" ht="15.75" customHeight="1">
      <c r="A330" s="35">
        <f>Bill!$Y330</f>
        <v>45888</v>
      </c>
      <c r="B330" s="43">
        <f>'Raw Data'!E332+Bill!$L$2</f>
        <v>146</v>
      </c>
      <c r="C330" s="43">
        <f>'Raw Data'!E332+Bill!$M$2</f>
        <v>151</v>
      </c>
      <c r="D330" s="43">
        <f>('Raw Data'!$F332*2)-10</f>
        <v>218</v>
      </c>
      <c r="E330" s="43">
        <f>'Raw Data'!F332+Bill!$O$2</f>
        <v>134</v>
      </c>
      <c r="F330" s="43">
        <f>'Raw Data'!F332+Bill!$P$2</f>
        <v>139</v>
      </c>
      <c r="G330" s="43">
        <f>'Raw Data'!E332+Bill!$Q$2</f>
        <v>176</v>
      </c>
      <c r="H330" s="43">
        <f>('Raw Data'!F332+Bill!$R$2)</f>
        <v>134</v>
      </c>
      <c r="I330" s="36">
        <f>'Raw Data'!G332/100</f>
        <v>5.35</v>
      </c>
      <c r="K330" s="37">
        <f>Bill!$Y330</f>
        <v>45888</v>
      </c>
      <c r="L330" s="38">
        <f>Bill!$AA330*('Raw Data'!$E332+$L$2)</f>
        <v>0</v>
      </c>
      <c r="M330" s="38">
        <f>Bill!$AB330*('Raw Data'!$E332+$M$2)</f>
        <v>755</v>
      </c>
      <c r="N330" s="38">
        <f>(('Raw Data'!$F332 * 2)-10)*Bill!$AC330</f>
        <v>436</v>
      </c>
      <c r="O330" s="38">
        <f>('Raw Data'!F332+Bill!$O$2)*Bill!$AD330</f>
        <v>0</v>
      </c>
      <c r="P330" s="38">
        <f>('Raw Data'!F332+Bill!$P$2)*Bill!$AE330</f>
        <v>278</v>
      </c>
      <c r="Q330" s="38">
        <f>Bill!$Z330*('Raw Data'!$E332+$Q$2)</f>
        <v>1284.8</v>
      </c>
      <c r="R330" s="38">
        <f>('Raw Data'!F332+Bill!$R$2)*Bill!$AF330</f>
        <v>0</v>
      </c>
      <c r="S330" s="48">
        <f>('Raw Data'!G332/100)*Bill!$AG330</f>
        <v>0</v>
      </c>
      <c r="T330" s="38">
        <f>SUM(Bill!$L330:$R330)</f>
        <v>2753.8</v>
      </c>
      <c r="U330" s="49">
        <v>2764.0</v>
      </c>
      <c r="V330" s="50"/>
      <c r="W330" s="38">
        <f>Bill!$U330-Bill!$T330</f>
        <v>10.2</v>
      </c>
      <c r="Y330" s="37">
        <f>'Raw Data'!D332</f>
        <v>45888</v>
      </c>
      <c r="Z330" s="47">
        <v>7.3</v>
      </c>
      <c r="AA330" s="47">
        <v>0.0</v>
      </c>
      <c r="AB330" s="47">
        <v>5.0</v>
      </c>
      <c r="AC330" s="47">
        <v>2.0</v>
      </c>
      <c r="AD330" s="47"/>
      <c r="AE330" s="47">
        <v>2.0</v>
      </c>
      <c r="AF330" s="47"/>
      <c r="AG330" s="47"/>
    </row>
    <row r="331" ht="15.75" customHeight="1">
      <c r="A331" s="35">
        <f>Bill!$Y331</f>
        <v>45889</v>
      </c>
      <c r="B331" s="43">
        <f>'Raw Data'!E333+Bill!$L$2</f>
        <v>146</v>
      </c>
      <c r="C331" s="43">
        <f>'Raw Data'!E333+Bill!$M$2</f>
        <v>151</v>
      </c>
      <c r="D331" s="43">
        <f>('Raw Data'!$F333*2)-10</f>
        <v>208</v>
      </c>
      <c r="E331" s="43">
        <f>'Raw Data'!F333+Bill!$O$2</f>
        <v>129</v>
      </c>
      <c r="F331" s="43">
        <f>'Raw Data'!F333+Bill!$P$2</f>
        <v>134</v>
      </c>
      <c r="G331" s="43">
        <f>'Raw Data'!E333+Bill!$Q$2</f>
        <v>176</v>
      </c>
      <c r="H331" s="43">
        <f>('Raw Data'!F333+Bill!$R$2)</f>
        <v>129</v>
      </c>
      <c r="I331" s="36">
        <f>'Raw Data'!G333/100</f>
        <v>5.35</v>
      </c>
      <c r="K331" s="37">
        <f>Bill!$Y331</f>
        <v>45889</v>
      </c>
      <c r="L331" s="38">
        <f>Bill!$AA331*('Raw Data'!$E333+$L$2)</f>
        <v>0</v>
      </c>
      <c r="M331" s="38">
        <f>Bill!$AB331*('Raw Data'!$E333+$M$2)</f>
        <v>0</v>
      </c>
      <c r="N331" s="38">
        <f>(('Raw Data'!$F333 * 2)-10)*Bill!$AC331</f>
        <v>0</v>
      </c>
      <c r="O331" s="38">
        <f>('Raw Data'!F333+Bill!$O$2)*Bill!$AD331</f>
        <v>0</v>
      </c>
      <c r="P331" s="38">
        <f>('Raw Data'!F333+Bill!$P$2)*Bill!$AE331</f>
        <v>0</v>
      </c>
      <c r="Q331" s="38">
        <f>Bill!$Z331*('Raw Data'!$E333+$Q$2)</f>
        <v>0</v>
      </c>
      <c r="R331" s="38">
        <f>('Raw Data'!F333+Bill!$R$2)*Bill!$AF331</f>
        <v>0</v>
      </c>
      <c r="S331" s="48">
        <f>('Raw Data'!G333/100)*Bill!$AG331</f>
        <v>0</v>
      </c>
      <c r="T331" s="38">
        <f>SUM(Bill!$L331:$R331)</f>
        <v>0</v>
      </c>
      <c r="U331" s="49">
        <v>0.0</v>
      </c>
      <c r="V331" s="50"/>
      <c r="W331" s="38">
        <f>Bill!$U331-Bill!$T331</f>
        <v>0</v>
      </c>
      <c r="Y331" s="37">
        <f>'Raw Data'!D333</f>
        <v>45889</v>
      </c>
      <c r="Z331" s="47">
        <v>0.0</v>
      </c>
      <c r="AA331" s="47"/>
      <c r="AB331" s="47"/>
      <c r="AC331" s="47"/>
      <c r="AD331" s="47"/>
      <c r="AE331" s="47"/>
      <c r="AF331" s="47"/>
      <c r="AG331" s="47"/>
    </row>
    <row r="332" ht="15.75" customHeight="1">
      <c r="A332" s="35">
        <f>Bill!$Y332</f>
        <v>45890</v>
      </c>
      <c r="B332" s="43">
        <f>'Raw Data'!E334+Bill!$L$2</f>
        <v>144</v>
      </c>
      <c r="C332" s="43">
        <f>'Raw Data'!E334+Bill!$M$2</f>
        <v>149</v>
      </c>
      <c r="D332" s="43">
        <f>('Raw Data'!$F334*2)-10</f>
        <v>192</v>
      </c>
      <c r="E332" s="43">
        <f>'Raw Data'!F334+Bill!$O$2</f>
        <v>121</v>
      </c>
      <c r="F332" s="43">
        <f>'Raw Data'!F334+Bill!$P$2</f>
        <v>126</v>
      </c>
      <c r="G332" s="43">
        <f>'Raw Data'!E334+Bill!$Q$2</f>
        <v>174</v>
      </c>
      <c r="H332" s="43">
        <f>('Raw Data'!F334+Bill!$R$2)</f>
        <v>121</v>
      </c>
      <c r="I332" s="36">
        <f>'Raw Data'!G334/100</f>
        <v>5.35</v>
      </c>
      <c r="K332" s="37">
        <f>Bill!$Y332</f>
        <v>45890</v>
      </c>
      <c r="L332" s="38">
        <f>Bill!$AA332*('Raw Data'!$E334+$L$2)</f>
        <v>0</v>
      </c>
      <c r="M332" s="38">
        <f>Bill!$AB332*('Raw Data'!$E334+$M$2)</f>
        <v>1490</v>
      </c>
      <c r="N332" s="38">
        <f>(('Raw Data'!$F334 * 2)-10)*Bill!$AC332</f>
        <v>960</v>
      </c>
      <c r="O332" s="38">
        <f>('Raw Data'!F334+Bill!$O$2)*Bill!$AD332</f>
        <v>0</v>
      </c>
      <c r="P332" s="38">
        <f>('Raw Data'!F334+Bill!$P$2)*Bill!$AE332</f>
        <v>0</v>
      </c>
      <c r="Q332" s="38">
        <f>Bill!$Z332*('Raw Data'!$E334+$Q$2)</f>
        <v>783</v>
      </c>
      <c r="R332" s="38">
        <f>('Raw Data'!F334+Bill!$R$2)*Bill!$AF332</f>
        <v>0</v>
      </c>
      <c r="S332" s="48">
        <f>('Raw Data'!G334/100)*Bill!$AG332</f>
        <v>0</v>
      </c>
      <c r="T332" s="38">
        <f>SUM(Bill!$L332:$R332)</f>
        <v>3233</v>
      </c>
      <c r="U332" s="49">
        <v>3233.0</v>
      </c>
      <c r="V332" s="50"/>
      <c r="W332" s="38">
        <f>Bill!$U332-Bill!$T332</f>
        <v>0</v>
      </c>
      <c r="Y332" s="37">
        <f>'Raw Data'!D334</f>
        <v>45890</v>
      </c>
      <c r="Z332" s="47">
        <v>4.5</v>
      </c>
      <c r="AA332" s="47"/>
      <c r="AB332" s="47">
        <v>10.0</v>
      </c>
      <c r="AC332" s="47">
        <v>5.0</v>
      </c>
      <c r="AD332" s="47"/>
      <c r="AE332" s="47"/>
      <c r="AF332" s="47"/>
      <c r="AG332" s="47"/>
    </row>
    <row r="333" ht="15.75" customHeight="1">
      <c r="A333" s="35">
        <f>Bill!$Y333</f>
        <v>45891</v>
      </c>
      <c r="B333" s="43">
        <f>'Raw Data'!E335+Bill!$L$2</f>
        <v>144</v>
      </c>
      <c r="C333" s="43">
        <f>'Raw Data'!E335+Bill!$M$2</f>
        <v>149</v>
      </c>
      <c r="D333" s="43">
        <f>('Raw Data'!$F335*2)-10</f>
        <v>192</v>
      </c>
      <c r="E333" s="43">
        <f>'Raw Data'!F335+Bill!$O$2</f>
        <v>121</v>
      </c>
      <c r="F333" s="43">
        <f>'Raw Data'!F335+Bill!$P$2</f>
        <v>126</v>
      </c>
      <c r="G333" s="43">
        <f>'Raw Data'!E335+Bill!$Q$2</f>
        <v>174</v>
      </c>
      <c r="H333" s="43">
        <f>('Raw Data'!F335+Bill!$R$2)</f>
        <v>121</v>
      </c>
      <c r="I333" s="36">
        <f>'Raw Data'!G335/100</f>
        <v>5.4</v>
      </c>
      <c r="K333" s="37">
        <f>Bill!$Y333</f>
        <v>45891</v>
      </c>
      <c r="L333" s="38">
        <f>Bill!$AA333*('Raw Data'!$E335+$L$2)</f>
        <v>0</v>
      </c>
      <c r="M333" s="38">
        <f>Bill!$AB333*('Raw Data'!$E335+$M$2)</f>
        <v>797.15</v>
      </c>
      <c r="N333" s="38">
        <f>(('Raw Data'!$F335 * 2)-10)*Bill!$AC333</f>
        <v>384</v>
      </c>
      <c r="O333" s="38">
        <f>('Raw Data'!F335+Bill!$O$2)*Bill!$AD333</f>
        <v>0</v>
      </c>
      <c r="P333" s="38">
        <f>('Raw Data'!F335+Bill!$P$2)*Bill!$AE333</f>
        <v>0</v>
      </c>
      <c r="Q333" s="38">
        <f>Bill!$Z333*('Raw Data'!$E335+$Q$2)</f>
        <v>0</v>
      </c>
      <c r="R333" s="38">
        <f>('Raw Data'!F335+Bill!$R$2)*Bill!$AF333</f>
        <v>0</v>
      </c>
      <c r="S333" s="48">
        <f>('Raw Data'!G335/100)*Bill!$AG333</f>
        <v>0</v>
      </c>
      <c r="T333" s="38">
        <f>SUM(Bill!$L333:$R333)</f>
        <v>1181.15</v>
      </c>
      <c r="U333" s="49">
        <v>1181.0</v>
      </c>
      <c r="V333" s="50"/>
      <c r="W333" s="38">
        <f>Bill!$U333-Bill!$T333</f>
        <v>-0.15</v>
      </c>
      <c r="Y333" s="37">
        <f>'Raw Data'!D335</f>
        <v>45891</v>
      </c>
      <c r="Z333" s="47"/>
      <c r="AA333" s="47"/>
      <c r="AB333" s="47">
        <v>5.35</v>
      </c>
      <c r="AC333" s="47">
        <v>2.0</v>
      </c>
      <c r="AD333" s="47"/>
      <c r="AE333" s="47"/>
      <c r="AF333" s="47"/>
      <c r="AG333" s="47"/>
    </row>
    <row r="334" ht="15.75" customHeight="1">
      <c r="A334" s="35">
        <f>Bill!$Y334</f>
        <v>45892</v>
      </c>
      <c r="B334" s="43">
        <f>'Raw Data'!E336+Bill!$L$2</f>
        <v>144</v>
      </c>
      <c r="C334" s="43">
        <f>'Raw Data'!E336+Bill!$M$2</f>
        <v>149</v>
      </c>
      <c r="D334" s="43">
        <f>('Raw Data'!$F336*2)-10</f>
        <v>204</v>
      </c>
      <c r="E334" s="43">
        <f>'Raw Data'!F336+Bill!$O$2</f>
        <v>127</v>
      </c>
      <c r="F334" s="43">
        <f>'Raw Data'!F336+Bill!$P$2</f>
        <v>132</v>
      </c>
      <c r="G334" s="43">
        <f>'Raw Data'!E336+Bill!$Q$2</f>
        <v>174</v>
      </c>
      <c r="H334" s="43">
        <f>('Raw Data'!F336+Bill!$R$2)</f>
        <v>127</v>
      </c>
      <c r="I334" s="36">
        <f>'Raw Data'!G336/100</f>
        <v>5.4</v>
      </c>
      <c r="K334" s="37">
        <f>Bill!$Y334</f>
        <v>45892</v>
      </c>
      <c r="L334" s="38">
        <f>Bill!$AA334*('Raw Data'!$E336+$L$2)</f>
        <v>0</v>
      </c>
      <c r="M334" s="38">
        <f>Bill!$AB334*('Raw Data'!$E336+$M$2)</f>
        <v>2235</v>
      </c>
      <c r="N334" s="38">
        <f>(('Raw Data'!$F336 * 2)-10)*Bill!$AC334</f>
        <v>1224</v>
      </c>
      <c r="O334" s="38">
        <f>('Raw Data'!F336+Bill!$O$2)*Bill!$AD334</f>
        <v>0</v>
      </c>
      <c r="P334" s="38">
        <f>('Raw Data'!F336+Bill!$P$2)*Bill!$AE334</f>
        <v>264</v>
      </c>
      <c r="Q334" s="38">
        <f>Bill!$Z334*('Raw Data'!$E336+$Q$2)</f>
        <v>2331.6</v>
      </c>
      <c r="R334" s="38">
        <f>('Raw Data'!F336+Bill!$R$2)*Bill!$AF334</f>
        <v>0</v>
      </c>
      <c r="S334" s="48">
        <f>('Raw Data'!G336/100)*Bill!$AG334</f>
        <v>0</v>
      </c>
      <c r="T334" s="38">
        <f>SUM(Bill!$L334:$R334)</f>
        <v>6054.6</v>
      </c>
      <c r="U334" s="49">
        <v>6080.0</v>
      </c>
      <c r="V334" s="50"/>
      <c r="W334" s="38">
        <f>Bill!$U334-Bill!$T334</f>
        <v>25.4</v>
      </c>
      <c r="Y334" s="37">
        <f>'Raw Data'!D336</f>
        <v>45892</v>
      </c>
      <c r="Z334" s="47">
        <v>13.4</v>
      </c>
      <c r="AA334" s="47"/>
      <c r="AB334" s="47">
        <v>15.0</v>
      </c>
      <c r="AC334" s="47">
        <v>6.0</v>
      </c>
      <c r="AD334" s="47"/>
      <c r="AE334" s="47">
        <v>2.0</v>
      </c>
      <c r="AF334" s="47"/>
      <c r="AG334" s="47"/>
    </row>
    <row r="335" ht="15.75" customHeight="1">
      <c r="A335" s="35">
        <f>Bill!$Y335</f>
        <v>45893</v>
      </c>
      <c r="B335" s="43">
        <f>'Raw Data'!E337+Bill!$L$2</f>
        <v>144</v>
      </c>
      <c r="C335" s="43">
        <f>'Raw Data'!E337+Bill!$M$2</f>
        <v>149</v>
      </c>
      <c r="D335" s="43">
        <f>('Raw Data'!$F337*2)-10</f>
        <v>212</v>
      </c>
      <c r="E335" s="43">
        <f>'Raw Data'!F337+Bill!$O$2</f>
        <v>131</v>
      </c>
      <c r="F335" s="43">
        <f>'Raw Data'!F337+Bill!$P$2</f>
        <v>136</v>
      </c>
      <c r="G335" s="43">
        <f>'Raw Data'!E337+Bill!$Q$2</f>
        <v>174</v>
      </c>
      <c r="H335" s="43">
        <f>('Raw Data'!F337+Bill!$R$2)</f>
        <v>131</v>
      </c>
      <c r="I335" s="36">
        <f>'Raw Data'!G337/100</f>
        <v>5.4</v>
      </c>
      <c r="K335" s="37">
        <f>Bill!$Y335</f>
        <v>45893</v>
      </c>
      <c r="L335" s="38">
        <f>Bill!$AA335*('Raw Data'!$E337+$L$2)</f>
        <v>0</v>
      </c>
      <c r="M335" s="38">
        <f>Bill!$AB335*('Raw Data'!$E337+$M$2)</f>
        <v>789.7</v>
      </c>
      <c r="N335" s="38">
        <f>(('Raw Data'!$F337 * 2)-10)*Bill!$AC335</f>
        <v>636</v>
      </c>
      <c r="O335" s="38">
        <f>('Raw Data'!F337+Bill!$O$2)*Bill!$AD335</f>
        <v>0</v>
      </c>
      <c r="P335" s="38">
        <f>('Raw Data'!F337+Bill!$P$2)*Bill!$AE335</f>
        <v>272</v>
      </c>
      <c r="Q335" s="38">
        <f>Bill!$Z335*('Raw Data'!$E337+$Q$2)</f>
        <v>1583.4</v>
      </c>
      <c r="R335" s="38">
        <f>('Raw Data'!F337+Bill!$R$2)*Bill!$AF335</f>
        <v>510.9</v>
      </c>
      <c r="S335" s="48">
        <f>('Raw Data'!G337/100)*Bill!$AG335</f>
        <v>0</v>
      </c>
      <c r="T335" s="38">
        <f>SUM(Bill!$L335:$R335)</f>
        <v>3792</v>
      </c>
      <c r="U335" s="49">
        <v>3802.0</v>
      </c>
      <c r="V335" s="50"/>
      <c r="W335" s="38">
        <f>Bill!$U335-Bill!$T335</f>
        <v>10</v>
      </c>
      <c r="Y335" s="37">
        <f>'Raw Data'!D337</f>
        <v>45893</v>
      </c>
      <c r="Z335" s="47">
        <v>9.1</v>
      </c>
      <c r="AA335" s="47"/>
      <c r="AB335" s="47">
        <v>5.3</v>
      </c>
      <c r="AC335" s="47">
        <v>3.0</v>
      </c>
      <c r="AD335" s="47"/>
      <c r="AE335" s="47">
        <v>2.0</v>
      </c>
      <c r="AF335" s="47">
        <v>3.9</v>
      </c>
      <c r="AG335" s="47"/>
    </row>
    <row r="336" ht="15.75" customHeight="1">
      <c r="A336" s="35">
        <f>Bill!$Y336</f>
        <v>45894</v>
      </c>
      <c r="B336" s="43">
        <f>'Raw Data'!E338+Bill!$L$2</f>
        <v>144</v>
      </c>
      <c r="C336" s="43">
        <f>'Raw Data'!E338+Bill!$M$2</f>
        <v>149</v>
      </c>
      <c r="D336" s="43">
        <f>('Raw Data'!$F338*2)-10</f>
        <v>212</v>
      </c>
      <c r="E336" s="43">
        <f>'Raw Data'!F338+Bill!$O$2</f>
        <v>131</v>
      </c>
      <c r="F336" s="43">
        <f>'Raw Data'!F338+Bill!$P$2</f>
        <v>136</v>
      </c>
      <c r="G336" s="43">
        <f>'Raw Data'!E338+Bill!$Q$2</f>
        <v>174</v>
      </c>
      <c r="H336" s="43">
        <f>('Raw Data'!F338+Bill!$R$2)</f>
        <v>131</v>
      </c>
      <c r="I336" s="36">
        <f>'Raw Data'!G338/100</f>
        <v>5.4</v>
      </c>
      <c r="K336" s="37">
        <f>Bill!$Y336</f>
        <v>45894</v>
      </c>
      <c r="L336" s="38">
        <f>Bill!$AA336*('Raw Data'!$E338+$L$2)</f>
        <v>0</v>
      </c>
      <c r="M336" s="38">
        <f>Bill!$AB336*('Raw Data'!$E338+$M$2)</f>
        <v>1490</v>
      </c>
      <c r="N336" s="38">
        <f>(('Raw Data'!$F338 * 2)-10)*Bill!$AC336</f>
        <v>848</v>
      </c>
      <c r="O336" s="38">
        <f>('Raw Data'!F338+Bill!$O$2)*Bill!$AD336</f>
        <v>0</v>
      </c>
      <c r="P336" s="38">
        <f>('Raw Data'!F338+Bill!$P$2)*Bill!$AE336</f>
        <v>136</v>
      </c>
      <c r="Q336" s="38">
        <f>Bill!$Z336*('Raw Data'!$E338+$Q$2)</f>
        <v>0</v>
      </c>
      <c r="R336" s="38">
        <f>('Raw Data'!F338+Bill!$R$2)*Bill!$AF336</f>
        <v>0</v>
      </c>
      <c r="S336" s="48">
        <f>('Raw Data'!G338/100)*Bill!$AG336</f>
        <v>0</v>
      </c>
      <c r="T336" s="38">
        <f>SUM(Bill!$L336:$R336)</f>
        <v>2474</v>
      </c>
      <c r="U336" s="49">
        <v>2479.0</v>
      </c>
      <c r="V336" s="50"/>
      <c r="W336" s="38">
        <f>Bill!$U336-Bill!$T336</f>
        <v>5</v>
      </c>
      <c r="Y336" s="37">
        <f>'Raw Data'!D338</f>
        <v>45894</v>
      </c>
      <c r="Z336" s="47"/>
      <c r="AA336" s="47"/>
      <c r="AB336" s="47">
        <v>10.0</v>
      </c>
      <c r="AC336" s="47">
        <v>4.0</v>
      </c>
      <c r="AD336" s="47"/>
      <c r="AE336" s="47">
        <v>1.0</v>
      </c>
      <c r="AF336" s="47"/>
      <c r="AG336" s="47"/>
    </row>
    <row r="337" ht="15.75" customHeight="1">
      <c r="A337" s="35">
        <f>Bill!$Y337</f>
        <v>45895</v>
      </c>
      <c r="B337" s="43">
        <f>'Raw Data'!E339+Bill!$L$2</f>
        <v>144</v>
      </c>
      <c r="C337" s="43">
        <f>'Raw Data'!E339+Bill!$M$2</f>
        <v>149</v>
      </c>
      <c r="D337" s="43">
        <f>('Raw Data'!$F339*2)-10</f>
        <v>208</v>
      </c>
      <c r="E337" s="43">
        <f>'Raw Data'!F339+Bill!$O$2</f>
        <v>129</v>
      </c>
      <c r="F337" s="43">
        <f>'Raw Data'!F339+Bill!$P$2</f>
        <v>134</v>
      </c>
      <c r="G337" s="43">
        <f>'Raw Data'!E339+Bill!$Q$2</f>
        <v>174</v>
      </c>
      <c r="H337" s="43">
        <f>('Raw Data'!F339+Bill!$R$2)</f>
        <v>129</v>
      </c>
      <c r="I337" s="36">
        <f>'Raw Data'!G339/100</f>
        <v>5.45</v>
      </c>
      <c r="K337" s="37">
        <f>Bill!$Y337</f>
        <v>45895</v>
      </c>
      <c r="L337" s="38">
        <f>Bill!$AA337*('Raw Data'!$E339+$L$2)</f>
        <v>0</v>
      </c>
      <c r="M337" s="38">
        <f>Bill!$AB337*('Raw Data'!$E339+$M$2)</f>
        <v>774.8</v>
      </c>
      <c r="N337" s="38">
        <f>(('Raw Data'!$F339 * 2)-10)*Bill!$AC337</f>
        <v>0</v>
      </c>
      <c r="O337" s="38">
        <f>('Raw Data'!F339+Bill!$O$2)*Bill!$AD337</f>
        <v>0</v>
      </c>
      <c r="P337" s="38">
        <f>('Raw Data'!F339+Bill!$P$2)*Bill!$AE337</f>
        <v>0</v>
      </c>
      <c r="Q337" s="38">
        <f>Bill!$Z337*('Raw Data'!$E339+$Q$2)</f>
        <v>817.8</v>
      </c>
      <c r="R337" s="38">
        <f>('Raw Data'!F339+Bill!$R$2)*Bill!$AF337</f>
        <v>0</v>
      </c>
      <c r="S337" s="48">
        <f>('Raw Data'!G339/100)*Bill!$AG337</f>
        <v>0</v>
      </c>
      <c r="T337" s="38">
        <f>SUM(Bill!$L337:$R337)</f>
        <v>1592.6</v>
      </c>
      <c r="U337" s="49">
        <v>1592.6</v>
      </c>
      <c r="V337" s="50"/>
      <c r="W337" s="38">
        <f>Bill!$U337-Bill!$T337</f>
        <v>0</v>
      </c>
      <c r="Y337" s="37">
        <f>'Raw Data'!D339</f>
        <v>45895</v>
      </c>
      <c r="Z337" s="47">
        <v>4.7</v>
      </c>
      <c r="AA337" s="47"/>
      <c r="AB337" s="47">
        <v>5.2</v>
      </c>
      <c r="AC337" s="47"/>
      <c r="AD337" s="47"/>
      <c r="AE337" s="47"/>
      <c r="AF337" s="47"/>
      <c r="AG337" s="47"/>
    </row>
    <row r="338" ht="15.75" customHeight="1">
      <c r="A338" s="35">
        <f>Bill!$Y338</f>
        <v>45896</v>
      </c>
      <c r="B338" s="43">
        <f>'Raw Data'!E340+Bill!$L$2</f>
        <v>144</v>
      </c>
      <c r="C338" s="43">
        <f>'Raw Data'!E340+Bill!$M$2</f>
        <v>149</v>
      </c>
      <c r="D338" s="43">
        <f>('Raw Data'!$F340*2)-10</f>
        <v>208</v>
      </c>
      <c r="E338" s="43">
        <f>'Raw Data'!F340+Bill!$O$2</f>
        <v>129</v>
      </c>
      <c r="F338" s="43">
        <f>'Raw Data'!F340+Bill!$P$2</f>
        <v>134</v>
      </c>
      <c r="G338" s="43">
        <f>'Raw Data'!E340+Bill!$Q$2</f>
        <v>174</v>
      </c>
      <c r="H338" s="43">
        <f>('Raw Data'!F340+Bill!$R$2)</f>
        <v>129</v>
      </c>
      <c r="I338" s="36">
        <f>'Raw Data'!G340/100</f>
        <v>5.5</v>
      </c>
      <c r="K338" s="37">
        <f>Bill!$Y338</f>
        <v>45896</v>
      </c>
      <c r="L338" s="38">
        <f>Bill!$AA338*('Raw Data'!$E340+$L$2)</f>
        <v>0</v>
      </c>
      <c r="M338" s="38">
        <f>Bill!$AB338*('Raw Data'!$E340+$M$2)</f>
        <v>447</v>
      </c>
      <c r="N338" s="38">
        <f>(('Raw Data'!$F340 * 2)-10)*Bill!$AC338</f>
        <v>624</v>
      </c>
      <c r="O338" s="38">
        <f>('Raw Data'!F340+Bill!$O$2)*Bill!$AD338</f>
        <v>0</v>
      </c>
      <c r="P338" s="38">
        <f>('Raw Data'!F340+Bill!$P$2)*Bill!$AE338</f>
        <v>0</v>
      </c>
      <c r="Q338" s="38">
        <f>Bill!$Z338*('Raw Data'!$E340+$Q$2)</f>
        <v>1583.4</v>
      </c>
      <c r="R338" s="38">
        <f>('Raw Data'!F340+Bill!$R$2)*Bill!$AF338</f>
        <v>0</v>
      </c>
      <c r="S338" s="48">
        <f>('Raw Data'!G340/100)*Bill!$AG338</f>
        <v>0</v>
      </c>
      <c r="T338" s="38">
        <f>SUM(Bill!$L338:$R338)</f>
        <v>2654.4</v>
      </c>
      <c r="U338" s="49">
        <v>2654.4</v>
      </c>
      <c r="V338" s="50"/>
      <c r="W338" s="38">
        <f>Bill!$U338-Bill!$T338</f>
        <v>0</v>
      </c>
      <c r="Y338" s="37">
        <f>'Raw Data'!D340</f>
        <v>45896</v>
      </c>
      <c r="Z338" s="47">
        <v>9.1</v>
      </c>
      <c r="AA338" s="47"/>
      <c r="AB338" s="47">
        <v>3.0</v>
      </c>
      <c r="AC338" s="47">
        <v>3.0</v>
      </c>
      <c r="AD338" s="47"/>
      <c r="AE338" s="47"/>
      <c r="AF338" s="47"/>
      <c r="AG338" s="47"/>
    </row>
    <row r="339" ht="15.75" customHeight="1">
      <c r="A339" s="35">
        <f>Bill!$Y339</f>
        <v>45897</v>
      </c>
      <c r="B339" s="43">
        <f>'Raw Data'!E341+Bill!$L$2</f>
        <v>144</v>
      </c>
      <c r="C339" s="43">
        <f>'Raw Data'!E341+Bill!$M$2</f>
        <v>149</v>
      </c>
      <c r="D339" s="43">
        <f>('Raw Data'!$F341*2)-10</f>
        <v>204</v>
      </c>
      <c r="E339" s="43">
        <f>'Raw Data'!F341+Bill!$O$2</f>
        <v>127</v>
      </c>
      <c r="F339" s="43">
        <f>'Raw Data'!F341+Bill!$P$2</f>
        <v>132</v>
      </c>
      <c r="G339" s="43">
        <f>'Raw Data'!E341+Bill!$Q$2</f>
        <v>174</v>
      </c>
      <c r="H339" s="43">
        <f>('Raw Data'!F341+Bill!$R$2)</f>
        <v>127</v>
      </c>
      <c r="I339" s="36">
        <f>'Raw Data'!G341/100</f>
        <v>5.5</v>
      </c>
      <c r="K339" s="37">
        <f>Bill!$Y339</f>
        <v>45897</v>
      </c>
      <c r="L339" s="38">
        <f>Bill!$AA339*('Raw Data'!$E341+$L$2)</f>
        <v>0</v>
      </c>
      <c r="M339" s="38">
        <f>Bill!$AB339*('Raw Data'!$E341+$M$2)</f>
        <v>745</v>
      </c>
      <c r="N339" s="38">
        <f>(('Raw Data'!$F341 * 2)-10)*Bill!$AC339</f>
        <v>408</v>
      </c>
      <c r="O339" s="38">
        <f>('Raw Data'!F341+Bill!$O$2)*Bill!$AD339</f>
        <v>0</v>
      </c>
      <c r="P339" s="38">
        <f>('Raw Data'!F341+Bill!$P$2)*Bill!$AE339</f>
        <v>132</v>
      </c>
      <c r="Q339" s="38">
        <f>Bill!$Z339*('Raw Data'!$E341+$Q$2)</f>
        <v>0</v>
      </c>
      <c r="R339" s="38">
        <f>('Raw Data'!F341+Bill!$R$2)*Bill!$AF339</f>
        <v>0</v>
      </c>
      <c r="S339" s="48">
        <f>('Raw Data'!G341/100)*Bill!$AG339</f>
        <v>0</v>
      </c>
      <c r="T339" s="38">
        <f>SUM(Bill!$L339:$R339)</f>
        <v>1285</v>
      </c>
      <c r="U339" s="49">
        <v>1290.0</v>
      </c>
      <c r="V339" s="50"/>
      <c r="W339" s="38">
        <f>Bill!$U339-Bill!$T339</f>
        <v>5</v>
      </c>
      <c r="Y339" s="37">
        <f>'Raw Data'!D341</f>
        <v>45897</v>
      </c>
      <c r="Z339" s="47"/>
      <c r="AA339" s="47"/>
      <c r="AB339" s="47">
        <v>5.0</v>
      </c>
      <c r="AC339" s="47">
        <v>2.0</v>
      </c>
      <c r="AD339" s="47"/>
      <c r="AE339" s="47">
        <v>1.0</v>
      </c>
      <c r="AF339" s="47"/>
      <c r="AG339" s="47"/>
    </row>
    <row r="340" ht="15.75" customHeight="1">
      <c r="A340" s="35">
        <f>Bill!$Y340</f>
        <v>45898</v>
      </c>
      <c r="B340" s="43">
        <f>'Raw Data'!E342+Bill!$L$2</f>
        <v>144</v>
      </c>
      <c r="C340" s="43">
        <f>'Raw Data'!E342+Bill!$M$2</f>
        <v>149</v>
      </c>
      <c r="D340" s="43">
        <f>('Raw Data'!$F342*2)-10</f>
        <v>208</v>
      </c>
      <c r="E340" s="43">
        <f>'Raw Data'!F342+Bill!$O$2</f>
        <v>129</v>
      </c>
      <c r="F340" s="43">
        <f>'Raw Data'!F342+Bill!$P$2</f>
        <v>134</v>
      </c>
      <c r="G340" s="43">
        <f>'Raw Data'!E342+Bill!$Q$2</f>
        <v>174</v>
      </c>
      <c r="H340" s="43">
        <f>('Raw Data'!F342+Bill!$R$2)</f>
        <v>129</v>
      </c>
      <c r="I340" s="36">
        <f>'Raw Data'!G342/100</f>
        <v>5.6</v>
      </c>
      <c r="K340" s="37">
        <f>Bill!$Y340</f>
        <v>45898</v>
      </c>
      <c r="L340" s="38">
        <f>Bill!$AA340*('Raw Data'!$E342+$L$2)</f>
        <v>0</v>
      </c>
      <c r="M340" s="38">
        <f>Bill!$AB340*('Raw Data'!$E342+$M$2)</f>
        <v>894</v>
      </c>
      <c r="N340" s="38">
        <f>(('Raw Data'!$F342 * 2)-10)*Bill!$AC340</f>
        <v>1040</v>
      </c>
      <c r="O340" s="38">
        <f>('Raw Data'!F342+Bill!$O$2)*Bill!$AD340</f>
        <v>0</v>
      </c>
      <c r="P340" s="38">
        <f>('Raw Data'!F342+Bill!$P$2)*Bill!$AE340</f>
        <v>0</v>
      </c>
      <c r="Q340" s="38">
        <f>Bill!$Z340*('Raw Data'!$E342+$Q$2)</f>
        <v>756.9</v>
      </c>
      <c r="R340" s="38">
        <f>('Raw Data'!F342+Bill!$R$2)*Bill!$AF340</f>
        <v>0</v>
      </c>
      <c r="S340" s="48">
        <f>('Raw Data'!G342/100)*Bill!$AG340</f>
        <v>0</v>
      </c>
      <c r="T340" s="38">
        <f>SUM(Bill!$L340:$R340)</f>
        <v>2690.9</v>
      </c>
      <c r="U340" s="49">
        <v>2691.0</v>
      </c>
      <c r="V340" s="50"/>
      <c r="W340" s="38">
        <f>Bill!$U340-Bill!$T340</f>
        <v>0.1</v>
      </c>
      <c r="Y340" s="37">
        <f>'Raw Data'!D342</f>
        <v>45898</v>
      </c>
      <c r="Z340" s="47">
        <v>4.35</v>
      </c>
      <c r="AA340" s="47"/>
      <c r="AB340" s="47">
        <v>6.0</v>
      </c>
      <c r="AC340" s="47">
        <v>5.0</v>
      </c>
      <c r="AD340" s="47"/>
      <c r="AE340" s="47"/>
      <c r="AF340" s="47"/>
      <c r="AG340" s="47"/>
    </row>
    <row r="341" ht="15.75" customHeight="1">
      <c r="A341" s="35">
        <f>Bill!$Y341</f>
        <v>45899</v>
      </c>
      <c r="B341" s="43">
        <f>'Raw Data'!E343+Bill!$L$2</f>
        <v>146</v>
      </c>
      <c r="C341" s="43">
        <f>'Raw Data'!E343+Bill!$M$2</f>
        <v>151</v>
      </c>
      <c r="D341" s="43">
        <f>('Raw Data'!$F343*2)-10</f>
        <v>216</v>
      </c>
      <c r="E341" s="43">
        <f>'Raw Data'!F343+Bill!$O$2</f>
        <v>133</v>
      </c>
      <c r="F341" s="43">
        <f>'Raw Data'!F343+Bill!$P$2</f>
        <v>138</v>
      </c>
      <c r="G341" s="43">
        <f>'Raw Data'!E343+Bill!$Q$2</f>
        <v>176</v>
      </c>
      <c r="H341" s="43">
        <f>('Raw Data'!F343+Bill!$R$2)</f>
        <v>133</v>
      </c>
      <c r="I341" s="36">
        <f>'Raw Data'!G343/100</f>
        <v>5.65</v>
      </c>
      <c r="K341" s="37">
        <f>Bill!$Y341</f>
        <v>45899</v>
      </c>
      <c r="L341" s="38">
        <f>Bill!$AA341*('Raw Data'!$E343+$L$2)</f>
        <v>0</v>
      </c>
      <c r="M341" s="38">
        <f>Bill!$AB341*('Raw Data'!$E343+$M$2)</f>
        <v>0</v>
      </c>
      <c r="N341" s="38">
        <f>(('Raw Data'!$F343 * 2)-10)*Bill!$AC341</f>
        <v>0</v>
      </c>
      <c r="O341" s="38">
        <f>('Raw Data'!F343+Bill!$O$2)*Bill!$AD341</f>
        <v>0</v>
      </c>
      <c r="P341" s="38">
        <f>('Raw Data'!F343+Bill!$P$2)*Bill!$AE341</f>
        <v>0</v>
      </c>
      <c r="Q341" s="38">
        <f>Bill!$Z341*('Raw Data'!$E343+$Q$2)</f>
        <v>0</v>
      </c>
      <c r="R341" s="38">
        <f>('Raw Data'!F343+Bill!$R$2)*Bill!$AF341</f>
        <v>0</v>
      </c>
      <c r="S341" s="48">
        <f>('Raw Data'!G343/100)*Bill!$AG341</f>
        <v>0</v>
      </c>
      <c r="T341" s="38">
        <f>SUM(Bill!$L341:$R341)</f>
        <v>0</v>
      </c>
      <c r="U341" s="49">
        <v>0.0</v>
      </c>
      <c r="V341" s="50"/>
      <c r="W341" s="38">
        <f>Bill!$U341-Bill!$T341</f>
        <v>0</v>
      </c>
      <c r="Y341" s="37">
        <f>'Raw Data'!D343</f>
        <v>45899</v>
      </c>
      <c r="Z341" s="47">
        <v>0.0</v>
      </c>
      <c r="AA341" s="47"/>
      <c r="AB341" s="47"/>
      <c r="AC341" s="47"/>
      <c r="AD341" s="47"/>
      <c r="AE341" s="47"/>
      <c r="AF341" s="47"/>
      <c r="AG341" s="47"/>
    </row>
    <row r="342" ht="15.75" customHeight="1">
      <c r="A342" s="35">
        <f>Bill!$Y342</f>
        <v>45900</v>
      </c>
      <c r="B342" s="43">
        <f>'Raw Data'!E344+Bill!$L$2</f>
        <v>148</v>
      </c>
      <c r="C342" s="43">
        <f>'Raw Data'!E344+Bill!$M$2</f>
        <v>153</v>
      </c>
      <c r="D342" s="43">
        <f>('Raw Data'!$F344*2)-10</f>
        <v>220</v>
      </c>
      <c r="E342" s="43">
        <f>'Raw Data'!F344+Bill!$O$2</f>
        <v>135</v>
      </c>
      <c r="F342" s="43">
        <f>'Raw Data'!F344+Bill!$P$2</f>
        <v>140</v>
      </c>
      <c r="G342" s="43">
        <f>'Raw Data'!E344+Bill!$Q$2</f>
        <v>178</v>
      </c>
      <c r="H342" s="43">
        <f>('Raw Data'!F344+Bill!$R$2)</f>
        <v>135</v>
      </c>
      <c r="I342" s="36">
        <f>'Raw Data'!G344/100</f>
        <v>5.65</v>
      </c>
      <c r="K342" s="37">
        <f>Bill!$Y342</f>
        <v>45900</v>
      </c>
      <c r="L342" s="38">
        <f>Bill!$AA342*('Raw Data'!$E344+$L$2)</f>
        <v>0</v>
      </c>
      <c r="M342" s="38">
        <f>Bill!$AB342*('Raw Data'!$E344+$M$2)</f>
        <v>0</v>
      </c>
      <c r="N342" s="38">
        <f>(('Raw Data'!$F344 * 2)-10)*Bill!$AC342</f>
        <v>0</v>
      </c>
      <c r="O342" s="38">
        <f>('Raw Data'!F344+Bill!$O$2)*Bill!$AD342</f>
        <v>0</v>
      </c>
      <c r="P342" s="38">
        <f>('Raw Data'!F344+Bill!$P$2)*Bill!$AE342</f>
        <v>0</v>
      </c>
      <c r="Q342" s="38">
        <f>Bill!$Z342*('Raw Data'!$E344+$Q$2)</f>
        <v>0</v>
      </c>
      <c r="R342" s="38">
        <f>('Raw Data'!F344+Bill!$R$2)*Bill!$AF342</f>
        <v>0</v>
      </c>
      <c r="S342" s="48">
        <f>('Raw Data'!G344/100)*Bill!$AG342</f>
        <v>0</v>
      </c>
      <c r="T342" s="38">
        <f>SUM(Bill!$L342:$R342)</f>
        <v>0</v>
      </c>
      <c r="U342" s="49">
        <v>0.0</v>
      </c>
      <c r="V342" s="50"/>
      <c r="W342" s="38">
        <f>Bill!$U342-Bill!$T342</f>
        <v>0</v>
      </c>
      <c r="Y342" s="37">
        <f>'Raw Data'!D344</f>
        <v>45900</v>
      </c>
      <c r="Z342" s="47">
        <v>0.0</v>
      </c>
      <c r="AA342" s="47"/>
      <c r="AB342" s="47"/>
      <c r="AC342" s="47"/>
      <c r="AD342" s="47"/>
      <c r="AE342" s="47"/>
      <c r="AF342" s="47"/>
      <c r="AG342" s="47"/>
    </row>
    <row r="343" ht="15.75" customHeight="1">
      <c r="A343" s="35">
        <f>Bill!$Y343</f>
        <v>45901</v>
      </c>
      <c r="B343" s="43">
        <f>'Raw Data'!E345+Bill!$L$2</f>
        <v>148</v>
      </c>
      <c r="C343" s="43">
        <f>'Raw Data'!E345+Bill!$M$2</f>
        <v>153</v>
      </c>
      <c r="D343" s="43">
        <f>('Raw Data'!$F345*2)-10</f>
        <v>224</v>
      </c>
      <c r="E343" s="43">
        <f>'Raw Data'!F345+Bill!$O$2</f>
        <v>137</v>
      </c>
      <c r="F343" s="43">
        <f>'Raw Data'!F345+Bill!$P$2</f>
        <v>142</v>
      </c>
      <c r="G343" s="43">
        <f>'Raw Data'!E345+Bill!$Q$2</f>
        <v>178</v>
      </c>
      <c r="H343" s="43">
        <f>('Raw Data'!F345+Bill!$R$2)</f>
        <v>137</v>
      </c>
      <c r="I343" s="36">
        <f>'Raw Data'!G345/100</f>
        <v>5.7</v>
      </c>
      <c r="K343" s="37">
        <f>Bill!$Y343</f>
        <v>45901</v>
      </c>
      <c r="L343" s="38">
        <f>Bill!$AA343*('Raw Data'!$E345+$L$2)</f>
        <v>0</v>
      </c>
      <c r="M343" s="38">
        <f>Bill!$AB343*('Raw Data'!$E345+$M$2)</f>
        <v>459</v>
      </c>
      <c r="N343" s="38">
        <f>(('Raw Data'!$F345 * 2)-10)*Bill!$AC343</f>
        <v>224</v>
      </c>
      <c r="O343" s="38">
        <f>('Raw Data'!F345+Bill!$O$2)*Bill!$AD343</f>
        <v>0</v>
      </c>
      <c r="P343" s="38">
        <f>('Raw Data'!F345+Bill!$P$2)*Bill!$AE343</f>
        <v>0</v>
      </c>
      <c r="Q343" s="38">
        <f>Bill!$Z343*('Raw Data'!$E345+$Q$2)</f>
        <v>0</v>
      </c>
      <c r="R343" s="38">
        <f>('Raw Data'!F345+Bill!$R$2)*Bill!$AF343</f>
        <v>0</v>
      </c>
      <c r="S343" s="48">
        <f>('Raw Data'!G345/100)*Bill!$AG343</f>
        <v>0</v>
      </c>
      <c r="T343" s="38">
        <f>SUM(Bill!$L343:$R343)</f>
        <v>683</v>
      </c>
      <c r="U343" s="49">
        <v>673.0</v>
      </c>
      <c r="V343" s="50"/>
      <c r="W343" s="38">
        <f>Bill!$U343-Bill!$T343</f>
        <v>-10</v>
      </c>
      <c r="Y343" s="37">
        <f>'Raw Data'!D345</f>
        <v>45901</v>
      </c>
      <c r="Z343" s="47">
        <v>0.0</v>
      </c>
      <c r="AA343" s="47"/>
      <c r="AB343" s="47">
        <v>3.0</v>
      </c>
      <c r="AC343" s="47">
        <v>1.0</v>
      </c>
      <c r="AD343" s="47"/>
      <c r="AE343" s="47"/>
      <c r="AF343" s="47"/>
      <c r="AG343" s="47"/>
    </row>
    <row r="344" ht="15.75" customHeight="1">
      <c r="A344" s="35">
        <f>Bill!$Y344</f>
        <v>45902</v>
      </c>
      <c r="B344" s="43">
        <f>'Raw Data'!E346+Bill!$L$2</f>
        <v>148</v>
      </c>
      <c r="C344" s="43">
        <f>'Raw Data'!E346+Bill!$M$2</f>
        <v>153</v>
      </c>
      <c r="D344" s="43">
        <f>('Raw Data'!$F346*2)-10</f>
        <v>224</v>
      </c>
      <c r="E344" s="43">
        <f>'Raw Data'!F346+Bill!$O$2</f>
        <v>137</v>
      </c>
      <c r="F344" s="43">
        <f>'Raw Data'!F346+Bill!$P$2</f>
        <v>142</v>
      </c>
      <c r="G344" s="43">
        <f>'Raw Data'!E346+Bill!$Q$2</f>
        <v>178</v>
      </c>
      <c r="H344" s="43">
        <f>('Raw Data'!F346+Bill!$R$2)</f>
        <v>137</v>
      </c>
      <c r="I344" s="36">
        <f>'Raw Data'!G346/100</f>
        <v>5.75</v>
      </c>
      <c r="K344" s="37">
        <f>Bill!$Y344</f>
        <v>45902</v>
      </c>
      <c r="L344" s="38">
        <f>Bill!$AA344*('Raw Data'!$E346+$L$2)</f>
        <v>1435.6</v>
      </c>
      <c r="M344" s="38">
        <f>Bill!$AB344*('Raw Data'!$E346+$M$2)</f>
        <v>787.95</v>
      </c>
      <c r="N344" s="38">
        <f>(('Raw Data'!$F346 * 2)-10)*Bill!$AC344</f>
        <v>448</v>
      </c>
      <c r="O344" s="38">
        <f>('Raw Data'!F346+Bill!$O$2)*Bill!$AD344</f>
        <v>0</v>
      </c>
      <c r="P344" s="38">
        <f>('Raw Data'!F346+Bill!$P$2)*Bill!$AE344</f>
        <v>0</v>
      </c>
      <c r="Q344" s="38">
        <f>Bill!$Z344*('Raw Data'!$E346+$Q$2)</f>
        <v>0</v>
      </c>
      <c r="R344" s="38">
        <f>('Raw Data'!F346+Bill!$R$2)*Bill!$AF344</f>
        <v>0</v>
      </c>
      <c r="S344" s="48">
        <f>('Raw Data'!G346/100)*Bill!$AG344</f>
        <v>0</v>
      </c>
      <c r="T344" s="38">
        <f>SUM(Bill!$L344:$R344)</f>
        <v>2671.55</v>
      </c>
      <c r="U344" s="49">
        <v>2672.0</v>
      </c>
      <c r="V344" s="50"/>
      <c r="W344" s="38">
        <f>Bill!$U344-Bill!$T344</f>
        <v>0.45</v>
      </c>
      <c r="Y344" s="37">
        <f>'Raw Data'!D346</f>
        <v>45902</v>
      </c>
      <c r="Z344" s="47">
        <v>0.0</v>
      </c>
      <c r="AA344" s="47">
        <v>9.7</v>
      </c>
      <c r="AB344" s="47">
        <v>5.15</v>
      </c>
      <c r="AC344" s="47">
        <v>2.0</v>
      </c>
      <c r="AD344" s="47"/>
      <c r="AE344" s="47"/>
      <c r="AF344" s="47"/>
      <c r="AG344" s="47"/>
    </row>
    <row r="345" ht="15.75" customHeight="1">
      <c r="A345" s="35">
        <f>Bill!$Y345</f>
        <v>45903</v>
      </c>
      <c r="B345" s="43">
        <f>'Raw Data'!E347+Bill!$L$2</f>
        <v>146</v>
      </c>
      <c r="C345" s="43">
        <f>'Raw Data'!E347+Bill!$M$2</f>
        <v>151</v>
      </c>
      <c r="D345" s="43">
        <f>('Raw Data'!$F347*2)-10</f>
        <v>220</v>
      </c>
      <c r="E345" s="43">
        <f>'Raw Data'!F347+Bill!$O$2</f>
        <v>135</v>
      </c>
      <c r="F345" s="43">
        <f>'Raw Data'!F347+Bill!$P$2</f>
        <v>140</v>
      </c>
      <c r="G345" s="43">
        <f>'Raw Data'!E347+Bill!$Q$2</f>
        <v>176</v>
      </c>
      <c r="H345" s="43">
        <f>('Raw Data'!F347+Bill!$R$2)</f>
        <v>135</v>
      </c>
      <c r="I345" s="36">
        <f>'Raw Data'!G347/100</f>
        <v>5.8</v>
      </c>
      <c r="K345" s="37">
        <f>Bill!$Y345</f>
        <v>45903</v>
      </c>
      <c r="L345" s="38">
        <f>Bill!$AA345*('Raw Data'!$E347+$L$2)</f>
        <v>0</v>
      </c>
      <c r="M345" s="38">
        <f>Bill!$AB345*('Raw Data'!$E347+$M$2)</f>
        <v>453</v>
      </c>
      <c r="N345" s="38">
        <f>(('Raw Data'!$F347 * 2)-10)*Bill!$AC345</f>
        <v>220</v>
      </c>
      <c r="O345" s="38">
        <f>('Raw Data'!F347+Bill!$O$2)*Bill!$AD345</f>
        <v>0</v>
      </c>
      <c r="P345" s="38">
        <f>('Raw Data'!F347+Bill!$P$2)*Bill!$AE345</f>
        <v>0</v>
      </c>
      <c r="Q345" s="38">
        <f>Bill!$Z345*('Raw Data'!$E347+$Q$2)</f>
        <v>0</v>
      </c>
      <c r="R345" s="38">
        <f>('Raw Data'!F347+Bill!$R$2)*Bill!$AF345</f>
        <v>0</v>
      </c>
      <c r="S345" s="48">
        <f>('Raw Data'!G347/100)*Bill!$AG345</f>
        <v>0</v>
      </c>
      <c r="T345" s="38">
        <f>SUM(Bill!$L345:$R345)</f>
        <v>673</v>
      </c>
      <c r="U345" s="49">
        <v>673.0</v>
      </c>
      <c r="V345" s="50"/>
      <c r="W345" s="38">
        <f>Bill!$U345-Bill!$T345</f>
        <v>0</v>
      </c>
      <c r="Y345" s="37">
        <f>'Raw Data'!D347</f>
        <v>45903</v>
      </c>
      <c r="Z345" s="47">
        <v>0.0</v>
      </c>
      <c r="AA345" s="47"/>
      <c r="AB345" s="47">
        <v>3.0</v>
      </c>
      <c r="AC345" s="47">
        <v>1.0</v>
      </c>
      <c r="AD345" s="47"/>
      <c r="AE345" s="47"/>
      <c r="AF345" s="47"/>
      <c r="AG345" s="47"/>
    </row>
    <row r="346" ht="15.75" customHeight="1">
      <c r="A346" s="35">
        <f>Bill!$Y346</f>
        <v>45904</v>
      </c>
      <c r="B346" s="43">
        <f>'Raw Data'!E348+Bill!$L$2</f>
        <v>146</v>
      </c>
      <c r="C346" s="43">
        <f>'Raw Data'!E348+Bill!$M$2</f>
        <v>151</v>
      </c>
      <c r="D346" s="43">
        <f>('Raw Data'!$F348*2)-10</f>
        <v>220</v>
      </c>
      <c r="E346" s="43">
        <f>'Raw Data'!F348+Bill!$O$2</f>
        <v>135</v>
      </c>
      <c r="F346" s="43">
        <f>'Raw Data'!F348+Bill!$P$2</f>
        <v>140</v>
      </c>
      <c r="G346" s="43">
        <f>'Raw Data'!E348+Bill!$Q$2</f>
        <v>176</v>
      </c>
      <c r="H346" s="43">
        <f>('Raw Data'!F348+Bill!$R$2)</f>
        <v>135</v>
      </c>
      <c r="I346" s="36">
        <f>'Raw Data'!G348/100</f>
        <v>5.8</v>
      </c>
      <c r="K346" s="37">
        <f>Bill!$Y346</f>
        <v>45904</v>
      </c>
      <c r="L346" s="38">
        <f>Bill!$AA346*('Raw Data'!$E348+$L$2)</f>
        <v>3153.6</v>
      </c>
      <c r="M346" s="38">
        <f>Bill!$AB346*('Raw Data'!$E348+$M$2)</f>
        <v>3057.75</v>
      </c>
      <c r="N346" s="38">
        <f>(('Raw Data'!$F348 * 2)-10)*Bill!$AC346</f>
        <v>1100</v>
      </c>
      <c r="O346" s="38">
        <f>('Raw Data'!F348+Bill!$O$2)*Bill!$AD346</f>
        <v>0</v>
      </c>
      <c r="P346" s="38">
        <f>('Raw Data'!F348+Bill!$P$2)*Bill!$AE346</f>
        <v>280</v>
      </c>
      <c r="Q346" s="38">
        <f>Bill!$Z346*('Raw Data'!$E348+$Q$2)</f>
        <v>0</v>
      </c>
      <c r="R346" s="38">
        <f>('Raw Data'!F348+Bill!$R$2)*Bill!$AF346</f>
        <v>0</v>
      </c>
      <c r="S346" s="48">
        <f>('Raw Data'!G348/100)*Bill!$AG346</f>
        <v>0</v>
      </c>
      <c r="T346" s="38">
        <f>SUM(Bill!$L346:$R346)</f>
        <v>7591.35</v>
      </c>
      <c r="U346" s="49">
        <v>7602.0</v>
      </c>
      <c r="V346" s="50"/>
      <c r="W346" s="38">
        <f>Bill!$U346-Bill!$T346</f>
        <v>10.65</v>
      </c>
      <c r="Y346" s="37">
        <f>'Raw Data'!D348</f>
        <v>45904</v>
      </c>
      <c r="Z346" s="47">
        <v>0.0</v>
      </c>
      <c r="AA346" s="47">
        <v>21.6</v>
      </c>
      <c r="AB346" s="47">
        <v>20.25</v>
      </c>
      <c r="AC346" s="47">
        <v>5.0</v>
      </c>
      <c r="AD346" s="47"/>
      <c r="AE346" s="47">
        <v>2.0</v>
      </c>
      <c r="AF346" s="47"/>
      <c r="AG346" s="47"/>
    </row>
    <row r="347" ht="15.75" customHeight="1">
      <c r="A347" s="35">
        <f>Bill!$Y347</f>
        <v>45905</v>
      </c>
      <c r="B347" s="43">
        <f>'Raw Data'!E349+Bill!$L$2</f>
        <v>144</v>
      </c>
      <c r="C347" s="43">
        <f>'Raw Data'!E349+Bill!$M$2</f>
        <v>149</v>
      </c>
      <c r="D347" s="43">
        <f>('Raw Data'!$F349*2)-10</f>
        <v>224</v>
      </c>
      <c r="E347" s="43">
        <f>'Raw Data'!F349+Bill!$O$2</f>
        <v>137</v>
      </c>
      <c r="F347" s="43">
        <f>'Raw Data'!F349+Bill!$P$2</f>
        <v>142</v>
      </c>
      <c r="G347" s="43">
        <f>'Raw Data'!E349+Bill!$Q$2</f>
        <v>174</v>
      </c>
      <c r="H347" s="43">
        <f>('Raw Data'!F349+Bill!$R$2)</f>
        <v>137</v>
      </c>
      <c r="I347" s="36">
        <f>'Raw Data'!G349/100</f>
        <v>5.8</v>
      </c>
      <c r="K347" s="37">
        <f>Bill!$Y347</f>
        <v>45905</v>
      </c>
      <c r="L347" s="38">
        <f>Bill!$AA347*('Raw Data'!$E349+$L$2)</f>
        <v>0</v>
      </c>
      <c r="M347" s="38">
        <f>Bill!$AB347*('Raw Data'!$E349+$M$2)</f>
        <v>0</v>
      </c>
      <c r="N347" s="38">
        <f>(('Raw Data'!$F349 * 2)-10)*Bill!$AC347</f>
        <v>0</v>
      </c>
      <c r="O347" s="38">
        <f>('Raw Data'!F349+Bill!$O$2)*Bill!$AD347</f>
        <v>0</v>
      </c>
      <c r="P347" s="38">
        <f>('Raw Data'!F349+Bill!$P$2)*Bill!$AE347</f>
        <v>0</v>
      </c>
      <c r="Q347" s="38">
        <f>Bill!$Z347*('Raw Data'!$E349+$Q$2)</f>
        <v>0</v>
      </c>
      <c r="R347" s="38">
        <f>('Raw Data'!F349+Bill!$R$2)*Bill!$AF347</f>
        <v>0</v>
      </c>
      <c r="S347" s="48">
        <f>('Raw Data'!G349/100)*Bill!$AG347</f>
        <v>0</v>
      </c>
      <c r="T347" s="38">
        <f>SUM(Bill!$L347:$R347)</f>
        <v>0</v>
      </c>
      <c r="U347" s="49">
        <v>0.0</v>
      </c>
      <c r="V347" s="50"/>
      <c r="W347" s="38">
        <f>Bill!$U347-Bill!$T347</f>
        <v>0</v>
      </c>
      <c r="Y347" s="37">
        <f>'Raw Data'!D349</f>
        <v>45905</v>
      </c>
      <c r="Z347" s="47">
        <v>0.0</v>
      </c>
      <c r="AA347" s="47"/>
      <c r="AB347" s="47"/>
      <c r="AC347" s="47"/>
      <c r="AD347" s="47"/>
      <c r="AE347" s="47"/>
      <c r="AF347" s="47"/>
      <c r="AG347" s="47"/>
    </row>
    <row r="348" ht="15.75" customHeight="1">
      <c r="A348" s="35">
        <f>Bill!$Y348</f>
        <v>45906</v>
      </c>
      <c r="B348" s="43">
        <f>'Raw Data'!E350+Bill!$L$2</f>
        <v>146</v>
      </c>
      <c r="C348" s="43">
        <f>'Raw Data'!E350+Bill!$M$2</f>
        <v>151</v>
      </c>
      <c r="D348" s="43">
        <f>('Raw Data'!$F350*2)-10</f>
        <v>224</v>
      </c>
      <c r="E348" s="43">
        <f>'Raw Data'!F350+Bill!$O$2</f>
        <v>137</v>
      </c>
      <c r="F348" s="43">
        <f>'Raw Data'!F350+Bill!$P$2</f>
        <v>142</v>
      </c>
      <c r="G348" s="43">
        <f>'Raw Data'!E350+Bill!$Q$2</f>
        <v>176</v>
      </c>
      <c r="H348" s="43">
        <f>('Raw Data'!F350+Bill!$R$2)</f>
        <v>137</v>
      </c>
      <c r="I348" s="36">
        <f>'Raw Data'!G350/100</f>
        <v>5.7</v>
      </c>
      <c r="K348" s="37">
        <f>Bill!$Y348</f>
        <v>45906</v>
      </c>
      <c r="L348" s="38">
        <f>Bill!$AA348*('Raw Data'!$E350+$L$2)</f>
        <v>0</v>
      </c>
      <c r="M348" s="38">
        <f>Bill!$AB348*('Raw Data'!$E350+$M$2)</f>
        <v>800.3</v>
      </c>
      <c r="N348" s="38">
        <f>(('Raw Data'!$F350 * 2)-10)*Bill!$AC348</f>
        <v>896</v>
      </c>
      <c r="O348" s="38">
        <f>('Raw Data'!F350+Bill!$O$2)*Bill!$AD348</f>
        <v>0</v>
      </c>
      <c r="P348" s="38">
        <f>('Raw Data'!F350+Bill!$P$2)*Bill!$AE348</f>
        <v>284</v>
      </c>
      <c r="Q348" s="38">
        <f>Bill!$Z348*('Raw Data'!$E350+$Q$2)</f>
        <v>0</v>
      </c>
      <c r="R348" s="38">
        <f>('Raw Data'!F350+Bill!$R$2)*Bill!$AF348</f>
        <v>0</v>
      </c>
      <c r="S348" s="48">
        <f>('Raw Data'!G350/100)*Bill!$AG348</f>
        <v>0</v>
      </c>
      <c r="T348" s="38">
        <f>SUM(Bill!$L348:$R348)</f>
        <v>1980.3</v>
      </c>
      <c r="U348" s="49">
        <v>1990.0</v>
      </c>
      <c r="V348" s="50"/>
      <c r="W348" s="38">
        <f>Bill!$U348-Bill!$T348</f>
        <v>9.7</v>
      </c>
      <c r="Y348" s="37">
        <f>'Raw Data'!D350</f>
        <v>45906</v>
      </c>
      <c r="Z348" s="47">
        <v>0.0</v>
      </c>
      <c r="AA348" s="47"/>
      <c r="AB348" s="47">
        <v>5.3</v>
      </c>
      <c r="AC348" s="47">
        <v>4.0</v>
      </c>
      <c r="AD348" s="47"/>
      <c r="AE348" s="47">
        <v>2.0</v>
      </c>
      <c r="AF348" s="47"/>
      <c r="AG348" s="47"/>
    </row>
    <row r="349" ht="15.75" customHeight="1">
      <c r="A349" s="35">
        <f>Bill!$Y349</f>
        <v>45907</v>
      </c>
      <c r="B349" s="43">
        <f>'Raw Data'!E351+Bill!$L$2</f>
        <v>148</v>
      </c>
      <c r="C349" s="43">
        <f>'Raw Data'!E351+Bill!$M$2</f>
        <v>153</v>
      </c>
      <c r="D349" s="43">
        <f>('Raw Data'!$F351*2)-10</f>
        <v>240</v>
      </c>
      <c r="E349" s="43">
        <f>'Raw Data'!F351+Bill!$O$2</f>
        <v>145</v>
      </c>
      <c r="F349" s="43">
        <f>'Raw Data'!F351+Bill!$P$2</f>
        <v>150</v>
      </c>
      <c r="G349" s="43">
        <f>'Raw Data'!E351+Bill!$Q$2</f>
        <v>178</v>
      </c>
      <c r="H349" s="43">
        <f>('Raw Data'!F351+Bill!$R$2)</f>
        <v>145</v>
      </c>
      <c r="I349" s="36">
        <f>'Raw Data'!G351/100</f>
        <v>5.7</v>
      </c>
      <c r="K349" s="37">
        <f>Bill!$Y349</f>
        <v>45907</v>
      </c>
      <c r="L349" s="38">
        <f>Bill!$AA349*('Raw Data'!$E351+$L$2)</f>
        <v>1287.6</v>
      </c>
      <c r="M349" s="38">
        <f>Bill!$AB349*('Raw Data'!$E351+$M$2)</f>
        <v>765</v>
      </c>
      <c r="N349" s="38">
        <f>(('Raw Data'!$F351 * 2)-10)*Bill!$AC349</f>
        <v>720</v>
      </c>
      <c r="O349" s="38">
        <f>('Raw Data'!F351+Bill!$O$2)*Bill!$AD349</f>
        <v>0</v>
      </c>
      <c r="P349" s="38">
        <f>('Raw Data'!F351+Bill!$P$2)*Bill!$AE349</f>
        <v>0</v>
      </c>
      <c r="Q349" s="38">
        <f>Bill!$Z349*('Raw Data'!$E351+$Q$2)</f>
        <v>0</v>
      </c>
      <c r="R349" s="38">
        <f>('Raw Data'!F351+Bill!$R$2)*Bill!$AF349</f>
        <v>0</v>
      </c>
      <c r="S349" s="48">
        <f>('Raw Data'!G351/100)*Bill!$AG349</f>
        <v>0</v>
      </c>
      <c r="T349" s="38">
        <f>SUM(Bill!$L349:$R349)</f>
        <v>2772.6</v>
      </c>
      <c r="U349" s="49">
        <v>2773.0</v>
      </c>
      <c r="V349" s="50"/>
      <c r="W349" s="38">
        <f>Bill!$U349-Bill!$T349</f>
        <v>0.4</v>
      </c>
      <c r="Y349" s="37">
        <f>'Raw Data'!D351</f>
        <v>45907</v>
      </c>
      <c r="Z349" s="47"/>
      <c r="AA349" s="47">
        <v>8.7</v>
      </c>
      <c r="AB349" s="47">
        <v>5.0</v>
      </c>
      <c r="AC349" s="47">
        <v>3.0</v>
      </c>
      <c r="AD349" s="47"/>
      <c r="AE349" s="47"/>
      <c r="AF349" s="47"/>
      <c r="AG349" s="47"/>
    </row>
    <row r="350" ht="15.75" customHeight="1">
      <c r="A350" s="35">
        <f>Bill!$Y350</f>
        <v>45908</v>
      </c>
      <c r="B350" s="43">
        <f>'Raw Data'!E352+Bill!$L$2</f>
        <v>148</v>
      </c>
      <c r="C350" s="43">
        <f>'Raw Data'!E352+Bill!$M$2</f>
        <v>153</v>
      </c>
      <c r="D350" s="43">
        <f>('Raw Data'!$F352*2)-10</f>
        <v>236</v>
      </c>
      <c r="E350" s="43">
        <f>'Raw Data'!F352+Bill!$O$2</f>
        <v>143</v>
      </c>
      <c r="F350" s="43">
        <f>'Raw Data'!F352+Bill!$P$2</f>
        <v>148</v>
      </c>
      <c r="G350" s="43">
        <f>'Raw Data'!E352+Bill!$Q$2</f>
        <v>178</v>
      </c>
      <c r="H350" s="43">
        <f>('Raw Data'!F352+Bill!$R$2)</f>
        <v>143</v>
      </c>
      <c r="I350" s="36">
        <f>'Raw Data'!G352/100</f>
        <v>5.7</v>
      </c>
      <c r="K350" s="37">
        <f>Bill!$Y350</f>
        <v>45908</v>
      </c>
      <c r="L350" s="38">
        <f>Bill!$AA350*('Raw Data'!$E352+$L$2)</f>
        <v>0</v>
      </c>
      <c r="M350" s="38">
        <f>Bill!$AB350*('Raw Data'!$E352+$M$2)</f>
        <v>1560.6</v>
      </c>
      <c r="N350" s="38">
        <f>(('Raw Data'!$F352 * 2)-10)*Bill!$AC350</f>
        <v>944</v>
      </c>
      <c r="O350" s="38">
        <f>('Raw Data'!F352+Bill!$O$2)*Bill!$AD350</f>
        <v>0</v>
      </c>
      <c r="P350" s="38">
        <f>('Raw Data'!F352+Bill!$P$2)*Bill!$AE350</f>
        <v>148</v>
      </c>
      <c r="Q350" s="38">
        <f>Bill!$Z350*('Raw Data'!$E352+$Q$2)</f>
        <v>0</v>
      </c>
      <c r="R350" s="38">
        <f>('Raw Data'!F352+Bill!$R$2)*Bill!$AF350</f>
        <v>0</v>
      </c>
      <c r="S350" s="48">
        <f>('Raw Data'!G352/100)*Bill!$AG350</f>
        <v>0</v>
      </c>
      <c r="T350" s="38">
        <f>SUM(Bill!$L350:$R350)</f>
        <v>2652.6</v>
      </c>
      <c r="U350" s="49">
        <v>2657.0</v>
      </c>
      <c r="V350" s="50"/>
      <c r="W350" s="38">
        <f>Bill!$U350-Bill!$T350</f>
        <v>4.4</v>
      </c>
      <c r="Y350" s="37">
        <f>'Raw Data'!D352</f>
        <v>45908</v>
      </c>
      <c r="Z350" s="47"/>
      <c r="AA350" s="47"/>
      <c r="AB350" s="47">
        <v>10.2</v>
      </c>
      <c r="AC350" s="47">
        <v>4.0</v>
      </c>
      <c r="AD350" s="47"/>
      <c r="AE350" s="47">
        <v>1.0</v>
      </c>
      <c r="AF350" s="47"/>
      <c r="AG350" s="47"/>
    </row>
    <row r="351" ht="15.75" customHeight="1">
      <c r="A351" s="35">
        <f>Bill!$Y351</f>
        <v>45909</v>
      </c>
      <c r="B351" s="43">
        <f>'Raw Data'!E353+Bill!$L$2</f>
        <v>150</v>
      </c>
      <c r="C351" s="43">
        <f>'Raw Data'!E353+Bill!$M$2</f>
        <v>155</v>
      </c>
      <c r="D351" s="43">
        <f>('Raw Data'!$F353*2)-10</f>
        <v>244</v>
      </c>
      <c r="E351" s="43">
        <f>'Raw Data'!F353+Bill!$O$2</f>
        <v>147</v>
      </c>
      <c r="F351" s="43">
        <f>'Raw Data'!F353+Bill!$P$2</f>
        <v>152</v>
      </c>
      <c r="G351" s="43">
        <f>'Raw Data'!E353+Bill!$Q$2</f>
        <v>180</v>
      </c>
      <c r="H351" s="43">
        <f>('Raw Data'!F353+Bill!$R$2)</f>
        <v>147</v>
      </c>
      <c r="I351" s="36">
        <f>'Raw Data'!G353/100</f>
        <v>5.8</v>
      </c>
      <c r="K351" s="37">
        <f>Bill!$Y351</f>
        <v>45909</v>
      </c>
      <c r="L351" s="38">
        <f>Bill!$AA351*('Raw Data'!$E353+$L$2)</f>
        <v>0</v>
      </c>
      <c r="M351" s="38">
        <f>Bill!$AB351*('Raw Data'!$E353+$M$2)</f>
        <v>790.5</v>
      </c>
      <c r="N351" s="38">
        <f>(('Raw Data'!$F353 * 2)-10)*Bill!$AC351</f>
        <v>488</v>
      </c>
      <c r="O351" s="38">
        <f>('Raw Data'!F353+Bill!$O$2)*Bill!$AD351</f>
        <v>0</v>
      </c>
      <c r="P351" s="38">
        <f>('Raw Data'!F353+Bill!$P$2)*Bill!$AE351</f>
        <v>0</v>
      </c>
      <c r="Q351" s="38">
        <f>Bill!$Z351*('Raw Data'!$E353+$Q$2)</f>
        <v>0</v>
      </c>
      <c r="R351" s="38">
        <f>('Raw Data'!F353+Bill!$R$2)*Bill!$AF351</f>
        <v>0</v>
      </c>
      <c r="S351" s="48">
        <f>('Raw Data'!G353/100)*Bill!$AG351</f>
        <v>0</v>
      </c>
      <c r="T351" s="38">
        <f>SUM(Bill!$L351:$R351)</f>
        <v>1278.5</v>
      </c>
      <c r="U351" s="49">
        <v>1278.0</v>
      </c>
      <c r="V351" s="50"/>
      <c r="W351" s="38">
        <f>Bill!$U351-Bill!$T351</f>
        <v>-0.5</v>
      </c>
      <c r="Y351" s="37">
        <f>'Raw Data'!D353</f>
        <v>45909</v>
      </c>
      <c r="Z351" s="47"/>
      <c r="AA351" s="47"/>
      <c r="AB351" s="47">
        <v>5.1</v>
      </c>
      <c r="AC351" s="47">
        <v>2.0</v>
      </c>
      <c r="AD351" s="47"/>
      <c r="AE351" s="47"/>
      <c r="AF351" s="47"/>
      <c r="AG351" s="47"/>
    </row>
    <row r="352" ht="15.75" customHeight="1">
      <c r="A352" s="35">
        <f>Bill!$Y352</f>
        <v>45910</v>
      </c>
      <c r="B352" s="43">
        <f>'Raw Data'!E354+Bill!$L$2</f>
        <v>152</v>
      </c>
      <c r="C352" s="43">
        <f>'Raw Data'!E354+Bill!$M$2</f>
        <v>157</v>
      </c>
      <c r="D352" s="43">
        <f>('Raw Data'!$F354*2)-10</f>
        <v>244</v>
      </c>
      <c r="E352" s="43">
        <f>'Raw Data'!F354+Bill!$O$2</f>
        <v>147</v>
      </c>
      <c r="F352" s="43">
        <f>'Raw Data'!F354+Bill!$P$2</f>
        <v>152</v>
      </c>
      <c r="G352" s="43">
        <f>'Raw Data'!E354+Bill!$Q$2</f>
        <v>182</v>
      </c>
      <c r="H352" s="43">
        <f>('Raw Data'!F354+Bill!$R$2)</f>
        <v>147</v>
      </c>
      <c r="I352" s="36">
        <f>'Raw Data'!G354/100</f>
        <v>5.8</v>
      </c>
      <c r="K352" s="37">
        <f>Bill!$Y352</f>
        <v>45910</v>
      </c>
      <c r="L352" s="38">
        <f>Bill!$AA352*('Raw Data'!$E354+$L$2)</f>
        <v>1580.8</v>
      </c>
      <c r="M352" s="38">
        <f>Bill!$AB352*('Raw Data'!$E354+$M$2)</f>
        <v>1585.7</v>
      </c>
      <c r="N352" s="38">
        <f>(('Raw Data'!$F354 * 2)-10)*Bill!$AC352</f>
        <v>976</v>
      </c>
      <c r="O352" s="38">
        <f>('Raw Data'!F354+Bill!$O$2)*Bill!$AD352</f>
        <v>0</v>
      </c>
      <c r="P352" s="38">
        <f>('Raw Data'!F354+Bill!$P$2)*Bill!$AE352</f>
        <v>152</v>
      </c>
      <c r="Q352" s="38">
        <f>Bill!$Z352*('Raw Data'!$E354+$Q$2)</f>
        <v>0</v>
      </c>
      <c r="R352" s="38">
        <f>('Raw Data'!F354+Bill!$R$2)*Bill!$AF352</f>
        <v>0</v>
      </c>
      <c r="S352" s="48">
        <f>('Raw Data'!G354/100)*Bill!$AG352</f>
        <v>0</v>
      </c>
      <c r="T352" s="38">
        <f>SUM(Bill!$L352:$R352)</f>
        <v>4294.5</v>
      </c>
      <c r="U352" s="49">
        <v>4299.0</v>
      </c>
      <c r="V352" s="50"/>
      <c r="W352" s="38">
        <f>Bill!$U352-Bill!$T352</f>
        <v>4.5</v>
      </c>
      <c r="Y352" s="37">
        <f>'Raw Data'!D354</f>
        <v>45910</v>
      </c>
      <c r="Z352" s="47"/>
      <c r="AA352" s="47">
        <v>10.4</v>
      </c>
      <c r="AB352" s="47">
        <v>10.1</v>
      </c>
      <c r="AC352" s="47">
        <v>4.0</v>
      </c>
      <c r="AD352" s="47"/>
      <c r="AE352" s="47">
        <v>1.0</v>
      </c>
      <c r="AF352" s="47"/>
      <c r="AG352" s="47"/>
    </row>
    <row r="353" ht="15.75" customHeight="1">
      <c r="A353" s="35">
        <f>Bill!$Y353</f>
        <v>45911</v>
      </c>
      <c r="B353" s="43">
        <f>'Raw Data'!E355+Bill!$L$2</f>
        <v>152</v>
      </c>
      <c r="C353" s="43">
        <f>'Raw Data'!E355+Bill!$M$2</f>
        <v>157</v>
      </c>
      <c r="D353" s="43">
        <f>('Raw Data'!$F355*2)-10</f>
        <v>244</v>
      </c>
      <c r="E353" s="43">
        <f>'Raw Data'!F355+Bill!$O$2</f>
        <v>147</v>
      </c>
      <c r="F353" s="43">
        <f>'Raw Data'!F355+Bill!$P$2</f>
        <v>152</v>
      </c>
      <c r="G353" s="43">
        <f>'Raw Data'!E355+Bill!$Q$2</f>
        <v>182</v>
      </c>
      <c r="H353" s="43">
        <f>('Raw Data'!F355+Bill!$R$2)</f>
        <v>147</v>
      </c>
      <c r="I353" s="36">
        <f>'Raw Data'!G355/100</f>
        <v>5.8</v>
      </c>
      <c r="K353" s="37">
        <f>Bill!$Y353</f>
        <v>45911</v>
      </c>
      <c r="L353" s="38">
        <f>Bill!$AA353*('Raw Data'!$E355+$L$2)</f>
        <v>0</v>
      </c>
      <c r="M353" s="38">
        <f>Bill!$AB353*('Raw Data'!$E355+$M$2)</f>
        <v>0</v>
      </c>
      <c r="N353" s="38">
        <f>(('Raw Data'!$F355 * 2)-10)*Bill!$AC353</f>
        <v>0</v>
      </c>
      <c r="O353" s="38">
        <f>('Raw Data'!F355+Bill!$O$2)*Bill!$AD353</f>
        <v>0</v>
      </c>
      <c r="P353" s="38">
        <f>('Raw Data'!F355+Bill!$P$2)*Bill!$AE353</f>
        <v>0</v>
      </c>
      <c r="Q353" s="38">
        <f>Bill!$Z353*('Raw Data'!$E355+$Q$2)</f>
        <v>0</v>
      </c>
      <c r="R353" s="38">
        <f>('Raw Data'!F355+Bill!$R$2)*Bill!$AF353</f>
        <v>0</v>
      </c>
      <c r="S353" s="48">
        <f>('Raw Data'!G355/100)*Bill!$AG353</f>
        <v>0</v>
      </c>
      <c r="T353" s="38">
        <f>SUM(Bill!$L353:$R353)</f>
        <v>0</v>
      </c>
      <c r="U353" s="49">
        <v>0.0</v>
      </c>
      <c r="V353" s="50"/>
      <c r="W353" s="38">
        <f>Bill!$U353-Bill!$T353</f>
        <v>0</v>
      </c>
      <c r="Y353" s="37">
        <f>'Raw Data'!D355</f>
        <v>45911</v>
      </c>
      <c r="Z353" s="47"/>
      <c r="AA353" s="47"/>
      <c r="AB353" s="47"/>
      <c r="AC353" s="47"/>
      <c r="AD353" s="47"/>
      <c r="AE353" s="47"/>
      <c r="AF353" s="47"/>
      <c r="AG353" s="47"/>
    </row>
    <row r="354" ht="15.75" customHeight="1">
      <c r="A354" s="35">
        <f>Bill!$Y354</f>
        <v>45912</v>
      </c>
      <c r="B354" s="43">
        <f>'Raw Data'!E356+Bill!$L$2</f>
        <v>152</v>
      </c>
      <c r="C354" s="43">
        <f>'Raw Data'!E356+Bill!$M$2</f>
        <v>157</v>
      </c>
      <c r="D354" s="43">
        <f>('Raw Data'!$F356*2)-10</f>
        <v>230</v>
      </c>
      <c r="E354" s="43">
        <f>'Raw Data'!F356+Bill!$O$2</f>
        <v>140</v>
      </c>
      <c r="F354" s="43">
        <f>'Raw Data'!F356+Bill!$P$2</f>
        <v>145</v>
      </c>
      <c r="G354" s="43">
        <f>'Raw Data'!E356+Bill!$Q$2</f>
        <v>182</v>
      </c>
      <c r="H354" s="43">
        <f>('Raw Data'!F356+Bill!$R$2)</f>
        <v>140</v>
      </c>
      <c r="I354" s="36">
        <f>'Raw Data'!G356/100</f>
        <v>5.7</v>
      </c>
      <c r="K354" s="37">
        <f>Bill!$Y354</f>
        <v>45912</v>
      </c>
      <c r="L354" s="38">
        <f>Bill!$AA354*('Raw Data'!$E356+$L$2)</f>
        <v>1565.6</v>
      </c>
      <c r="M354" s="38">
        <f>Bill!$AB354*('Raw Data'!$E356+$M$2)</f>
        <v>2386.4</v>
      </c>
      <c r="N354" s="38">
        <f>(('Raw Data'!$F356 * 2)-10)*Bill!$AC354</f>
        <v>1150</v>
      </c>
      <c r="O354" s="38">
        <f>('Raw Data'!F356+Bill!$O$2)*Bill!$AD354</f>
        <v>322</v>
      </c>
      <c r="P354" s="38">
        <f>('Raw Data'!F356+Bill!$P$2)*Bill!$AE354</f>
        <v>435</v>
      </c>
      <c r="Q354" s="38">
        <f>Bill!$Z354*('Raw Data'!$E356+$Q$2)</f>
        <v>0</v>
      </c>
      <c r="R354" s="38">
        <f>('Raw Data'!F356+Bill!$R$2)*Bill!$AF354</f>
        <v>0</v>
      </c>
      <c r="S354" s="48">
        <f>('Raw Data'!G356/100)*Bill!$AG354</f>
        <v>0</v>
      </c>
      <c r="T354" s="38">
        <f>SUM(Bill!$L354:$R354)</f>
        <v>5859</v>
      </c>
      <c r="U354" s="49">
        <v>5930.0</v>
      </c>
      <c r="V354" s="50"/>
      <c r="W354" s="38">
        <f>Bill!$U354-Bill!$T354</f>
        <v>71</v>
      </c>
      <c r="Y354" s="37">
        <f>'Raw Data'!D356</f>
        <v>45912</v>
      </c>
      <c r="Z354" s="47"/>
      <c r="AA354" s="47">
        <v>10.3</v>
      </c>
      <c r="AB354" s="47">
        <v>15.2</v>
      </c>
      <c r="AC354" s="47">
        <v>5.0</v>
      </c>
      <c r="AD354" s="47">
        <v>2.3</v>
      </c>
      <c r="AE354" s="47">
        <v>3.0</v>
      </c>
      <c r="AF354" s="47"/>
      <c r="AG354" s="47"/>
    </row>
    <row r="355" ht="15.75" customHeight="1">
      <c r="A355" s="35">
        <f>Bill!$Y355</f>
        <v>45913</v>
      </c>
      <c r="B355" s="43">
        <f>'Raw Data'!E357+Bill!$L$2</f>
        <v>152</v>
      </c>
      <c r="C355" s="43">
        <f>'Raw Data'!E357+Bill!$M$2</f>
        <v>157</v>
      </c>
      <c r="D355" s="43">
        <f>('Raw Data'!$F357*2)-10</f>
        <v>226</v>
      </c>
      <c r="E355" s="43">
        <f>'Raw Data'!F357+Bill!$O$2</f>
        <v>138</v>
      </c>
      <c r="F355" s="43">
        <f>'Raw Data'!F357+Bill!$P$2</f>
        <v>143</v>
      </c>
      <c r="G355" s="43">
        <f>'Raw Data'!E357+Bill!$Q$2</f>
        <v>182</v>
      </c>
      <c r="H355" s="43">
        <f>('Raw Data'!F357+Bill!$R$2)</f>
        <v>138</v>
      </c>
      <c r="I355" s="36">
        <f>'Raw Data'!G357/100</f>
        <v>5.7</v>
      </c>
      <c r="K355" s="37">
        <f>Bill!$Y355</f>
        <v>45913</v>
      </c>
      <c r="L355" s="38">
        <f>Bill!$AA355*('Raw Data'!$E357+$L$2)</f>
        <v>744.8</v>
      </c>
      <c r="M355" s="38">
        <f>Bill!$AB355*('Raw Data'!$E357+$M$2)</f>
        <v>847.8</v>
      </c>
      <c r="N355" s="38">
        <f>(('Raw Data'!$F357 * 2)-10)*Bill!$AC355</f>
        <v>678</v>
      </c>
      <c r="O355" s="38">
        <f>('Raw Data'!F357+Bill!$O$2)*Bill!$AD355</f>
        <v>0</v>
      </c>
      <c r="P355" s="38">
        <f>('Raw Data'!F357+Bill!$P$2)*Bill!$AE355</f>
        <v>0</v>
      </c>
      <c r="Q355" s="38">
        <f>Bill!$Z355*('Raw Data'!$E357+$Q$2)</f>
        <v>0</v>
      </c>
      <c r="R355" s="38">
        <f>('Raw Data'!F357+Bill!$R$2)*Bill!$AF355</f>
        <v>0</v>
      </c>
      <c r="S355" s="48">
        <f>('Raw Data'!G357/100)*Bill!$AG355</f>
        <v>0</v>
      </c>
      <c r="T355" s="38">
        <f>SUM(Bill!$L355:$R355)</f>
        <v>2270.6</v>
      </c>
      <c r="U355" s="49">
        <v>2277.0</v>
      </c>
      <c r="V355" s="50"/>
      <c r="W355" s="38">
        <f>Bill!$U355-Bill!$T355</f>
        <v>6.4</v>
      </c>
      <c r="Y355" s="37">
        <f>'Raw Data'!D357</f>
        <v>45913</v>
      </c>
      <c r="Z355" s="47"/>
      <c r="AA355" s="47">
        <v>4.9</v>
      </c>
      <c r="AB355" s="47">
        <v>5.4</v>
      </c>
      <c r="AC355" s="47">
        <v>3.0</v>
      </c>
      <c r="AD355" s="47"/>
      <c r="AE355" s="47"/>
      <c r="AF355" s="47"/>
      <c r="AG355" s="47"/>
    </row>
    <row r="356" ht="15.75" customHeight="1">
      <c r="A356" s="35">
        <f>Bill!$Y356</f>
        <v>45914</v>
      </c>
      <c r="B356" s="43">
        <f>'Raw Data'!E358+Bill!$L$2</f>
        <v>152</v>
      </c>
      <c r="C356" s="43">
        <f>'Raw Data'!E358+Bill!$M$2</f>
        <v>157</v>
      </c>
      <c r="D356" s="43">
        <f>('Raw Data'!$F358*2)-10</f>
        <v>226</v>
      </c>
      <c r="E356" s="43">
        <f>'Raw Data'!F358+Bill!$O$2</f>
        <v>138</v>
      </c>
      <c r="F356" s="43">
        <f>'Raw Data'!F358+Bill!$P$2</f>
        <v>143</v>
      </c>
      <c r="G356" s="43">
        <f>'Raw Data'!E358+Bill!$Q$2</f>
        <v>182</v>
      </c>
      <c r="H356" s="43">
        <f>('Raw Data'!F358+Bill!$R$2)</f>
        <v>138</v>
      </c>
      <c r="I356" s="36">
        <f>'Raw Data'!G358/100</f>
        <v>5.7</v>
      </c>
      <c r="K356" s="37">
        <f>Bill!$Y356</f>
        <v>45914</v>
      </c>
      <c r="L356" s="38">
        <f>Bill!$AA356*('Raw Data'!$E358+$L$2)</f>
        <v>0</v>
      </c>
      <c r="M356" s="38">
        <f>Bill!$AB356*('Raw Data'!$E358+$M$2)</f>
        <v>628</v>
      </c>
      <c r="N356" s="38">
        <f>(('Raw Data'!$F358 * 2)-10)*Bill!$AC356</f>
        <v>904</v>
      </c>
      <c r="O356" s="38">
        <f>('Raw Data'!F358+Bill!$O$2)*Bill!$AD356</f>
        <v>0</v>
      </c>
      <c r="P356" s="38">
        <f>('Raw Data'!F358+Bill!$P$2)*Bill!$AE356</f>
        <v>429</v>
      </c>
      <c r="Q356" s="38">
        <f>Bill!$Z356*('Raw Data'!$E358+$Q$2)</f>
        <v>928.2</v>
      </c>
      <c r="R356" s="38">
        <f>('Raw Data'!F358+Bill!$R$2)*Bill!$AF356</f>
        <v>0</v>
      </c>
      <c r="S356" s="48">
        <f>('Raw Data'!G358/100)*Bill!$AG356</f>
        <v>0</v>
      </c>
      <c r="T356" s="38">
        <f>SUM(Bill!$L356:$R356)</f>
        <v>2889.2</v>
      </c>
      <c r="U356" s="49">
        <v>2872.0</v>
      </c>
      <c r="V356" s="50"/>
      <c r="W356" s="38">
        <f>Bill!$U356-Bill!$T356</f>
        <v>-17.2</v>
      </c>
      <c r="Y356" s="37">
        <f>'Raw Data'!D358</f>
        <v>45914</v>
      </c>
      <c r="Z356" s="47">
        <v>5.1</v>
      </c>
      <c r="AA356" s="47">
        <v>0.0</v>
      </c>
      <c r="AB356" s="47">
        <v>4.0</v>
      </c>
      <c r="AC356" s="47">
        <v>4.0</v>
      </c>
      <c r="AD356" s="47"/>
      <c r="AE356" s="47">
        <v>3.0</v>
      </c>
      <c r="AF356" s="47"/>
      <c r="AG356" s="47"/>
    </row>
    <row r="357" ht="15.75" customHeight="1">
      <c r="A357" s="35">
        <f>Bill!$Y357</f>
        <v>45915</v>
      </c>
      <c r="B357" s="43">
        <f>'Raw Data'!E359+Bill!$L$2</f>
        <v>152</v>
      </c>
      <c r="C357" s="43">
        <f>'Raw Data'!E359+Bill!$M$2</f>
        <v>157</v>
      </c>
      <c r="D357" s="43">
        <f>('Raw Data'!$F359*2)-10</f>
        <v>226</v>
      </c>
      <c r="E357" s="43">
        <f>'Raw Data'!F359+Bill!$O$2</f>
        <v>138</v>
      </c>
      <c r="F357" s="43">
        <f>'Raw Data'!F359+Bill!$P$2</f>
        <v>143</v>
      </c>
      <c r="G357" s="43">
        <f>'Raw Data'!E359+Bill!$Q$2</f>
        <v>182</v>
      </c>
      <c r="H357" s="43">
        <f>('Raw Data'!F359+Bill!$R$2)</f>
        <v>138</v>
      </c>
      <c r="I357" s="36">
        <f>'Raw Data'!G359/100</f>
        <v>5.8</v>
      </c>
      <c r="K357" s="37">
        <f>Bill!$Y357</f>
        <v>45915</v>
      </c>
      <c r="L357" s="38">
        <f>Bill!$AA357*('Raw Data'!$E359+$L$2)</f>
        <v>760</v>
      </c>
      <c r="M357" s="38">
        <f>Bill!$AB357*('Raw Data'!$E359+$M$2)</f>
        <v>1585.7</v>
      </c>
      <c r="N357" s="38">
        <f>(('Raw Data'!$F359 * 2)-10)*Bill!$AC357</f>
        <v>0</v>
      </c>
      <c r="O357" s="38">
        <f>('Raw Data'!F359+Bill!$O$2)*Bill!$AD357</f>
        <v>0</v>
      </c>
      <c r="P357" s="38">
        <f>('Raw Data'!F359+Bill!$P$2)*Bill!$AE357</f>
        <v>0</v>
      </c>
      <c r="Q357" s="38">
        <f>Bill!$Z357*('Raw Data'!$E359+$Q$2)</f>
        <v>0</v>
      </c>
      <c r="R357" s="38">
        <f>('Raw Data'!F359+Bill!$R$2)*Bill!$AF357</f>
        <v>0</v>
      </c>
      <c r="S357" s="48">
        <f>('Raw Data'!G359/100)*Bill!$AG357</f>
        <v>0</v>
      </c>
      <c r="T357" s="38">
        <f>SUM(Bill!$L357:$R357)</f>
        <v>2345.7</v>
      </c>
      <c r="U357" s="49">
        <v>2346.0</v>
      </c>
      <c r="V357" s="50"/>
      <c r="W357" s="38">
        <f>Bill!$U357-Bill!$T357</f>
        <v>0.3</v>
      </c>
      <c r="Y357" s="37">
        <f>'Raw Data'!D359</f>
        <v>45915</v>
      </c>
      <c r="Z357" s="47">
        <v>0.0</v>
      </c>
      <c r="AA357" s="47">
        <v>5.0</v>
      </c>
      <c r="AB357" s="47">
        <v>10.1</v>
      </c>
      <c r="AC357" s="47">
        <v>0.0</v>
      </c>
      <c r="AD357" s="47">
        <v>0.0</v>
      </c>
      <c r="AE357" s="47">
        <v>0.0</v>
      </c>
      <c r="AF357" s="47">
        <v>0.0</v>
      </c>
      <c r="AG357" s="47">
        <v>0.0</v>
      </c>
    </row>
    <row r="358" ht="15.75" customHeight="1">
      <c r="A358" s="35">
        <f>Bill!$Y358</f>
        <v>45916</v>
      </c>
      <c r="B358" s="43">
        <f>'Raw Data'!E360+Bill!$L$2</f>
        <v>152</v>
      </c>
      <c r="C358" s="43">
        <f>'Raw Data'!E360+Bill!$M$2</f>
        <v>157</v>
      </c>
      <c r="D358" s="43">
        <f>('Raw Data'!$F360*2)-10</f>
        <v>230</v>
      </c>
      <c r="E358" s="43">
        <f>'Raw Data'!F360+Bill!$O$2</f>
        <v>140</v>
      </c>
      <c r="F358" s="43">
        <f>'Raw Data'!F360+Bill!$P$2</f>
        <v>145</v>
      </c>
      <c r="G358" s="43">
        <f>'Raw Data'!E360+Bill!$Q$2</f>
        <v>182</v>
      </c>
      <c r="H358" s="43">
        <f>('Raw Data'!F360+Bill!$R$2)</f>
        <v>140</v>
      </c>
      <c r="I358" s="36">
        <f>'Raw Data'!G360/100</f>
        <v>5.9</v>
      </c>
      <c r="K358" s="37">
        <f>Bill!$Y358</f>
        <v>45916</v>
      </c>
      <c r="L358" s="38">
        <f>Bill!$AA358*('Raw Data'!$E360+$L$2)</f>
        <v>775.2</v>
      </c>
      <c r="M358" s="38">
        <f>Bill!$AB358*('Raw Data'!$E360+$M$2)</f>
        <v>471</v>
      </c>
      <c r="N358" s="38">
        <f>(('Raw Data'!$F360 * 2)-10)*Bill!$AC358</f>
        <v>1150</v>
      </c>
      <c r="O358" s="38">
        <f>('Raw Data'!F360+Bill!$O$2)*Bill!$AD358</f>
        <v>0</v>
      </c>
      <c r="P358" s="38">
        <f>('Raw Data'!F360+Bill!$P$2)*Bill!$AE358</f>
        <v>0</v>
      </c>
      <c r="Q358" s="38">
        <f>Bill!$Z358*('Raw Data'!$E360+$Q$2)</f>
        <v>0</v>
      </c>
      <c r="R358" s="38">
        <f>('Raw Data'!F360+Bill!$R$2)*Bill!$AF358</f>
        <v>0</v>
      </c>
      <c r="S358" s="48">
        <f>('Raw Data'!G360/100)*Bill!$AG358</f>
        <v>0</v>
      </c>
      <c r="T358" s="38">
        <f>SUM(Bill!$L358:$R358)</f>
        <v>2396.2</v>
      </c>
      <c r="U358" s="49">
        <v>2396.0</v>
      </c>
      <c r="V358" s="50"/>
      <c r="W358" s="38">
        <f>Bill!$U358-Bill!$T358</f>
        <v>-0.2</v>
      </c>
      <c r="Y358" s="37">
        <f>'Raw Data'!D360</f>
        <v>45916</v>
      </c>
      <c r="Z358" s="47"/>
      <c r="AA358" s="47">
        <v>5.1</v>
      </c>
      <c r="AB358" s="47">
        <v>3.0</v>
      </c>
      <c r="AC358" s="47">
        <v>5.0</v>
      </c>
      <c r="AD358" s="47">
        <v>0.0</v>
      </c>
      <c r="AE358" s="47">
        <v>0.0</v>
      </c>
      <c r="AF358" s="47">
        <v>0.0</v>
      </c>
      <c r="AG358" s="47">
        <v>0.0</v>
      </c>
    </row>
    <row r="359" ht="15.75" customHeight="1">
      <c r="A359" s="35">
        <f>Bill!$Y359</f>
        <v>45917</v>
      </c>
      <c r="B359" s="43">
        <f>'Raw Data'!E361+Bill!$L$2</f>
        <v>152</v>
      </c>
      <c r="C359" s="43">
        <f>'Raw Data'!E361+Bill!$M$2</f>
        <v>157</v>
      </c>
      <c r="D359" s="43">
        <f>('Raw Data'!$F361*2)-10</f>
        <v>230</v>
      </c>
      <c r="E359" s="43">
        <f>'Raw Data'!F361+Bill!$O$2</f>
        <v>140</v>
      </c>
      <c r="F359" s="43">
        <f>'Raw Data'!F361+Bill!$P$2</f>
        <v>145</v>
      </c>
      <c r="G359" s="43">
        <f>'Raw Data'!E361+Bill!$Q$2</f>
        <v>182</v>
      </c>
      <c r="H359" s="43">
        <f>('Raw Data'!F361+Bill!$R$2)</f>
        <v>140</v>
      </c>
      <c r="I359" s="36">
        <f>'Raw Data'!G361/100</f>
        <v>5.9</v>
      </c>
      <c r="K359" s="37">
        <f>Bill!$Y359</f>
        <v>45917</v>
      </c>
      <c r="L359" s="38">
        <f>Bill!$AA359*('Raw Data'!$E361+$L$2)</f>
        <v>1216</v>
      </c>
      <c r="M359" s="38">
        <f>Bill!$AB359*('Raw Data'!$E361+$M$2)</f>
        <v>1601.4</v>
      </c>
      <c r="N359" s="38">
        <f>(('Raw Data'!$F361 * 2)-10)*Bill!$AC359</f>
        <v>920</v>
      </c>
      <c r="O359" s="38">
        <f>('Raw Data'!F361+Bill!$O$2)*Bill!$AD359</f>
        <v>0</v>
      </c>
      <c r="P359" s="38">
        <f>('Raw Data'!F361+Bill!$P$2)*Bill!$AE359</f>
        <v>0</v>
      </c>
      <c r="Q359" s="38">
        <f>Bill!$Z359*('Raw Data'!$E361+$Q$2)</f>
        <v>0</v>
      </c>
      <c r="R359" s="38">
        <f>('Raw Data'!F361+Bill!$R$2)*Bill!$AF359</f>
        <v>0</v>
      </c>
      <c r="S359" s="48">
        <f>('Raw Data'!G361/100)*Bill!$AG359</f>
        <v>0</v>
      </c>
      <c r="T359" s="38">
        <f>SUM(Bill!$L359:$R359)</f>
        <v>3737.4</v>
      </c>
      <c r="U359" s="49">
        <v>3737.0</v>
      </c>
      <c r="V359" s="50"/>
      <c r="W359" s="38">
        <f>Bill!$U359-Bill!$T359</f>
        <v>-0.4</v>
      </c>
      <c r="Y359" s="37">
        <f>'Raw Data'!D361</f>
        <v>45917</v>
      </c>
      <c r="Z359" s="47">
        <v>0.0</v>
      </c>
      <c r="AA359" s="47">
        <v>8.0</v>
      </c>
      <c r="AB359" s="47">
        <v>10.2</v>
      </c>
      <c r="AC359" s="47">
        <v>4.0</v>
      </c>
      <c r="AD359" s="47">
        <v>0.0</v>
      </c>
      <c r="AE359" s="47">
        <v>0.0</v>
      </c>
      <c r="AF359" s="47">
        <v>0.0</v>
      </c>
      <c r="AG359" s="47"/>
    </row>
    <row r="360" ht="15.75" customHeight="1">
      <c r="A360" s="35">
        <f>Bill!$Y360</f>
        <v>45918</v>
      </c>
      <c r="B360" s="43">
        <f>'Raw Data'!E362+Bill!$L$2</f>
        <v>152</v>
      </c>
      <c r="C360" s="43">
        <f>'Raw Data'!E362+Bill!$M$2</f>
        <v>157</v>
      </c>
      <c r="D360" s="43">
        <f>('Raw Data'!$F362*2)-10</f>
        <v>230</v>
      </c>
      <c r="E360" s="43">
        <f>'Raw Data'!F362+Bill!$O$2</f>
        <v>140</v>
      </c>
      <c r="F360" s="43">
        <f>'Raw Data'!F362+Bill!$P$2</f>
        <v>145</v>
      </c>
      <c r="G360" s="43">
        <f>'Raw Data'!E362+Bill!$Q$2</f>
        <v>182</v>
      </c>
      <c r="H360" s="43">
        <f>('Raw Data'!F362+Bill!$R$2)</f>
        <v>140</v>
      </c>
      <c r="I360" s="36">
        <f>'Raw Data'!G362/100</f>
        <v>5.9</v>
      </c>
      <c r="K360" s="37">
        <f>Bill!$Y360</f>
        <v>45918</v>
      </c>
      <c r="L360" s="38">
        <f>Bill!$AA360*('Raw Data'!$E362+$L$2)</f>
        <v>805.6</v>
      </c>
      <c r="M360" s="38">
        <f>Bill!$AB360*('Raw Data'!$E362+$M$2)</f>
        <v>816.4</v>
      </c>
      <c r="N360" s="38">
        <f>(('Raw Data'!$F362 * 2)-10)*Bill!$AC360</f>
        <v>1150</v>
      </c>
      <c r="O360" s="38">
        <f>('Raw Data'!F362+Bill!$O$2)*Bill!$AD360</f>
        <v>0</v>
      </c>
      <c r="P360" s="38">
        <f>('Raw Data'!F362+Bill!$P$2)*Bill!$AE360</f>
        <v>435</v>
      </c>
      <c r="Q360" s="38">
        <f>Bill!$Z360*('Raw Data'!$E362+$Q$2)</f>
        <v>0</v>
      </c>
      <c r="R360" s="38">
        <f>('Raw Data'!F362+Bill!$R$2)*Bill!$AF360</f>
        <v>0</v>
      </c>
      <c r="S360" s="48">
        <f>('Raw Data'!G362/100)*Bill!$AG360</f>
        <v>354</v>
      </c>
      <c r="T360" s="38">
        <f>SUM(Bill!$L360:$R360)</f>
        <v>3207</v>
      </c>
      <c r="U360" s="49">
        <v>3222.0</v>
      </c>
      <c r="V360" s="50"/>
      <c r="W360" s="38">
        <f>Bill!$U360-Bill!$T360</f>
        <v>15</v>
      </c>
      <c r="Y360" s="37">
        <f>'Raw Data'!D362</f>
        <v>45918</v>
      </c>
      <c r="Z360" s="47">
        <v>0.0</v>
      </c>
      <c r="AA360" s="47">
        <v>5.3</v>
      </c>
      <c r="AB360" s="47">
        <v>5.2</v>
      </c>
      <c r="AC360" s="47">
        <v>5.0</v>
      </c>
      <c r="AD360" s="47">
        <v>0.0</v>
      </c>
      <c r="AE360" s="47">
        <v>3.0</v>
      </c>
      <c r="AF360" s="47"/>
      <c r="AG360" s="47">
        <v>60.0</v>
      </c>
    </row>
    <row r="361" ht="15.75" customHeight="1">
      <c r="A361" s="35">
        <f>Bill!$Y361</f>
        <v>45919</v>
      </c>
      <c r="B361" s="43">
        <f>'Raw Data'!E363+Bill!$L$2</f>
        <v>152</v>
      </c>
      <c r="C361" s="43">
        <f>'Raw Data'!E363+Bill!$M$2</f>
        <v>157</v>
      </c>
      <c r="D361" s="43">
        <f>('Raw Data'!$F363*2)-10</f>
        <v>234</v>
      </c>
      <c r="E361" s="43">
        <f>'Raw Data'!F363+Bill!$O$2</f>
        <v>142</v>
      </c>
      <c r="F361" s="43">
        <f>'Raw Data'!F363+Bill!$P$2</f>
        <v>147</v>
      </c>
      <c r="G361" s="43">
        <f>'Raw Data'!E363+Bill!$Q$2</f>
        <v>182</v>
      </c>
      <c r="H361" s="43">
        <f>('Raw Data'!F363+Bill!$R$2)</f>
        <v>142</v>
      </c>
      <c r="I361" s="36">
        <f>'Raw Data'!G363/100</f>
        <v>5.9</v>
      </c>
      <c r="K361" s="37">
        <f>Bill!$Y361</f>
        <v>45919</v>
      </c>
      <c r="L361" s="38">
        <f>Bill!$AA361*('Raw Data'!$E363+$L$2)</f>
        <v>760</v>
      </c>
      <c r="M361" s="38">
        <f>Bill!$AB361*('Raw Data'!$E363+$M$2)</f>
        <v>800.7</v>
      </c>
      <c r="N361" s="38">
        <f>(('Raw Data'!$F363 * 2)-10)*Bill!$AC361</f>
        <v>468</v>
      </c>
      <c r="O361" s="38">
        <f>('Raw Data'!F363+Bill!$O$2)*Bill!$AD361</f>
        <v>0</v>
      </c>
      <c r="P361" s="38">
        <f>('Raw Data'!F363+Bill!$P$2)*Bill!$AE361</f>
        <v>147</v>
      </c>
      <c r="Q361" s="38">
        <f>Bill!$Z361*('Raw Data'!$E363+$Q$2)</f>
        <v>0</v>
      </c>
      <c r="R361" s="38">
        <f>('Raw Data'!F363+Bill!$R$2)*Bill!$AF361</f>
        <v>0</v>
      </c>
      <c r="S361" s="48">
        <f>('Raw Data'!G363/100)*Bill!$AG361</f>
        <v>0</v>
      </c>
      <c r="T361" s="38">
        <f>SUM(Bill!$L361:$R361)</f>
        <v>2175.7</v>
      </c>
      <c r="U361" s="49">
        <v>2180.0</v>
      </c>
      <c r="V361" s="50"/>
      <c r="W361" s="38">
        <f>Bill!$U361-Bill!$T361</f>
        <v>4.3</v>
      </c>
      <c r="Y361" s="37">
        <f>'Raw Data'!D363</f>
        <v>45919</v>
      </c>
      <c r="Z361" s="47">
        <v>0.0</v>
      </c>
      <c r="AA361" s="47">
        <v>5.0</v>
      </c>
      <c r="AB361" s="47">
        <v>5.1</v>
      </c>
      <c r="AC361" s="47">
        <v>2.0</v>
      </c>
      <c r="AD361" s="47">
        <v>0.0</v>
      </c>
      <c r="AE361" s="47">
        <v>1.0</v>
      </c>
      <c r="AF361" s="47">
        <v>0.0</v>
      </c>
      <c r="AG361" s="47"/>
    </row>
    <row r="362" ht="15.75" customHeight="1">
      <c r="A362" s="35">
        <f>Bill!$Y362</f>
        <v>45920</v>
      </c>
      <c r="B362" s="43">
        <f>'Raw Data'!E364+Bill!$L$2</f>
        <v>152</v>
      </c>
      <c r="C362" s="43">
        <f>'Raw Data'!E364+Bill!$M$2</f>
        <v>157</v>
      </c>
      <c r="D362" s="43">
        <f>('Raw Data'!$F364*2)-10</f>
        <v>234</v>
      </c>
      <c r="E362" s="43">
        <f>'Raw Data'!F364+Bill!$O$2</f>
        <v>142</v>
      </c>
      <c r="F362" s="43">
        <f>'Raw Data'!F364+Bill!$P$2</f>
        <v>147</v>
      </c>
      <c r="G362" s="43">
        <f>'Raw Data'!E364+Bill!$Q$2</f>
        <v>182</v>
      </c>
      <c r="H362" s="43">
        <f>('Raw Data'!F364+Bill!$R$2)</f>
        <v>142</v>
      </c>
      <c r="I362" s="36">
        <f>'Raw Data'!G364/100</f>
        <v>5.9</v>
      </c>
      <c r="K362" s="37">
        <f>Bill!$Y362</f>
        <v>45920</v>
      </c>
      <c r="L362" s="38">
        <f>Bill!$AA362*('Raw Data'!$E364+$L$2)</f>
        <v>0</v>
      </c>
      <c r="M362" s="38">
        <f>Bill!$AB362*('Raw Data'!$E364+$M$2)</f>
        <v>3140</v>
      </c>
      <c r="N362" s="38">
        <f>(('Raw Data'!$F364 * 2)-10)*Bill!$AC362</f>
        <v>1170</v>
      </c>
      <c r="O362" s="38">
        <f>('Raw Data'!F364+Bill!$O$2)*Bill!$AD362</f>
        <v>284</v>
      </c>
      <c r="P362" s="38">
        <f>('Raw Data'!F364+Bill!$P$2)*Bill!$AE362</f>
        <v>0</v>
      </c>
      <c r="Q362" s="38">
        <f>Bill!$Z362*('Raw Data'!$E364+$Q$2)</f>
        <v>0</v>
      </c>
      <c r="R362" s="38">
        <f>('Raw Data'!F364+Bill!$R$2)*Bill!$AF362</f>
        <v>0</v>
      </c>
      <c r="S362" s="48">
        <f>('Raw Data'!G364/100)*Bill!$AG362</f>
        <v>354</v>
      </c>
      <c r="T362" s="38">
        <f>SUM(Bill!$L362:$R362)</f>
        <v>4594</v>
      </c>
      <c r="U362" s="49">
        <v>4594.0</v>
      </c>
      <c r="V362" s="50"/>
      <c r="W362" s="38">
        <f>Bill!$U362-Bill!$T362</f>
        <v>0</v>
      </c>
      <c r="Y362" s="37">
        <f>'Raw Data'!D364</f>
        <v>45920</v>
      </c>
      <c r="Z362" s="47">
        <v>0.0</v>
      </c>
      <c r="AA362" s="47">
        <v>0.0</v>
      </c>
      <c r="AB362" s="47">
        <v>20.0</v>
      </c>
      <c r="AC362" s="47">
        <v>5.0</v>
      </c>
      <c r="AD362" s="47">
        <v>2.0</v>
      </c>
      <c r="AE362" s="47">
        <v>0.0</v>
      </c>
      <c r="AF362" s="47"/>
      <c r="AG362" s="47">
        <v>60.0</v>
      </c>
    </row>
    <row r="363" ht="15.75" customHeight="1">
      <c r="A363" s="35">
        <f>Bill!$Y363</f>
        <v>45921</v>
      </c>
      <c r="B363" s="43">
        <f>'Raw Data'!E365+Bill!$L$2</f>
        <v>152</v>
      </c>
      <c r="C363" s="43">
        <f>'Raw Data'!E365+Bill!$M$2</f>
        <v>157</v>
      </c>
      <c r="D363" s="43">
        <f>('Raw Data'!$F365*2)-10</f>
        <v>234</v>
      </c>
      <c r="E363" s="43">
        <f>'Raw Data'!F365+Bill!$O$2</f>
        <v>142</v>
      </c>
      <c r="F363" s="43">
        <f>'Raw Data'!F365+Bill!$P$2</f>
        <v>147</v>
      </c>
      <c r="G363" s="43">
        <f>'Raw Data'!E365+Bill!$Q$2</f>
        <v>182</v>
      </c>
      <c r="H363" s="43">
        <f>('Raw Data'!F365+Bill!$R$2)</f>
        <v>142</v>
      </c>
      <c r="I363" s="36">
        <f>'Raw Data'!G365/100</f>
        <v>5.9</v>
      </c>
      <c r="K363" s="37">
        <f>Bill!$Y363</f>
        <v>45921</v>
      </c>
      <c r="L363" s="38">
        <f>Bill!$AA363*('Raw Data'!$E365+$L$2)</f>
        <v>752.4</v>
      </c>
      <c r="M363" s="38">
        <f>Bill!$AB363*('Raw Data'!$E365+$M$2)</f>
        <v>785</v>
      </c>
      <c r="N363" s="38">
        <f>(('Raw Data'!$F365 * 2)-10)*Bill!$AC363</f>
        <v>702</v>
      </c>
      <c r="O363" s="38">
        <f>('Raw Data'!F365+Bill!$O$2)*Bill!$AD363</f>
        <v>0</v>
      </c>
      <c r="P363" s="38">
        <f>('Raw Data'!F365+Bill!$P$2)*Bill!$AE363</f>
        <v>441</v>
      </c>
      <c r="Q363" s="38">
        <f>Bill!$Z363*('Raw Data'!$E365+$Q$2)</f>
        <v>0</v>
      </c>
      <c r="R363" s="38">
        <f>('Raw Data'!F365+Bill!$R$2)*Bill!$AF363</f>
        <v>0</v>
      </c>
      <c r="S363" s="48">
        <f>('Raw Data'!G365/100)*Bill!$AG363</f>
        <v>0</v>
      </c>
      <c r="T363" s="38">
        <f>SUM(Bill!$L363:$R363)</f>
        <v>2680.4</v>
      </c>
      <c r="U363" s="49">
        <v>2695.0</v>
      </c>
      <c r="V363" s="50"/>
      <c r="W363" s="38">
        <f>Bill!$U363-Bill!$T363</f>
        <v>14.6</v>
      </c>
      <c r="Y363" s="37">
        <f>'Raw Data'!D365</f>
        <v>45921</v>
      </c>
      <c r="Z363" s="47"/>
      <c r="AA363" s="47">
        <v>4.95</v>
      </c>
      <c r="AB363" s="47">
        <v>5.0</v>
      </c>
      <c r="AC363" s="47">
        <v>3.0</v>
      </c>
      <c r="AD363" s="47"/>
      <c r="AE363" s="47">
        <v>3.0</v>
      </c>
      <c r="AF363" s="47"/>
      <c r="AG363" s="47"/>
    </row>
    <row r="364" ht="15.75" customHeight="1">
      <c r="A364" s="35">
        <f>Bill!$Y364</f>
        <v>45922</v>
      </c>
      <c r="B364" s="43">
        <f>'Raw Data'!E366+Bill!$L$2</f>
        <v>152</v>
      </c>
      <c r="C364" s="43">
        <f>'Raw Data'!E366+Bill!$M$2</f>
        <v>157</v>
      </c>
      <c r="D364" s="43">
        <f>('Raw Data'!$F366*2)-10</f>
        <v>226</v>
      </c>
      <c r="E364" s="43">
        <f>'Raw Data'!F366+Bill!$O$2</f>
        <v>138</v>
      </c>
      <c r="F364" s="43">
        <f>'Raw Data'!F366+Bill!$P$2</f>
        <v>143</v>
      </c>
      <c r="G364" s="43">
        <f>'Raw Data'!E366+Bill!$Q$2</f>
        <v>182</v>
      </c>
      <c r="H364" s="43">
        <f>('Raw Data'!F366+Bill!$R$2)</f>
        <v>138</v>
      </c>
      <c r="I364" s="36">
        <f>'Raw Data'!G366/100</f>
        <v>5.8</v>
      </c>
      <c r="K364" s="37">
        <f>Bill!$Y364</f>
        <v>45922</v>
      </c>
      <c r="L364" s="38">
        <f>Bill!$AA364*('Raw Data'!$E366+$L$2)</f>
        <v>0</v>
      </c>
      <c r="M364" s="38">
        <f>Bill!$AB364*('Raw Data'!$E366+$M$2)</f>
        <v>1570</v>
      </c>
      <c r="N364" s="38">
        <f>(('Raw Data'!$F366 * 2)-10)*Bill!$AC364</f>
        <v>678</v>
      </c>
      <c r="O364" s="38">
        <f>('Raw Data'!F366+Bill!$O$2)*Bill!$AD364</f>
        <v>0</v>
      </c>
      <c r="P364" s="38">
        <f>('Raw Data'!F366+Bill!$P$2)*Bill!$AE364</f>
        <v>0</v>
      </c>
      <c r="Q364" s="38">
        <f>Bill!$Z364*('Raw Data'!$E366+$Q$2)</f>
        <v>0</v>
      </c>
      <c r="R364" s="38">
        <f>('Raw Data'!F366+Bill!$R$2)*Bill!$AF364</f>
        <v>0</v>
      </c>
      <c r="S364" s="48">
        <f>('Raw Data'!G366/100)*Bill!$AG364</f>
        <v>0</v>
      </c>
      <c r="T364" s="38">
        <f>SUM(Bill!$L364:$R364)</f>
        <v>2248</v>
      </c>
      <c r="U364" s="49">
        <v>2248.0</v>
      </c>
      <c r="V364" s="50"/>
      <c r="W364" s="38">
        <f>Bill!$U364-Bill!$T364</f>
        <v>0</v>
      </c>
      <c r="Y364" s="37">
        <f>'Raw Data'!D366</f>
        <v>45922</v>
      </c>
      <c r="Z364" s="47">
        <v>0.0</v>
      </c>
      <c r="AA364" s="47">
        <v>0.0</v>
      </c>
      <c r="AB364" s="47">
        <v>10.0</v>
      </c>
      <c r="AC364" s="47">
        <v>3.0</v>
      </c>
      <c r="AD364" s="47"/>
      <c r="AE364" s="47"/>
      <c r="AF364" s="47"/>
      <c r="AG364" s="47"/>
    </row>
    <row r="365" ht="15.75" customHeight="1">
      <c r="A365" s="35">
        <f>Bill!$Y365</f>
        <v>45923</v>
      </c>
      <c r="B365" s="43">
        <f>'Raw Data'!E367+Bill!$L$2</f>
        <v>152</v>
      </c>
      <c r="C365" s="43">
        <f>'Raw Data'!E367+Bill!$M$2</f>
        <v>157</v>
      </c>
      <c r="D365" s="43">
        <f>('Raw Data'!$F367*2)-10</f>
        <v>214</v>
      </c>
      <c r="E365" s="43">
        <f>'Raw Data'!F367+Bill!$O$2</f>
        <v>132</v>
      </c>
      <c r="F365" s="43">
        <f>'Raw Data'!F367+Bill!$P$2</f>
        <v>137</v>
      </c>
      <c r="G365" s="43">
        <f>'Raw Data'!E367+Bill!$Q$2</f>
        <v>182</v>
      </c>
      <c r="H365" s="43">
        <f>('Raw Data'!F367+Bill!$R$2)</f>
        <v>132</v>
      </c>
      <c r="I365" s="36">
        <f>'Raw Data'!G367/100</f>
        <v>5.8</v>
      </c>
      <c r="K365" s="37">
        <f>Bill!$Y365</f>
        <v>45923</v>
      </c>
      <c r="L365" s="38">
        <f>Bill!$AA365*('Raw Data'!$E367+$L$2)</f>
        <v>760</v>
      </c>
      <c r="M365" s="38">
        <f>Bill!$AB365*('Raw Data'!$E367+$M$2)</f>
        <v>785</v>
      </c>
      <c r="N365" s="38">
        <f>(('Raw Data'!$F367 * 2)-10)*Bill!$AC365</f>
        <v>428</v>
      </c>
      <c r="O365" s="38">
        <f>('Raw Data'!F367+Bill!$O$2)*Bill!$AD365</f>
        <v>0</v>
      </c>
      <c r="P365" s="38">
        <f>('Raw Data'!F367+Bill!$P$2)*Bill!$AE365</f>
        <v>137</v>
      </c>
      <c r="Q365" s="38">
        <f>Bill!$Z365*('Raw Data'!$E367+$Q$2)</f>
        <v>0</v>
      </c>
      <c r="R365" s="38">
        <f>('Raw Data'!F367+Bill!$R$2)*Bill!$AF365</f>
        <v>0</v>
      </c>
      <c r="S365" s="48">
        <f>('Raw Data'!G367/100)*Bill!$AG365</f>
        <v>348</v>
      </c>
      <c r="T365" s="38">
        <f>SUM(Bill!$L365:$R365)</f>
        <v>2110</v>
      </c>
      <c r="U365" s="49">
        <v>2115.0</v>
      </c>
      <c r="V365" s="50"/>
      <c r="W365" s="38">
        <f>Bill!$U365-Bill!$T365</f>
        <v>5</v>
      </c>
      <c r="Y365" s="37">
        <f>'Raw Data'!D367</f>
        <v>45923</v>
      </c>
      <c r="Z365" s="47">
        <v>0.0</v>
      </c>
      <c r="AA365" s="47">
        <v>5.0</v>
      </c>
      <c r="AB365" s="47">
        <v>5.0</v>
      </c>
      <c r="AC365" s="47">
        <v>2.0</v>
      </c>
      <c r="AD365" s="47">
        <v>0.0</v>
      </c>
      <c r="AE365" s="47">
        <v>1.0</v>
      </c>
      <c r="AF365" s="47"/>
      <c r="AG365" s="47">
        <v>60.0</v>
      </c>
    </row>
    <row r="366" ht="15.75" customHeight="1">
      <c r="A366" s="35">
        <f>Bill!$Y366</f>
        <v>45924</v>
      </c>
      <c r="B366" s="43">
        <f>'Raw Data'!E368+Bill!$L$2</f>
        <v>152</v>
      </c>
      <c r="C366" s="43">
        <f>'Raw Data'!E368+Bill!$M$2</f>
        <v>157</v>
      </c>
      <c r="D366" s="43">
        <f>('Raw Data'!$F368*2)-10</f>
        <v>204</v>
      </c>
      <c r="E366" s="43">
        <f>'Raw Data'!F368+Bill!$O$2</f>
        <v>127</v>
      </c>
      <c r="F366" s="43">
        <f>'Raw Data'!F368+Bill!$P$2</f>
        <v>132</v>
      </c>
      <c r="G366" s="43">
        <f>'Raw Data'!E368+Bill!$Q$2</f>
        <v>182</v>
      </c>
      <c r="H366" s="43">
        <f>('Raw Data'!F368+Bill!$R$2)</f>
        <v>127</v>
      </c>
      <c r="I366" s="36">
        <f>'Raw Data'!G368/100</f>
        <v>5.7</v>
      </c>
      <c r="K366" s="37">
        <f>Bill!$Y366</f>
        <v>45924</v>
      </c>
      <c r="L366" s="38">
        <f>Bill!$AA366*('Raw Data'!$E368+$L$2)</f>
        <v>653.6</v>
      </c>
      <c r="M366" s="38">
        <f>Bill!$AB366*('Raw Data'!$E368+$M$2)</f>
        <v>785</v>
      </c>
      <c r="N366" s="38">
        <f>(('Raw Data'!$F368 * 2)-10)*Bill!$AC366</f>
        <v>612</v>
      </c>
      <c r="O366" s="38">
        <f>('Raw Data'!F368+Bill!$O$2)*Bill!$AD366</f>
        <v>0</v>
      </c>
      <c r="P366" s="38">
        <f>('Raw Data'!F368+Bill!$P$2)*Bill!$AE366</f>
        <v>264</v>
      </c>
      <c r="Q366" s="38">
        <f>Bill!$Z366*('Raw Data'!$E368+$Q$2)</f>
        <v>0</v>
      </c>
      <c r="R366" s="38">
        <f>('Raw Data'!F368+Bill!$R$2)*Bill!$AF366</f>
        <v>0</v>
      </c>
      <c r="S366" s="48">
        <f>('Raw Data'!G368/100)*Bill!$AG366</f>
        <v>0</v>
      </c>
      <c r="T366" s="38">
        <f>SUM(Bill!$L366:$R366)</f>
        <v>2314.6</v>
      </c>
      <c r="U366" s="49">
        <v>2325.0</v>
      </c>
      <c r="V366" s="50"/>
      <c r="W366" s="38">
        <f>Bill!$U366-Bill!$T366</f>
        <v>10.4</v>
      </c>
      <c r="Y366" s="37">
        <f>'Raw Data'!D368</f>
        <v>45924</v>
      </c>
      <c r="Z366" s="47">
        <v>0.0</v>
      </c>
      <c r="AA366" s="47">
        <v>4.3</v>
      </c>
      <c r="AB366" s="47">
        <v>5.0</v>
      </c>
      <c r="AC366" s="47">
        <v>3.0</v>
      </c>
      <c r="AD366" s="47"/>
      <c r="AE366" s="47">
        <v>2.0</v>
      </c>
      <c r="AF366" s="47"/>
      <c r="AG366" s="47"/>
    </row>
    <row r="367" ht="15.75" customHeight="1">
      <c r="A367" s="35">
        <f>Bill!$Y367</f>
        <v>45925</v>
      </c>
      <c r="B367" s="43">
        <f>'Raw Data'!E369+Bill!$L$2</f>
        <v>152</v>
      </c>
      <c r="C367" s="43">
        <f>'Raw Data'!E369+Bill!$M$2</f>
        <v>157</v>
      </c>
      <c r="D367" s="43">
        <f>('Raw Data'!$F369*2)-10</f>
        <v>190</v>
      </c>
      <c r="E367" s="43">
        <f>'Raw Data'!F369+Bill!$O$2</f>
        <v>120</v>
      </c>
      <c r="F367" s="43">
        <f>'Raw Data'!F369+Bill!$P$2</f>
        <v>125</v>
      </c>
      <c r="G367" s="43">
        <f>'Raw Data'!E369+Bill!$Q$2</f>
        <v>182</v>
      </c>
      <c r="H367" s="43">
        <f>('Raw Data'!F369+Bill!$R$2)</f>
        <v>120</v>
      </c>
      <c r="I367" s="36">
        <f>'Raw Data'!G369/100</f>
        <v>5.6</v>
      </c>
      <c r="K367" s="37">
        <f>Bill!$Y367</f>
        <v>45925</v>
      </c>
      <c r="L367" s="38">
        <f>Bill!$AA367*('Raw Data'!$E369+$L$2)</f>
        <v>0</v>
      </c>
      <c r="M367" s="38">
        <f>Bill!$AB367*('Raw Data'!$E369+$M$2)</f>
        <v>0</v>
      </c>
      <c r="N367" s="38">
        <f>(('Raw Data'!$F369 * 2)-10)*Bill!$AC367</f>
        <v>380</v>
      </c>
      <c r="O367" s="38">
        <f>('Raw Data'!F369+Bill!$O$2)*Bill!$AD367</f>
        <v>0</v>
      </c>
      <c r="P367" s="38">
        <f>('Raw Data'!F369+Bill!$P$2)*Bill!$AE367</f>
        <v>0</v>
      </c>
      <c r="Q367" s="38">
        <f>Bill!$Z367*('Raw Data'!$E369+$Q$2)</f>
        <v>0</v>
      </c>
      <c r="R367" s="38">
        <f>('Raw Data'!F369+Bill!$R$2)*Bill!$AF367</f>
        <v>0</v>
      </c>
      <c r="S367" s="48">
        <f>('Raw Data'!G369/100)*Bill!$AG367</f>
        <v>0</v>
      </c>
      <c r="T367" s="38">
        <f>SUM(Bill!$L367:$R367)</f>
        <v>380</v>
      </c>
      <c r="U367" s="49">
        <v>380.0</v>
      </c>
      <c r="V367" s="50"/>
      <c r="W367" s="38">
        <f>Bill!$U367-Bill!$T367</f>
        <v>0</v>
      </c>
      <c r="Y367" s="37">
        <f>'Raw Data'!D369</f>
        <v>45925</v>
      </c>
      <c r="Z367" s="47">
        <v>0.0</v>
      </c>
      <c r="AA367" s="47"/>
      <c r="AB367" s="47"/>
      <c r="AC367" s="47">
        <v>2.0</v>
      </c>
      <c r="AD367" s="47"/>
      <c r="AE367" s="47"/>
      <c r="AF367" s="47"/>
      <c r="AG367" s="47"/>
    </row>
    <row r="368" ht="15.75" customHeight="1">
      <c r="A368" s="35">
        <f>Bill!$Y368</f>
        <v>45926</v>
      </c>
      <c r="B368" s="43">
        <f>'Raw Data'!E370+Bill!$L$2</f>
        <v>152</v>
      </c>
      <c r="C368" s="43">
        <f>'Raw Data'!E370+Bill!$M$2</f>
        <v>157</v>
      </c>
      <c r="D368" s="43">
        <f>('Raw Data'!$F370*2)-10</f>
        <v>190</v>
      </c>
      <c r="E368" s="43">
        <f>'Raw Data'!F370+Bill!$O$2</f>
        <v>120</v>
      </c>
      <c r="F368" s="43">
        <f>'Raw Data'!F370+Bill!$P$2</f>
        <v>125</v>
      </c>
      <c r="G368" s="43">
        <f>'Raw Data'!E370+Bill!$Q$2</f>
        <v>182</v>
      </c>
      <c r="H368" s="43">
        <f>('Raw Data'!F370+Bill!$R$2)</f>
        <v>120</v>
      </c>
      <c r="I368" s="36">
        <f>'Raw Data'!G370/100</f>
        <v>5.6</v>
      </c>
      <c r="K368" s="37">
        <f>Bill!$Y368</f>
        <v>45926</v>
      </c>
      <c r="L368" s="38">
        <f>Bill!$AA368*('Raw Data'!$E370+$L$2)</f>
        <v>0</v>
      </c>
      <c r="M368" s="38">
        <f>Bill!$AB368*('Raw Data'!$E370+$M$2)</f>
        <v>0</v>
      </c>
      <c r="N368" s="38">
        <f>(('Raw Data'!$F370 * 2)-10)*Bill!$AC368</f>
        <v>0</v>
      </c>
      <c r="O368" s="38">
        <f>('Raw Data'!F370+Bill!$O$2)*Bill!$AD368</f>
        <v>0</v>
      </c>
      <c r="P368" s="38">
        <f>('Raw Data'!F370+Bill!$P$2)*Bill!$AE368</f>
        <v>0</v>
      </c>
      <c r="Q368" s="38">
        <f>Bill!$Z368*('Raw Data'!$E370+$Q$2)</f>
        <v>0</v>
      </c>
      <c r="R368" s="38">
        <f>('Raw Data'!F370+Bill!$R$2)*Bill!$AF368</f>
        <v>0</v>
      </c>
      <c r="S368" s="48">
        <f>('Raw Data'!G370/100)*Bill!$AG368</f>
        <v>0</v>
      </c>
      <c r="T368" s="38">
        <f>SUM(Bill!$L368:$R368)</f>
        <v>0</v>
      </c>
      <c r="U368" s="49">
        <v>0.0</v>
      </c>
      <c r="V368" s="50"/>
      <c r="W368" s="38">
        <f>Bill!$U368-Bill!$T368</f>
        <v>0</v>
      </c>
      <c r="Y368" s="37">
        <f>'Raw Data'!D370</f>
        <v>45926</v>
      </c>
      <c r="Z368" s="47">
        <v>0.0</v>
      </c>
      <c r="AA368" s="47"/>
      <c r="AB368" s="47"/>
      <c r="AC368" s="47"/>
      <c r="AD368" s="47"/>
      <c r="AE368" s="47"/>
      <c r="AF368" s="47"/>
      <c r="AG368" s="47"/>
    </row>
    <row r="369" ht="15.75" customHeight="1">
      <c r="A369" s="35">
        <f>Bill!$Y369</f>
        <v>45927</v>
      </c>
      <c r="B369" s="43">
        <f>'Raw Data'!E371+Bill!$L$2</f>
        <v>152</v>
      </c>
      <c r="C369" s="43">
        <f>'Raw Data'!E371+Bill!$M$2</f>
        <v>157</v>
      </c>
      <c r="D369" s="43">
        <f>('Raw Data'!$F371*2)-10</f>
        <v>190</v>
      </c>
      <c r="E369" s="43">
        <f>'Raw Data'!F371+Bill!$O$2</f>
        <v>120</v>
      </c>
      <c r="F369" s="43">
        <f>'Raw Data'!F371+Bill!$P$2</f>
        <v>125</v>
      </c>
      <c r="G369" s="43">
        <f>'Raw Data'!E371+Bill!$Q$2</f>
        <v>182</v>
      </c>
      <c r="H369" s="43">
        <f>('Raw Data'!F371+Bill!$R$2)</f>
        <v>120</v>
      </c>
      <c r="I369" s="36">
        <f>'Raw Data'!G371/100</f>
        <v>5.6</v>
      </c>
      <c r="K369" s="37">
        <f>Bill!$Y369</f>
        <v>45927</v>
      </c>
      <c r="L369" s="38">
        <f>Bill!$AA369*('Raw Data'!$E371+$L$2)</f>
        <v>0</v>
      </c>
      <c r="M369" s="38">
        <f>Bill!$AB369*('Raw Data'!$E371+$M$2)</f>
        <v>471</v>
      </c>
      <c r="N369" s="38">
        <f>(('Raw Data'!$F371 * 2)-10)*Bill!$AC369</f>
        <v>0</v>
      </c>
      <c r="O369" s="38">
        <f>('Raw Data'!F371+Bill!$O$2)*Bill!$AD369</f>
        <v>0</v>
      </c>
      <c r="P369" s="38">
        <f>('Raw Data'!F371+Bill!$P$2)*Bill!$AE369</f>
        <v>0</v>
      </c>
      <c r="Q369" s="38">
        <f>Bill!$Z369*('Raw Data'!$E371+$Q$2)</f>
        <v>0</v>
      </c>
      <c r="R369" s="38">
        <f>('Raw Data'!F371+Bill!$R$2)*Bill!$AF369</f>
        <v>0</v>
      </c>
      <c r="S369" s="48">
        <f>('Raw Data'!G371/100)*Bill!$AG369</f>
        <v>0</v>
      </c>
      <c r="T369" s="38">
        <f>SUM(Bill!$L369:$R369)</f>
        <v>471</v>
      </c>
      <c r="U369" s="49">
        <v>471.0</v>
      </c>
      <c r="V369" s="50"/>
      <c r="W369" s="38">
        <f>Bill!$U369-Bill!$T369</f>
        <v>0</v>
      </c>
      <c r="Y369" s="37">
        <f>'Raw Data'!D371</f>
        <v>45927</v>
      </c>
      <c r="Z369" s="47">
        <v>0.0</v>
      </c>
      <c r="AA369" s="47"/>
      <c r="AB369" s="47">
        <v>3.0</v>
      </c>
      <c r="AC369" s="47"/>
      <c r="AD369" s="47"/>
      <c r="AE369" s="47"/>
      <c r="AF369" s="47"/>
      <c r="AG369" s="47"/>
    </row>
    <row r="370" ht="15.75" customHeight="1">
      <c r="A370" s="35">
        <f>Bill!$Y370</f>
        <v>45928</v>
      </c>
      <c r="B370" s="43">
        <f>'Raw Data'!E372+Bill!$L$2</f>
        <v>152</v>
      </c>
      <c r="C370" s="43">
        <f>'Raw Data'!E372+Bill!$M$2</f>
        <v>157</v>
      </c>
      <c r="D370" s="43">
        <f>('Raw Data'!$F372*2)-10</f>
        <v>190</v>
      </c>
      <c r="E370" s="43">
        <f>'Raw Data'!F372+Bill!$O$2</f>
        <v>120</v>
      </c>
      <c r="F370" s="43">
        <f>'Raw Data'!F372+Bill!$P$2</f>
        <v>125</v>
      </c>
      <c r="G370" s="43">
        <f>'Raw Data'!E372+Bill!$Q$2</f>
        <v>182</v>
      </c>
      <c r="H370" s="43">
        <f>('Raw Data'!F372+Bill!$R$2)</f>
        <v>120</v>
      </c>
      <c r="I370" s="36">
        <f>'Raw Data'!G372/100</f>
        <v>5.6</v>
      </c>
      <c r="K370" s="37">
        <f>Bill!$Y370</f>
        <v>45928</v>
      </c>
      <c r="L370" s="38">
        <f>Bill!$AA370*('Raw Data'!$E372+$L$2)</f>
        <v>760</v>
      </c>
      <c r="M370" s="38">
        <f>Bill!$AB370*('Raw Data'!$E372+$M$2)</f>
        <v>785</v>
      </c>
      <c r="N370" s="38">
        <f>(('Raw Data'!$F372 * 2)-10)*Bill!$AC370</f>
        <v>0</v>
      </c>
      <c r="O370" s="38">
        <f>('Raw Data'!F372+Bill!$O$2)*Bill!$AD370</f>
        <v>0</v>
      </c>
      <c r="P370" s="38">
        <f>('Raw Data'!F372+Bill!$P$2)*Bill!$AE370</f>
        <v>125</v>
      </c>
      <c r="Q370" s="38">
        <f>Bill!$Z370*('Raw Data'!$E372+$Q$2)</f>
        <v>0</v>
      </c>
      <c r="R370" s="38">
        <f>('Raw Data'!F372+Bill!$R$2)*Bill!$AF370</f>
        <v>0</v>
      </c>
      <c r="S370" s="48">
        <f>('Raw Data'!G372/100)*Bill!$AG370</f>
        <v>0</v>
      </c>
      <c r="T370" s="38">
        <f>SUM(Bill!$L370:$R370)</f>
        <v>1670</v>
      </c>
      <c r="U370" s="49">
        <v>1675.0</v>
      </c>
      <c r="V370" s="50"/>
      <c r="W370" s="38">
        <f>Bill!$U370-Bill!$T370</f>
        <v>5</v>
      </c>
      <c r="Y370" s="37">
        <f>'Raw Data'!D372</f>
        <v>45928</v>
      </c>
      <c r="Z370" s="47">
        <v>0.0</v>
      </c>
      <c r="AA370" s="47">
        <v>5.0</v>
      </c>
      <c r="AB370" s="47">
        <v>5.0</v>
      </c>
      <c r="AC370" s="47">
        <v>0.0</v>
      </c>
      <c r="AD370" s="47">
        <v>0.0</v>
      </c>
      <c r="AE370" s="47">
        <v>1.0</v>
      </c>
      <c r="AF370" s="47">
        <v>0.0</v>
      </c>
      <c r="AG370" s="47"/>
    </row>
    <row r="371" ht="15.75" customHeight="1">
      <c r="A371" s="35">
        <f>Bill!$Y371</f>
        <v>45929</v>
      </c>
      <c r="B371" s="43">
        <f>'Raw Data'!E373+Bill!$L$2</f>
        <v>152</v>
      </c>
      <c r="C371" s="43">
        <f>'Raw Data'!E373+Bill!$M$2</f>
        <v>157</v>
      </c>
      <c r="D371" s="43">
        <f>('Raw Data'!$F373*2)-10</f>
        <v>190</v>
      </c>
      <c r="E371" s="43">
        <f>'Raw Data'!F373+Bill!$O$2</f>
        <v>120</v>
      </c>
      <c r="F371" s="43">
        <f>'Raw Data'!F373+Bill!$P$2</f>
        <v>125</v>
      </c>
      <c r="G371" s="43">
        <f>'Raw Data'!E373+Bill!$Q$2</f>
        <v>182</v>
      </c>
      <c r="H371" s="43">
        <f>('Raw Data'!F373+Bill!$R$2)</f>
        <v>120</v>
      </c>
      <c r="I371" s="36">
        <f>'Raw Data'!G373/100</f>
        <v>5.4</v>
      </c>
      <c r="K371" s="37">
        <f>Bill!$Y371</f>
        <v>45929</v>
      </c>
      <c r="L371" s="38">
        <f>Bill!$AA371*('Raw Data'!$E373+$L$2)</f>
        <v>0</v>
      </c>
      <c r="M371" s="38">
        <f>Bill!$AB371*('Raw Data'!$E373+$M$2)</f>
        <v>471</v>
      </c>
      <c r="N371" s="38">
        <f>(('Raw Data'!$F373 * 2)-10)*Bill!$AC371</f>
        <v>570</v>
      </c>
      <c r="O371" s="38">
        <f>('Raw Data'!F373+Bill!$O$2)*Bill!$AD371</f>
        <v>0</v>
      </c>
      <c r="P371" s="38">
        <f>('Raw Data'!F373+Bill!$P$2)*Bill!$AE371</f>
        <v>0</v>
      </c>
      <c r="Q371" s="38">
        <f>Bill!$Z371*('Raw Data'!$E373+$Q$2)</f>
        <v>0</v>
      </c>
      <c r="R371" s="38">
        <f>('Raw Data'!F373+Bill!$R$2)*Bill!$AF371</f>
        <v>0</v>
      </c>
      <c r="S371" s="48">
        <f>('Raw Data'!G373/100)*Bill!$AG371</f>
        <v>324</v>
      </c>
      <c r="T371" s="38">
        <f>SUM(Bill!$L371:$R371)</f>
        <v>1041</v>
      </c>
      <c r="U371" s="49">
        <v>1041.0</v>
      </c>
      <c r="V371" s="50"/>
      <c r="W371" s="38">
        <f>Bill!$U371-Bill!$T371</f>
        <v>0</v>
      </c>
      <c r="Y371" s="37">
        <f>'Raw Data'!D373</f>
        <v>45929</v>
      </c>
      <c r="Z371" s="47">
        <v>0.0</v>
      </c>
      <c r="AA371" s="47"/>
      <c r="AB371" s="47">
        <v>3.0</v>
      </c>
      <c r="AC371" s="47">
        <v>3.0</v>
      </c>
      <c r="AD371" s="47"/>
      <c r="AE371" s="47"/>
      <c r="AF371" s="47"/>
      <c r="AG371" s="47">
        <v>60.0</v>
      </c>
    </row>
    <row r="372" ht="15.75" customHeight="1">
      <c r="A372" s="35">
        <f>Bill!$Y372</f>
        <v>45930</v>
      </c>
      <c r="B372" s="43">
        <f>'Raw Data'!E374+Bill!$L$2</f>
        <v>152</v>
      </c>
      <c r="C372" s="43">
        <f>'Raw Data'!E374+Bill!$M$2</f>
        <v>157</v>
      </c>
      <c r="D372" s="43">
        <f>('Raw Data'!$F374*2)-10</f>
        <v>194</v>
      </c>
      <c r="E372" s="43">
        <f>'Raw Data'!F374+Bill!$O$2</f>
        <v>122</v>
      </c>
      <c r="F372" s="43">
        <f>'Raw Data'!F374+Bill!$P$2</f>
        <v>127</v>
      </c>
      <c r="G372" s="43">
        <f>'Raw Data'!E374+Bill!$Q$2</f>
        <v>182</v>
      </c>
      <c r="H372" s="43">
        <f>('Raw Data'!F374+Bill!$R$2)</f>
        <v>122</v>
      </c>
      <c r="I372" s="36">
        <f>'Raw Data'!G374/100</f>
        <v>5.6</v>
      </c>
      <c r="K372" s="37">
        <f>Bill!$Y372</f>
        <v>45930</v>
      </c>
      <c r="L372" s="38">
        <f>Bill!$AA372*('Raw Data'!$E374+$L$2)</f>
        <v>714.4</v>
      </c>
      <c r="M372" s="38">
        <f>Bill!$AB372*('Raw Data'!$E374+$M$2)</f>
        <v>785</v>
      </c>
      <c r="N372" s="38">
        <f>(('Raw Data'!$F374 * 2)-10)*Bill!$AC372</f>
        <v>388</v>
      </c>
      <c r="O372" s="38">
        <f>('Raw Data'!F374+Bill!$O$2)*Bill!$AD372</f>
        <v>0</v>
      </c>
      <c r="P372" s="38">
        <f>('Raw Data'!F374+Bill!$P$2)*Bill!$AE372</f>
        <v>0</v>
      </c>
      <c r="Q372" s="38">
        <f>Bill!$Z372*('Raw Data'!$E374+$Q$2)</f>
        <v>0</v>
      </c>
      <c r="R372" s="38">
        <f>('Raw Data'!F374+Bill!$R$2)*Bill!$AF372</f>
        <v>0</v>
      </c>
      <c r="S372" s="48">
        <f>('Raw Data'!G374/100)*Bill!$AG372</f>
        <v>0</v>
      </c>
      <c r="T372" s="38">
        <f>SUM(Bill!$L372:$R372)</f>
        <v>1887.4</v>
      </c>
      <c r="U372" s="49">
        <v>1887.0</v>
      </c>
      <c r="V372" s="50"/>
      <c r="W372" s="38">
        <f>Bill!$U372-Bill!$T372</f>
        <v>-0.4</v>
      </c>
      <c r="Y372" s="37">
        <f>'Raw Data'!D374</f>
        <v>45930</v>
      </c>
      <c r="Z372" s="47">
        <v>0.0</v>
      </c>
      <c r="AA372" s="47">
        <v>4.7</v>
      </c>
      <c r="AB372" s="47">
        <v>5.0</v>
      </c>
      <c r="AC372" s="47">
        <v>2.0</v>
      </c>
      <c r="AD372" s="47"/>
      <c r="AE372" s="47"/>
      <c r="AF372" s="47"/>
      <c r="AG372" s="47"/>
    </row>
    <row r="373" ht="15.75" customHeight="1">
      <c r="A373" s="35">
        <f>Bill!$Y373</f>
        <v>45931</v>
      </c>
      <c r="B373" s="43">
        <f>'Raw Data'!E375+Bill!$L$2</f>
        <v>152</v>
      </c>
      <c r="C373" s="43">
        <f>'Raw Data'!E375+Bill!$M$2</f>
        <v>157</v>
      </c>
      <c r="D373" s="43">
        <f>('Raw Data'!$F375*2)-10</f>
        <v>210</v>
      </c>
      <c r="E373" s="43">
        <f>'Raw Data'!F375+Bill!$O$2</f>
        <v>130</v>
      </c>
      <c r="F373" s="43">
        <f>'Raw Data'!F375+Bill!$P$2</f>
        <v>135</v>
      </c>
      <c r="G373" s="43">
        <f>'Raw Data'!E375+Bill!$Q$2</f>
        <v>182</v>
      </c>
      <c r="H373" s="43">
        <f>('Raw Data'!F375+Bill!$R$2)</f>
        <v>130</v>
      </c>
      <c r="I373" s="36">
        <f>'Raw Data'!G375/100</f>
        <v>5.55</v>
      </c>
      <c r="K373" s="37">
        <f>Bill!$Y373</f>
        <v>45931</v>
      </c>
      <c r="L373" s="38">
        <f>Bill!$AA373*('Raw Data'!$E375+$L$2)</f>
        <v>1550.4</v>
      </c>
      <c r="M373" s="38">
        <f>Bill!$AB373*('Raw Data'!$E375+$M$2)</f>
        <v>2041</v>
      </c>
      <c r="N373" s="38">
        <f>(('Raw Data'!$F375 * 2)-10)*Bill!$AC373</f>
        <v>420</v>
      </c>
      <c r="O373" s="38">
        <f>('Raw Data'!F375+Bill!$O$2)*Bill!$AD373</f>
        <v>0</v>
      </c>
      <c r="P373" s="38">
        <f>('Raw Data'!F375+Bill!$P$2)*Bill!$AE373</f>
        <v>135</v>
      </c>
      <c r="Q373" s="38">
        <f>Bill!$Z373*('Raw Data'!$E375+$Q$2)</f>
        <v>0</v>
      </c>
      <c r="R373" s="38">
        <f>('Raw Data'!F375+Bill!$R$2)*Bill!$AF373</f>
        <v>0</v>
      </c>
      <c r="S373" s="48">
        <f>('Raw Data'!G375/100)*Bill!$AG373</f>
        <v>0</v>
      </c>
      <c r="T373" s="38">
        <f>SUM(Bill!$L373:$R373)</f>
        <v>4146.4</v>
      </c>
      <c r="U373" s="49">
        <v>4151.0</v>
      </c>
      <c r="V373" s="50"/>
      <c r="W373" s="38">
        <f>Bill!$U373-Bill!$T373</f>
        <v>4.6</v>
      </c>
      <c r="Y373" s="37">
        <f>'Raw Data'!D375</f>
        <v>45931</v>
      </c>
      <c r="Z373" s="47">
        <v>0.0</v>
      </c>
      <c r="AA373" s="47">
        <v>10.2</v>
      </c>
      <c r="AB373" s="47">
        <v>13.0</v>
      </c>
      <c r="AC373" s="47">
        <v>2.0</v>
      </c>
      <c r="AD373" s="47">
        <v>0.0</v>
      </c>
      <c r="AE373" s="47">
        <v>1.0</v>
      </c>
      <c r="AF373" s="47">
        <v>0.0</v>
      </c>
      <c r="AG373" s="47">
        <v>0.0</v>
      </c>
    </row>
    <row r="374" ht="15.75" customHeight="1">
      <c r="A374" s="35">
        <f>Bill!$Y374</f>
        <v>45932</v>
      </c>
      <c r="B374" s="43">
        <f>'Raw Data'!E376+Bill!$L$2</f>
        <v>152</v>
      </c>
      <c r="C374" s="43">
        <f>'Raw Data'!E376+Bill!$M$2</f>
        <v>157</v>
      </c>
      <c r="D374" s="43">
        <f>('Raw Data'!$F376*2)-10</f>
        <v>230</v>
      </c>
      <c r="E374" s="43">
        <f>'Raw Data'!F376+Bill!$O$2</f>
        <v>140</v>
      </c>
      <c r="F374" s="43">
        <f>'Raw Data'!F376+Bill!$P$2</f>
        <v>145</v>
      </c>
      <c r="G374" s="43">
        <f>'Raw Data'!E376+Bill!$Q$2</f>
        <v>182</v>
      </c>
      <c r="H374" s="43">
        <f>('Raw Data'!F376+Bill!$R$2)</f>
        <v>140</v>
      </c>
      <c r="I374" s="36">
        <f>'Raw Data'!G376/100</f>
        <v>5.35</v>
      </c>
      <c r="K374" s="37">
        <f>Bill!$Y374</f>
        <v>45932</v>
      </c>
      <c r="L374" s="38">
        <f>Bill!$AA374*('Raw Data'!$E376+$L$2)</f>
        <v>1535.2</v>
      </c>
      <c r="M374" s="38">
        <f>Bill!$AB374*('Raw Data'!$E376+$M$2)</f>
        <v>1436.55</v>
      </c>
      <c r="N374" s="38">
        <f>(('Raw Data'!$F376 * 2)-10)*Bill!$AC374</f>
        <v>0</v>
      </c>
      <c r="O374" s="38">
        <f>('Raw Data'!F376+Bill!$O$2)*Bill!$AD374</f>
        <v>0</v>
      </c>
      <c r="P374" s="38">
        <f>('Raw Data'!F376+Bill!$P$2)*Bill!$AE374</f>
        <v>0</v>
      </c>
      <c r="Q374" s="38">
        <f>Bill!$Z374*('Raw Data'!$E376+$Q$2)</f>
        <v>0</v>
      </c>
      <c r="R374" s="38">
        <f>('Raw Data'!F376+Bill!$R$2)*Bill!$AF374</f>
        <v>0</v>
      </c>
      <c r="S374" s="48">
        <f>('Raw Data'!G376/100)*Bill!$AG374</f>
        <v>321</v>
      </c>
      <c r="T374" s="38">
        <f>SUM(Bill!$L374:$R374)</f>
        <v>2971.75</v>
      </c>
      <c r="U374" s="49">
        <v>2961.0</v>
      </c>
      <c r="V374" s="50"/>
      <c r="W374" s="38">
        <f>Bill!$U374-Bill!$T374</f>
        <v>-10.75</v>
      </c>
      <c r="Y374" s="37">
        <f>'Raw Data'!D376</f>
        <v>45932</v>
      </c>
      <c r="Z374" s="47">
        <v>0.0</v>
      </c>
      <c r="AA374" s="47">
        <v>10.1</v>
      </c>
      <c r="AB374" s="47">
        <v>9.15</v>
      </c>
      <c r="AC374" s="47"/>
      <c r="AD374" s="47"/>
      <c r="AE374" s="47"/>
      <c r="AF374" s="47"/>
      <c r="AG374" s="47">
        <v>60.0</v>
      </c>
    </row>
    <row r="375" ht="15.75" customHeight="1">
      <c r="A375" s="35">
        <f>Bill!$Y375</f>
        <v>45933</v>
      </c>
      <c r="B375" s="43">
        <f>'Raw Data'!E377+Bill!$L$2</f>
        <v>152</v>
      </c>
      <c r="C375" s="43">
        <f>'Raw Data'!E377+Bill!$M$2</f>
        <v>157</v>
      </c>
      <c r="D375" s="43">
        <f>('Raw Data'!$F377*2)-10</f>
        <v>234</v>
      </c>
      <c r="E375" s="43">
        <f>'Raw Data'!F377+Bill!$O$2</f>
        <v>142</v>
      </c>
      <c r="F375" s="43">
        <f>'Raw Data'!F377+Bill!$P$2</f>
        <v>147</v>
      </c>
      <c r="G375" s="43">
        <f>'Raw Data'!E377+Bill!$Q$2</f>
        <v>182</v>
      </c>
      <c r="H375" s="43">
        <f>('Raw Data'!F377+Bill!$R$2)</f>
        <v>142</v>
      </c>
      <c r="I375" s="36">
        <f>'Raw Data'!G377/100</f>
        <v>5.55</v>
      </c>
      <c r="K375" s="37">
        <f>Bill!$Y375</f>
        <v>45933</v>
      </c>
      <c r="L375" s="38">
        <f>Bill!$AA375*('Raw Data'!$E377+$L$2)</f>
        <v>0</v>
      </c>
      <c r="M375" s="38">
        <f>Bill!$AB375*('Raw Data'!$E377+$M$2)</f>
        <v>1570</v>
      </c>
      <c r="N375" s="38">
        <f>(('Raw Data'!$F377 * 2)-10)*Bill!$AC375</f>
        <v>936</v>
      </c>
      <c r="O375" s="38">
        <f>('Raw Data'!F377+Bill!$O$2)*Bill!$AD375</f>
        <v>440.2</v>
      </c>
      <c r="P375" s="38">
        <f>('Raw Data'!F377+Bill!$P$2)*Bill!$AE375</f>
        <v>147</v>
      </c>
      <c r="Q375" s="38">
        <f>Bill!$Z375*('Raw Data'!$E377+$Q$2)</f>
        <v>0</v>
      </c>
      <c r="R375" s="38">
        <f>('Raw Data'!F377+Bill!$R$2)*Bill!$AF375</f>
        <v>511.2</v>
      </c>
      <c r="S375" s="48">
        <f>('Raw Data'!G377/100)*Bill!$AG375</f>
        <v>0</v>
      </c>
      <c r="T375" s="38">
        <f>SUM(Bill!$L375:$R375)</f>
        <v>3604.4</v>
      </c>
      <c r="U375" s="49">
        <v>3609.0</v>
      </c>
      <c r="V375" s="50"/>
      <c r="W375" s="38">
        <f>Bill!$U375-Bill!$T375</f>
        <v>4.6</v>
      </c>
      <c r="Y375" s="37">
        <f>'Raw Data'!D377</f>
        <v>45933</v>
      </c>
      <c r="Z375" s="47">
        <v>0.0</v>
      </c>
      <c r="AA375" s="47"/>
      <c r="AB375" s="47">
        <v>10.0</v>
      </c>
      <c r="AC375" s="47">
        <v>4.0</v>
      </c>
      <c r="AD375" s="47">
        <v>3.1</v>
      </c>
      <c r="AE375" s="47">
        <v>1.0</v>
      </c>
      <c r="AF375" s="47">
        <v>3.6</v>
      </c>
      <c r="AG375" s="47"/>
    </row>
    <row r="376" ht="15.75" customHeight="1">
      <c r="A376" s="35">
        <f>Bill!$Y376</f>
        <v>45934</v>
      </c>
      <c r="B376" s="43">
        <f>'Raw Data'!E378+Bill!$L$2</f>
        <v>154</v>
      </c>
      <c r="C376" s="43">
        <f>'Raw Data'!E378+Bill!$M$2</f>
        <v>159</v>
      </c>
      <c r="D376" s="43">
        <f>('Raw Data'!$F378*2)-10</f>
        <v>236</v>
      </c>
      <c r="E376" s="43">
        <f>'Raw Data'!F378+Bill!$O$2</f>
        <v>143</v>
      </c>
      <c r="F376" s="43">
        <f>'Raw Data'!F378+Bill!$P$2</f>
        <v>148</v>
      </c>
      <c r="G376" s="43">
        <f>'Raw Data'!E378+Bill!$Q$2</f>
        <v>184</v>
      </c>
      <c r="H376" s="43">
        <f>('Raw Data'!F378+Bill!$R$2)</f>
        <v>143</v>
      </c>
      <c r="I376" s="36">
        <f>'Raw Data'!G378/100</f>
        <v>5.55</v>
      </c>
      <c r="K376" s="37">
        <f>Bill!$Y376</f>
        <v>45934</v>
      </c>
      <c r="L376" s="38">
        <f>Bill!$AA376*('Raw Data'!$E378+$L$2)</f>
        <v>2094.4</v>
      </c>
      <c r="M376" s="38">
        <f>Bill!$AB376*('Raw Data'!$E378+$M$2)</f>
        <v>3180</v>
      </c>
      <c r="N376" s="38">
        <f>(('Raw Data'!$F378 * 2)-10)*Bill!$AC376</f>
        <v>472</v>
      </c>
      <c r="O376" s="38">
        <f>('Raw Data'!F378+Bill!$O$2)*Bill!$AD376</f>
        <v>0</v>
      </c>
      <c r="P376" s="38">
        <f>('Raw Data'!F378+Bill!$P$2)*Bill!$AE376</f>
        <v>296</v>
      </c>
      <c r="Q376" s="38">
        <f>Bill!$Z376*('Raw Data'!$E378+$Q$2)</f>
        <v>0</v>
      </c>
      <c r="R376" s="38">
        <f>('Raw Data'!F378+Bill!$R$2)*Bill!$AF376</f>
        <v>0</v>
      </c>
      <c r="S376" s="48">
        <f>('Raw Data'!G378/100)*Bill!$AG376</f>
        <v>0</v>
      </c>
      <c r="T376" s="38">
        <f>SUM(Bill!$L376:$R376)</f>
        <v>6042.4</v>
      </c>
      <c r="U376" s="49">
        <v>6053.0</v>
      </c>
      <c r="V376" s="50"/>
      <c r="W376" s="38">
        <f>Bill!$U376-Bill!$T376</f>
        <v>10.6</v>
      </c>
      <c r="Y376" s="37">
        <f>'Raw Data'!D378</f>
        <v>45934</v>
      </c>
      <c r="Z376" s="47">
        <v>0.0</v>
      </c>
      <c r="AA376" s="47">
        <v>13.6</v>
      </c>
      <c r="AB376" s="47">
        <v>20.0</v>
      </c>
      <c r="AC376" s="47">
        <v>2.0</v>
      </c>
      <c r="AD376" s="47">
        <v>0.0</v>
      </c>
      <c r="AE376" s="47">
        <v>2.0</v>
      </c>
      <c r="AF376" s="47"/>
      <c r="AG376" s="47"/>
    </row>
    <row r="377" ht="15.75" customHeight="1">
      <c r="A377" s="35">
        <f>Bill!$Y377</f>
        <v>45935</v>
      </c>
      <c r="B377" s="43">
        <f>'Raw Data'!E379+Bill!$L$2</f>
        <v>158</v>
      </c>
      <c r="C377" s="43">
        <f>'Raw Data'!E379+Bill!$M$2</f>
        <v>163</v>
      </c>
      <c r="D377" s="43">
        <f>('Raw Data'!$F379*2)-10</f>
        <v>240</v>
      </c>
      <c r="E377" s="43">
        <f>'Raw Data'!F379+Bill!$O$2</f>
        <v>145</v>
      </c>
      <c r="F377" s="43">
        <f>'Raw Data'!F379+Bill!$P$2</f>
        <v>150</v>
      </c>
      <c r="G377" s="43">
        <f>'Raw Data'!E379+Bill!$Q$2</f>
        <v>188</v>
      </c>
      <c r="H377" s="43">
        <f>('Raw Data'!F379+Bill!$R$2)</f>
        <v>145</v>
      </c>
      <c r="I377" s="36">
        <f>'Raw Data'!G379/100</f>
        <v>5.35</v>
      </c>
      <c r="K377" s="37">
        <f>Bill!$Y377</f>
        <v>45935</v>
      </c>
      <c r="L377" s="38">
        <f>Bill!$AA377*('Raw Data'!$E379+$L$2)</f>
        <v>758.4</v>
      </c>
      <c r="M377" s="38">
        <f>Bill!$AB377*('Raw Data'!$E379+$M$2)</f>
        <v>2445</v>
      </c>
      <c r="N377" s="38">
        <f>(('Raw Data'!$F379 * 2)-10)*Bill!$AC377</f>
        <v>720</v>
      </c>
      <c r="O377" s="38">
        <f>('Raw Data'!F379+Bill!$O$2)*Bill!$AD377</f>
        <v>290</v>
      </c>
      <c r="P377" s="38">
        <f>('Raw Data'!F379+Bill!$P$2)*Bill!$AE377</f>
        <v>0</v>
      </c>
      <c r="Q377" s="38">
        <f>Bill!$Z377*('Raw Data'!$E379+$Q$2)</f>
        <v>0</v>
      </c>
      <c r="R377" s="38">
        <f>('Raw Data'!F379+Bill!$R$2)*Bill!$AF377</f>
        <v>0</v>
      </c>
      <c r="S377" s="48">
        <f>('Raw Data'!G379/100)*Bill!$AG377</f>
        <v>481.5</v>
      </c>
      <c r="T377" s="52">
        <v>4213.0</v>
      </c>
      <c r="U377" s="49">
        <v>4213.0</v>
      </c>
      <c r="V377" s="50"/>
      <c r="W377" s="38">
        <f>Bill!$U377-Bill!$T377</f>
        <v>0</v>
      </c>
      <c r="Y377" s="37">
        <f>'Raw Data'!D379</f>
        <v>45935</v>
      </c>
      <c r="Z377" s="47">
        <v>0.0</v>
      </c>
      <c r="AA377" s="47">
        <v>4.8</v>
      </c>
      <c r="AB377" s="47">
        <v>15.0</v>
      </c>
      <c r="AC377" s="47">
        <v>3.0</v>
      </c>
      <c r="AD377" s="47">
        <v>2.0</v>
      </c>
      <c r="AE377" s="47"/>
      <c r="AF377" s="47"/>
      <c r="AG377" s="47">
        <v>90.0</v>
      </c>
    </row>
    <row r="378" ht="15.75" customHeight="1">
      <c r="A378" s="35">
        <f>Bill!$Y378</f>
        <v>45936</v>
      </c>
      <c r="B378" s="43">
        <f>'Raw Data'!E380+Bill!$L$2</f>
        <v>158</v>
      </c>
      <c r="C378" s="43">
        <f>'Raw Data'!E380+Bill!$M$2</f>
        <v>163</v>
      </c>
      <c r="D378" s="43">
        <f>('Raw Data'!$F380*2)-10</f>
        <v>240</v>
      </c>
      <c r="E378" s="43">
        <f>'Raw Data'!F380+Bill!$O$2</f>
        <v>145</v>
      </c>
      <c r="F378" s="43">
        <f>'Raw Data'!F380+Bill!$P$2</f>
        <v>150</v>
      </c>
      <c r="G378" s="43">
        <f>'Raw Data'!E380+Bill!$Q$2</f>
        <v>188</v>
      </c>
      <c r="H378" s="43">
        <f>('Raw Data'!F380+Bill!$R$2)</f>
        <v>145</v>
      </c>
      <c r="I378" s="36">
        <f>'Raw Data'!G380/100</f>
        <v>5.6</v>
      </c>
      <c r="K378" s="37">
        <f>Bill!$Y378</f>
        <v>45936</v>
      </c>
      <c r="L378" s="38">
        <f>Bill!$AA378*('Raw Data'!$E380+$L$2)</f>
        <v>774.2</v>
      </c>
      <c r="M378" s="38">
        <f>Bill!$AB378*('Raw Data'!$E380+$M$2)</f>
        <v>2445</v>
      </c>
      <c r="N378" s="38">
        <f>(('Raw Data'!$F380 * 2)-10)*Bill!$AC378</f>
        <v>960</v>
      </c>
      <c r="O378" s="38">
        <f>('Raw Data'!F380+Bill!$O$2)*Bill!$AD378</f>
        <v>0</v>
      </c>
      <c r="P378" s="38">
        <f>('Raw Data'!F380+Bill!$P$2)*Bill!$AE378</f>
        <v>150</v>
      </c>
      <c r="Q378" s="38">
        <f>Bill!$Z378*('Raw Data'!$E380+$Q$2)</f>
        <v>0</v>
      </c>
      <c r="R378" s="38">
        <f>('Raw Data'!F380+Bill!$R$2)*Bill!$AF378</f>
        <v>0</v>
      </c>
      <c r="S378" s="48">
        <f>('Raw Data'!G380/100)*Bill!$AG378</f>
        <v>0</v>
      </c>
      <c r="T378" s="38">
        <f>SUM(Bill!$L378:$R378)</f>
        <v>4329.2</v>
      </c>
      <c r="U378" s="49">
        <v>4334.0</v>
      </c>
      <c r="V378" s="50"/>
      <c r="W378" s="38">
        <f>Bill!$U378-Bill!$T378</f>
        <v>4.8</v>
      </c>
      <c r="Y378" s="37">
        <f>'Raw Data'!D380</f>
        <v>45936</v>
      </c>
      <c r="Z378" s="47">
        <v>0.0</v>
      </c>
      <c r="AA378" s="47">
        <v>4.9</v>
      </c>
      <c r="AB378" s="47">
        <v>15.0</v>
      </c>
      <c r="AC378" s="47">
        <v>4.0</v>
      </c>
      <c r="AD378" s="47">
        <v>0.0</v>
      </c>
      <c r="AE378" s="47">
        <v>1.0</v>
      </c>
      <c r="AF378" s="47"/>
      <c r="AG378" s="47"/>
    </row>
    <row r="379" ht="15.75" customHeight="1">
      <c r="A379" s="35">
        <f>Bill!$Y379</f>
        <v>45937</v>
      </c>
      <c r="B379" s="43">
        <f>'Raw Data'!E381+Bill!$L$2</f>
        <v>158</v>
      </c>
      <c r="C379" s="43">
        <f>'Raw Data'!E381+Bill!$M$2</f>
        <v>163</v>
      </c>
      <c r="D379" s="43">
        <f>('Raw Data'!$F381*2)-10</f>
        <v>236</v>
      </c>
      <c r="E379" s="43">
        <f>'Raw Data'!F381+Bill!$O$2</f>
        <v>143</v>
      </c>
      <c r="F379" s="43">
        <f>'Raw Data'!F381+Bill!$P$2</f>
        <v>148</v>
      </c>
      <c r="G379" s="43">
        <f>'Raw Data'!E381+Bill!$Q$2</f>
        <v>188</v>
      </c>
      <c r="H379" s="43">
        <f>('Raw Data'!F381+Bill!$R$2)</f>
        <v>143</v>
      </c>
      <c r="I379" s="36">
        <f>'Raw Data'!G381/100</f>
        <v>5.65</v>
      </c>
      <c r="K379" s="37">
        <f>Bill!$Y379</f>
        <v>45937</v>
      </c>
      <c r="L379" s="38">
        <f>Bill!$AA379*('Raw Data'!$E381+$L$2)</f>
        <v>892.7</v>
      </c>
      <c r="M379" s="38">
        <f>Bill!$AB379*('Raw Data'!$E381+$M$2)</f>
        <v>1304</v>
      </c>
      <c r="N379" s="38">
        <f>(('Raw Data'!$F381 * 2)-10)*Bill!$AC379</f>
        <v>708</v>
      </c>
      <c r="O379" s="38">
        <f>('Raw Data'!F381+Bill!$O$2)*Bill!$AD379</f>
        <v>0</v>
      </c>
      <c r="P379" s="38">
        <f>('Raw Data'!F381+Bill!$P$2)*Bill!$AE379</f>
        <v>0</v>
      </c>
      <c r="Q379" s="38">
        <f>Bill!$Z379*('Raw Data'!$E381+$Q$2)</f>
        <v>0</v>
      </c>
      <c r="R379" s="38">
        <f>('Raw Data'!F381+Bill!$R$2)*Bill!$AF379</f>
        <v>0</v>
      </c>
      <c r="S379" s="48">
        <f>('Raw Data'!G381/100)*Bill!$AG379</f>
        <v>0</v>
      </c>
      <c r="T379" s="38">
        <f>SUM(Bill!$L379:$R379)</f>
        <v>2904.7</v>
      </c>
      <c r="U379" s="49">
        <v>2905.0</v>
      </c>
      <c r="V379" s="50"/>
      <c r="W379" s="38">
        <f>Bill!$U379-Bill!$T379</f>
        <v>0.3</v>
      </c>
      <c r="Y379" s="37">
        <f>'Raw Data'!D381</f>
        <v>45937</v>
      </c>
      <c r="Z379" s="47">
        <v>0.0</v>
      </c>
      <c r="AA379" s="47">
        <v>5.65</v>
      </c>
      <c r="AB379" s="47">
        <v>8.0</v>
      </c>
      <c r="AC379" s="47">
        <v>3.0</v>
      </c>
      <c r="AD379" s="47"/>
      <c r="AE379" s="47"/>
      <c r="AF379" s="47"/>
      <c r="AG379" s="47"/>
    </row>
    <row r="380" ht="15.75" customHeight="1">
      <c r="A380" s="35">
        <f>Bill!$Y380</f>
        <v>45938</v>
      </c>
      <c r="B380" s="43">
        <f>'Raw Data'!E382+Bill!$L$2</f>
        <v>158</v>
      </c>
      <c r="C380" s="43">
        <f>'Raw Data'!E382+Bill!$M$2</f>
        <v>163</v>
      </c>
      <c r="D380" s="43">
        <f>('Raw Data'!$F382*2)-10</f>
        <v>222</v>
      </c>
      <c r="E380" s="43">
        <f>'Raw Data'!F382+Bill!$O$2</f>
        <v>136</v>
      </c>
      <c r="F380" s="43">
        <f>'Raw Data'!F382+Bill!$P$2</f>
        <v>141</v>
      </c>
      <c r="G380" s="43">
        <f>'Raw Data'!E382+Bill!$Q$2</f>
        <v>188</v>
      </c>
      <c r="H380" s="43">
        <f>('Raw Data'!F382+Bill!$R$2)</f>
        <v>136</v>
      </c>
      <c r="I380" s="36">
        <f>'Raw Data'!G382/100</f>
        <v>5.7</v>
      </c>
      <c r="K380" s="37">
        <f>Bill!$Y380</f>
        <v>45938</v>
      </c>
      <c r="L380" s="38">
        <f>Bill!$AA380*('Raw Data'!$E382+$L$2)</f>
        <v>1248.2</v>
      </c>
      <c r="M380" s="38">
        <f>Bill!$AB380*('Raw Data'!$E382+$M$2)</f>
        <v>2461.3</v>
      </c>
      <c r="N380" s="38">
        <f>(('Raw Data'!$F382 * 2)-10)*Bill!$AC380</f>
        <v>888</v>
      </c>
      <c r="O380" s="38">
        <f>('Raw Data'!F382+Bill!$O$2)*Bill!$AD380</f>
        <v>448.8</v>
      </c>
      <c r="P380" s="38">
        <f>('Raw Data'!F382+Bill!$P$2)*Bill!$AE380</f>
        <v>282</v>
      </c>
      <c r="Q380" s="38">
        <f>Bill!$Z380*('Raw Data'!$E382+$Q$2)</f>
        <v>0</v>
      </c>
      <c r="R380" s="38">
        <f>('Raw Data'!F382+Bill!$R$2)*Bill!$AF380</f>
        <v>0</v>
      </c>
      <c r="S380" s="48">
        <f>('Raw Data'!G382/100)*Bill!$AG380</f>
        <v>0</v>
      </c>
      <c r="T380" s="38">
        <f>SUM(Bill!$L380:$R380)</f>
        <v>5328.3</v>
      </c>
      <c r="U380" s="49">
        <v>5338.0</v>
      </c>
      <c r="V380" s="50"/>
      <c r="W380" s="38">
        <f>Bill!$U380-Bill!$T380</f>
        <v>9.7</v>
      </c>
      <c r="Y380" s="37">
        <f>'Raw Data'!D382</f>
        <v>45938</v>
      </c>
      <c r="Z380" s="47">
        <v>0.0</v>
      </c>
      <c r="AA380" s="47">
        <v>7.9</v>
      </c>
      <c r="AB380" s="47">
        <v>15.1</v>
      </c>
      <c r="AC380" s="47">
        <v>4.0</v>
      </c>
      <c r="AD380" s="47">
        <v>3.3</v>
      </c>
      <c r="AE380" s="47">
        <v>2.0</v>
      </c>
      <c r="AF380" s="47"/>
      <c r="AG380" s="47"/>
    </row>
    <row r="381" ht="15.75" customHeight="1">
      <c r="A381" s="35">
        <f>Bill!$Y381</f>
        <v>45939</v>
      </c>
      <c r="B381" s="43">
        <f>'Raw Data'!E383+Bill!$L$2</f>
        <v>158</v>
      </c>
      <c r="C381" s="43">
        <f>'Raw Data'!E383+Bill!$M$2</f>
        <v>163</v>
      </c>
      <c r="D381" s="43">
        <f>('Raw Data'!$F383*2)-10</f>
        <v>222</v>
      </c>
      <c r="E381" s="43">
        <f>'Raw Data'!F383+Bill!$O$2</f>
        <v>136</v>
      </c>
      <c r="F381" s="43">
        <f>'Raw Data'!F383+Bill!$P$2</f>
        <v>141</v>
      </c>
      <c r="G381" s="43">
        <f>'Raw Data'!E383+Bill!$Q$2</f>
        <v>188</v>
      </c>
      <c r="H381" s="43">
        <f>('Raw Data'!F383+Bill!$R$2)</f>
        <v>136</v>
      </c>
      <c r="I381" s="36">
        <f>'Raw Data'!G383/100</f>
        <v>5.5</v>
      </c>
      <c r="K381" s="37">
        <f>Bill!$Y381</f>
        <v>45939</v>
      </c>
      <c r="L381" s="38">
        <f>Bill!$AA381*('Raw Data'!$E383+$L$2)</f>
        <v>790</v>
      </c>
      <c r="M381" s="38">
        <f>Bill!$AB381*('Raw Data'!$E383+$M$2)</f>
        <v>2445</v>
      </c>
      <c r="N381" s="38">
        <f>(('Raw Data'!$F383 * 2)-10)*Bill!$AC381</f>
        <v>888</v>
      </c>
      <c r="O381" s="38">
        <f>('Raw Data'!F383+Bill!$O$2)*Bill!$AD381</f>
        <v>0</v>
      </c>
      <c r="P381" s="38">
        <f>('Raw Data'!F383+Bill!$P$2)*Bill!$AE381</f>
        <v>141</v>
      </c>
      <c r="Q381" s="38">
        <f>Bill!$Z381*('Raw Data'!$E383+$Q$2)</f>
        <v>0</v>
      </c>
      <c r="R381" s="38">
        <f>('Raw Data'!F383+Bill!$R$2)*Bill!$AF381</f>
        <v>0</v>
      </c>
      <c r="S381" s="48">
        <f>('Raw Data'!G383/100)*Bill!$AG381</f>
        <v>412.5</v>
      </c>
      <c r="T381" s="38">
        <f>SUM(Bill!$L381:$R381)</f>
        <v>4264</v>
      </c>
      <c r="U381" s="49">
        <v>4269.0</v>
      </c>
      <c r="V381" s="50"/>
      <c r="W381" s="38">
        <f>Bill!$U381-Bill!$T381</f>
        <v>5</v>
      </c>
      <c r="Y381" s="37">
        <f>'Raw Data'!D383</f>
        <v>45939</v>
      </c>
      <c r="Z381" s="47">
        <v>0.0</v>
      </c>
      <c r="AA381" s="47">
        <v>5.0</v>
      </c>
      <c r="AB381" s="47">
        <v>15.0</v>
      </c>
      <c r="AC381" s="47">
        <v>4.0</v>
      </c>
      <c r="AD381" s="47"/>
      <c r="AE381" s="47">
        <v>1.0</v>
      </c>
      <c r="AF381" s="47"/>
      <c r="AG381" s="47">
        <v>75.0</v>
      </c>
    </row>
    <row r="382" ht="15.75" customHeight="1">
      <c r="A382" s="35">
        <f>Bill!$Y382</f>
        <v>45940</v>
      </c>
      <c r="B382" s="43">
        <f>'Raw Data'!E384+Bill!$L$2</f>
        <v>156</v>
      </c>
      <c r="C382" s="43">
        <f>'Raw Data'!E384+Bill!$M$2</f>
        <v>161</v>
      </c>
      <c r="D382" s="43">
        <f>('Raw Data'!$F384*2)-10</f>
        <v>222</v>
      </c>
      <c r="E382" s="43">
        <f>'Raw Data'!F384+Bill!$O$2</f>
        <v>136</v>
      </c>
      <c r="F382" s="43">
        <f>'Raw Data'!F384+Bill!$P$2</f>
        <v>141</v>
      </c>
      <c r="G382" s="43">
        <f>'Raw Data'!E384+Bill!$Q$2</f>
        <v>186</v>
      </c>
      <c r="H382" s="43">
        <f>('Raw Data'!F384+Bill!$R$2)</f>
        <v>136</v>
      </c>
      <c r="I382" s="36">
        <f>'Raw Data'!G384/100</f>
        <v>5.7</v>
      </c>
      <c r="K382" s="37">
        <f>Bill!$Y382</f>
        <v>45940</v>
      </c>
      <c r="L382" s="38">
        <f>Bill!$AA382*('Raw Data'!$E384+$L$2)</f>
        <v>756.6</v>
      </c>
      <c r="M382" s="38">
        <f>Bill!$AB382*('Raw Data'!$E384+$M$2)</f>
        <v>1610</v>
      </c>
      <c r="N382" s="38">
        <f>(('Raw Data'!$F384 * 2)-10)*Bill!$AC382</f>
        <v>444</v>
      </c>
      <c r="O382" s="38">
        <f>('Raw Data'!F384+Bill!$O$2)*Bill!$AD382</f>
        <v>0</v>
      </c>
      <c r="P382" s="38">
        <f>('Raw Data'!F384+Bill!$P$2)*Bill!$AE382</f>
        <v>282</v>
      </c>
      <c r="Q382" s="38">
        <f>Bill!$Z382*('Raw Data'!$E384+$Q$2)</f>
        <v>0</v>
      </c>
      <c r="R382" s="38">
        <f>('Raw Data'!F384+Bill!$R$2)*Bill!$AF382</f>
        <v>0</v>
      </c>
      <c r="S382" s="48">
        <f>('Raw Data'!G384/100)*Bill!$AG382</f>
        <v>0</v>
      </c>
      <c r="T382" s="38">
        <f>SUM(Bill!$L382:$R382)</f>
        <v>3092.6</v>
      </c>
      <c r="U382" s="49">
        <v>3102.0</v>
      </c>
      <c r="V382" s="50"/>
      <c r="W382" s="38">
        <f>Bill!$U382-Bill!$T382</f>
        <v>9.4</v>
      </c>
      <c r="Y382" s="37">
        <f>'Raw Data'!D384</f>
        <v>45940</v>
      </c>
      <c r="Z382" s="47">
        <v>0.0</v>
      </c>
      <c r="AA382" s="47">
        <v>4.85</v>
      </c>
      <c r="AB382" s="47">
        <v>10.0</v>
      </c>
      <c r="AC382" s="47">
        <v>2.0</v>
      </c>
      <c r="AD382" s="47">
        <v>0.0</v>
      </c>
      <c r="AE382" s="47">
        <v>2.0</v>
      </c>
      <c r="AF382" s="47"/>
      <c r="AG382" s="47"/>
    </row>
    <row r="383" ht="15.75" customHeight="1">
      <c r="A383" s="35">
        <f>Bill!$Y383</f>
        <v>45941</v>
      </c>
      <c r="B383" s="43">
        <f>'Raw Data'!E385+Bill!$L$2</f>
        <v>156</v>
      </c>
      <c r="C383" s="43">
        <f>'Raw Data'!E385+Bill!$M$2</f>
        <v>161</v>
      </c>
      <c r="D383" s="43">
        <f>('Raw Data'!$F385*2)-10</f>
        <v>214</v>
      </c>
      <c r="E383" s="43">
        <f>'Raw Data'!F385+Bill!$O$2</f>
        <v>132</v>
      </c>
      <c r="F383" s="43">
        <f>'Raw Data'!F385+Bill!$P$2</f>
        <v>137</v>
      </c>
      <c r="G383" s="43">
        <f>'Raw Data'!E385+Bill!$Q$2</f>
        <v>186</v>
      </c>
      <c r="H383" s="43">
        <f>('Raw Data'!F385+Bill!$R$2)</f>
        <v>132</v>
      </c>
      <c r="I383" s="36">
        <f>'Raw Data'!G385/100</f>
        <v>5.7</v>
      </c>
      <c r="K383" s="37">
        <f>Bill!$Y383</f>
        <v>45941</v>
      </c>
      <c r="L383" s="38">
        <f>Bill!$AA383*('Raw Data'!$E385+$L$2)</f>
        <v>748.8</v>
      </c>
      <c r="M383" s="38">
        <f>Bill!$AB383*('Raw Data'!$E385+$M$2)</f>
        <v>821.1</v>
      </c>
      <c r="N383" s="38">
        <f>(('Raw Data'!$F385 * 2)-10)*Bill!$AC383</f>
        <v>856</v>
      </c>
      <c r="O383" s="38">
        <f>('Raw Data'!F385+Bill!$O$2)*Bill!$AD383</f>
        <v>0</v>
      </c>
      <c r="P383" s="38">
        <f>('Raw Data'!F385+Bill!$P$2)*Bill!$AE383</f>
        <v>0</v>
      </c>
      <c r="Q383" s="38">
        <f>Bill!$Z383*('Raw Data'!$E385+$Q$2)</f>
        <v>0</v>
      </c>
      <c r="R383" s="38">
        <f>('Raw Data'!F385+Bill!$R$2)*Bill!$AF383</f>
        <v>0</v>
      </c>
      <c r="S383" s="48">
        <f>('Raw Data'!G385/100)*Bill!$AG383</f>
        <v>0</v>
      </c>
      <c r="T383" s="38">
        <f>SUM(Bill!$L383:$R383)</f>
        <v>2425.9</v>
      </c>
      <c r="U383" s="49">
        <v>2426.0</v>
      </c>
      <c r="V383" s="50"/>
      <c r="W383" s="38">
        <f>Bill!$U383-Bill!$T383</f>
        <v>0.1</v>
      </c>
      <c r="Y383" s="37">
        <f>'Raw Data'!D385</f>
        <v>45941</v>
      </c>
      <c r="Z383" s="47">
        <v>0.0</v>
      </c>
      <c r="AA383" s="47">
        <v>4.8</v>
      </c>
      <c r="AB383" s="47">
        <v>5.1</v>
      </c>
      <c r="AC383" s="47">
        <v>4.0</v>
      </c>
      <c r="AD383" s="47"/>
      <c r="AE383" s="47"/>
      <c r="AF383" s="47"/>
      <c r="AG383" s="47"/>
    </row>
    <row r="384" ht="15.75" customHeight="1">
      <c r="A384" s="35">
        <f>Bill!$Y384</f>
        <v>45942</v>
      </c>
      <c r="B384" s="43">
        <f>'Raw Data'!E386+Bill!$L$2</f>
        <v>156</v>
      </c>
      <c r="C384" s="43">
        <f>'Raw Data'!E386+Bill!$M$2</f>
        <v>161</v>
      </c>
      <c r="D384" s="43">
        <f>('Raw Data'!$F386*2)-10</f>
        <v>222</v>
      </c>
      <c r="E384" s="43">
        <f>'Raw Data'!F386+Bill!$O$2</f>
        <v>136</v>
      </c>
      <c r="F384" s="43">
        <f>'Raw Data'!F386+Bill!$P$2</f>
        <v>141</v>
      </c>
      <c r="G384" s="43">
        <f>'Raw Data'!E386+Bill!$Q$2</f>
        <v>186</v>
      </c>
      <c r="H384" s="43">
        <f>('Raw Data'!F386+Bill!$R$2)</f>
        <v>136</v>
      </c>
      <c r="I384" s="36">
        <f>'Raw Data'!G386/100</f>
        <v>5.5</v>
      </c>
      <c r="K384" s="37">
        <f>Bill!$Y384</f>
        <v>45942</v>
      </c>
      <c r="L384" s="38">
        <f>Bill!$AA384*('Raw Data'!$E386+$L$2)</f>
        <v>2246.4</v>
      </c>
      <c r="M384" s="38">
        <f>Bill!$AB384*('Raw Data'!$E386+$M$2)</f>
        <v>3220</v>
      </c>
      <c r="N384" s="38">
        <f>(('Raw Data'!$F386 * 2)-10)*Bill!$AC384</f>
        <v>1776</v>
      </c>
      <c r="O384" s="38">
        <f>('Raw Data'!F386+Bill!$O$2)*Bill!$AD384</f>
        <v>170</v>
      </c>
      <c r="P384" s="38">
        <f>('Raw Data'!F386+Bill!$P$2)*Bill!$AE384</f>
        <v>282</v>
      </c>
      <c r="Q384" s="38">
        <f>Bill!$Z384*('Raw Data'!$E386+$Q$2)</f>
        <v>0</v>
      </c>
      <c r="R384" s="38">
        <f>('Raw Data'!F386+Bill!$R$2)*Bill!$AF384</f>
        <v>0</v>
      </c>
      <c r="S384" s="48">
        <f>('Raw Data'!G386/100)*Bill!$AG384</f>
        <v>330</v>
      </c>
      <c r="T384" s="38">
        <f>SUM(Bill!$L384:$R384)</f>
        <v>7694.4</v>
      </c>
      <c r="U384" s="49">
        <v>7704.0</v>
      </c>
      <c r="V384" s="50"/>
      <c r="W384" s="38">
        <f>Bill!$U384-Bill!$T384</f>
        <v>9.6</v>
      </c>
      <c r="Y384" s="37">
        <f>'Raw Data'!D386</f>
        <v>45942</v>
      </c>
      <c r="Z384" s="47">
        <v>0.0</v>
      </c>
      <c r="AA384" s="47">
        <v>14.4</v>
      </c>
      <c r="AB384" s="47">
        <v>20.0</v>
      </c>
      <c r="AC384" s="47">
        <v>8.0</v>
      </c>
      <c r="AD384" s="47">
        <v>1.25</v>
      </c>
      <c r="AE384" s="47">
        <v>2.0</v>
      </c>
      <c r="AF384" s="47"/>
      <c r="AG384" s="47">
        <v>60.0</v>
      </c>
    </row>
    <row r="385" ht="15.75" customHeight="1">
      <c r="A385" s="35">
        <f>Bill!$Y385</f>
        <v>45943</v>
      </c>
      <c r="B385" s="43">
        <f>'Raw Data'!E387+Bill!$L$2</f>
        <v>156</v>
      </c>
      <c r="C385" s="43">
        <f>'Raw Data'!E387+Bill!$M$2</f>
        <v>161</v>
      </c>
      <c r="D385" s="43">
        <f>('Raw Data'!$F387*2)-10</f>
        <v>222</v>
      </c>
      <c r="E385" s="43">
        <f>'Raw Data'!F387+Bill!$O$2</f>
        <v>136</v>
      </c>
      <c r="F385" s="43">
        <f>'Raw Data'!F387+Bill!$P$2</f>
        <v>141</v>
      </c>
      <c r="G385" s="43">
        <f>'Raw Data'!E387+Bill!$Q$2</f>
        <v>186</v>
      </c>
      <c r="H385" s="43">
        <f>('Raw Data'!F387+Bill!$R$2)</f>
        <v>136</v>
      </c>
      <c r="I385" s="36">
        <f>'Raw Data'!G387/100</f>
        <v>5.7</v>
      </c>
      <c r="K385" s="37">
        <f>Bill!$Y385</f>
        <v>45943</v>
      </c>
      <c r="L385" s="38">
        <f>Bill!$AA385*('Raw Data'!$E387+$L$2)</f>
        <v>733.2</v>
      </c>
      <c r="M385" s="38">
        <f>Bill!$AB385*('Raw Data'!$E387+$M$2)</f>
        <v>499.1</v>
      </c>
      <c r="N385" s="38">
        <f>(('Raw Data'!$F387 * 2)-10)*Bill!$AC385</f>
        <v>1110</v>
      </c>
      <c r="O385" s="38">
        <f>('Raw Data'!F387+Bill!$O$2)*Bill!$AD385</f>
        <v>0</v>
      </c>
      <c r="P385" s="38">
        <f>('Raw Data'!F387+Bill!$P$2)*Bill!$AE385</f>
        <v>564</v>
      </c>
      <c r="Q385" s="38">
        <f>Bill!$Z385*('Raw Data'!$E387+$Q$2)</f>
        <v>0</v>
      </c>
      <c r="R385" s="38">
        <f>('Raw Data'!F387+Bill!$R$2)*Bill!$AF385</f>
        <v>0</v>
      </c>
      <c r="S385" s="48">
        <f>('Raw Data'!G387/100)*Bill!$AG385</f>
        <v>0</v>
      </c>
      <c r="T385" s="38">
        <f>SUM(Bill!$L385:$R385)</f>
        <v>2906.3</v>
      </c>
      <c r="U385" s="49">
        <v>2926.0</v>
      </c>
      <c r="V385" s="50"/>
      <c r="W385" s="38">
        <f>Bill!$U385-Bill!$T385</f>
        <v>19.7</v>
      </c>
      <c r="Y385" s="37">
        <f>'Raw Data'!D387</f>
        <v>45943</v>
      </c>
      <c r="Z385" s="47">
        <v>0.0</v>
      </c>
      <c r="AA385" s="47">
        <v>4.7</v>
      </c>
      <c r="AB385" s="47">
        <v>3.1</v>
      </c>
      <c r="AC385" s="47">
        <v>5.0</v>
      </c>
      <c r="AD385" s="47">
        <v>0.0</v>
      </c>
      <c r="AE385" s="47">
        <v>4.0</v>
      </c>
      <c r="AF385" s="47">
        <v>0.0</v>
      </c>
      <c r="AG385" s="47"/>
    </row>
    <row r="386" ht="15.75" customHeight="1">
      <c r="A386" s="35">
        <f>Bill!$Y386</f>
        <v>45944</v>
      </c>
      <c r="B386" s="43">
        <f>'Raw Data'!E388+Bill!$L$2</f>
        <v>156</v>
      </c>
      <c r="C386" s="43">
        <f>'Raw Data'!E388+Bill!$M$2</f>
        <v>161</v>
      </c>
      <c r="D386" s="43">
        <f>('Raw Data'!$F388*2)-10</f>
        <v>222</v>
      </c>
      <c r="E386" s="43">
        <f>'Raw Data'!F388+Bill!$O$2</f>
        <v>136</v>
      </c>
      <c r="F386" s="43">
        <f>'Raw Data'!F388+Bill!$P$2</f>
        <v>141</v>
      </c>
      <c r="G386" s="43">
        <f>'Raw Data'!E388+Bill!$Q$2</f>
        <v>186</v>
      </c>
      <c r="H386" s="43">
        <f>('Raw Data'!F388+Bill!$R$2)</f>
        <v>136</v>
      </c>
      <c r="I386" s="36">
        <f>'Raw Data'!G388/100</f>
        <v>5.75</v>
      </c>
      <c r="K386" s="37">
        <f>Bill!$Y386</f>
        <v>45944</v>
      </c>
      <c r="L386" s="38">
        <f>Bill!$AA386*('Raw Data'!$E388+$L$2)</f>
        <v>889.2</v>
      </c>
      <c r="M386" s="38">
        <f>Bill!$AB386*('Raw Data'!$E388+$M$2)</f>
        <v>1634.15</v>
      </c>
      <c r="N386" s="38">
        <f>(('Raw Data'!$F388 * 2)-10)*Bill!$AC386</f>
        <v>444</v>
      </c>
      <c r="O386" s="38">
        <f>('Raw Data'!F388+Bill!$O$2)*Bill!$AD386</f>
        <v>0</v>
      </c>
      <c r="P386" s="38">
        <f>('Raw Data'!F388+Bill!$P$2)*Bill!$AE386</f>
        <v>141</v>
      </c>
      <c r="Q386" s="38">
        <f>Bill!$Z386*('Raw Data'!$E388+$Q$2)</f>
        <v>0</v>
      </c>
      <c r="R386" s="38">
        <f>('Raw Data'!F388+Bill!$R$2)*Bill!$AF386</f>
        <v>0</v>
      </c>
      <c r="S386" s="48">
        <f>('Raw Data'!G388/100)*Bill!$AG386</f>
        <v>0</v>
      </c>
      <c r="T386" s="38">
        <f>SUM(Bill!$L386:$R386)</f>
        <v>3108.35</v>
      </c>
      <c r="U386" s="49">
        <v>3113.0</v>
      </c>
      <c r="V386" s="50"/>
      <c r="W386" s="38">
        <f>Bill!$U386-Bill!$T386</f>
        <v>4.65</v>
      </c>
      <c r="Y386" s="37">
        <f>'Raw Data'!D388</f>
        <v>45944</v>
      </c>
      <c r="Z386" s="47">
        <v>0.0</v>
      </c>
      <c r="AA386" s="47">
        <v>5.7</v>
      </c>
      <c r="AB386" s="47">
        <v>10.15</v>
      </c>
      <c r="AC386" s="47">
        <v>2.0</v>
      </c>
      <c r="AD386" s="47"/>
      <c r="AE386" s="47">
        <v>1.0</v>
      </c>
      <c r="AF386" s="47"/>
      <c r="AG386" s="47"/>
    </row>
    <row r="387" ht="15.75" customHeight="1">
      <c r="A387" s="35">
        <f>Bill!$Y387</f>
        <v>45945</v>
      </c>
      <c r="B387" s="43">
        <f>'Raw Data'!E389+Bill!$L$2</f>
        <v>156</v>
      </c>
      <c r="C387" s="43">
        <f>'Raw Data'!E389+Bill!$M$2</f>
        <v>161</v>
      </c>
      <c r="D387" s="43">
        <f>('Raw Data'!$F389*2)-10</f>
        <v>226</v>
      </c>
      <c r="E387" s="43">
        <f>'Raw Data'!F389+Bill!$O$2</f>
        <v>138</v>
      </c>
      <c r="F387" s="43">
        <f>'Raw Data'!F389+Bill!$P$2</f>
        <v>143</v>
      </c>
      <c r="G387" s="43">
        <f>'Raw Data'!E389+Bill!$Q$2</f>
        <v>186</v>
      </c>
      <c r="H387" s="43">
        <f>('Raw Data'!F389+Bill!$R$2)</f>
        <v>138</v>
      </c>
      <c r="I387" s="36">
        <f>'Raw Data'!G389/100</f>
        <v>5.8</v>
      </c>
      <c r="K387" s="37">
        <f>Bill!$Y387</f>
        <v>45945</v>
      </c>
      <c r="L387" s="38">
        <f>Bill!$AA387*('Raw Data'!$E389+$L$2)</f>
        <v>1684.8</v>
      </c>
      <c r="M387" s="38">
        <f>Bill!$AB387*('Raw Data'!$E389+$M$2)</f>
        <v>2415</v>
      </c>
      <c r="N387" s="38">
        <f>(('Raw Data'!$F389 * 2)-10)*Bill!$AC387</f>
        <v>678</v>
      </c>
      <c r="O387" s="38">
        <f>('Raw Data'!F389+Bill!$O$2)*Bill!$AD387</f>
        <v>0</v>
      </c>
      <c r="P387" s="38">
        <f>('Raw Data'!F389+Bill!$P$2)*Bill!$AE387</f>
        <v>429</v>
      </c>
      <c r="Q387" s="38">
        <f>Bill!$Z387*('Raw Data'!$E389+$Q$2)</f>
        <v>0</v>
      </c>
      <c r="R387" s="38">
        <f>('Raw Data'!F389+Bill!$R$2)*Bill!$AF387</f>
        <v>0</v>
      </c>
      <c r="S387" s="48">
        <f>('Raw Data'!G389/100)*Bill!$AG387</f>
        <v>0</v>
      </c>
      <c r="T387" s="38">
        <f>SUM(Bill!$L387:$R387)</f>
        <v>5206.8</v>
      </c>
      <c r="U387" s="49">
        <v>5222.0</v>
      </c>
      <c r="V387" s="50"/>
      <c r="W387" s="38">
        <f>Bill!$U387-Bill!$T387</f>
        <v>15.2</v>
      </c>
      <c r="Y387" s="37">
        <f>'Raw Data'!D389</f>
        <v>45945</v>
      </c>
      <c r="Z387" s="47">
        <v>0.0</v>
      </c>
      <c r="AA387" s="47">
        <v>10.8</v>
      </c>
      <c r="AB387" s="47">
        <v>15.0</v>
      </c>
      <c r="AC387" s="47">
        <v>3.0</v>
      </c>
      <c r="AD387" s="47">
        <v>0.0</v>
      </c>
      <c r="AE387" s="47">
        <v>3.0</v>
      </c>
      <c r="AF387" s="47">
        <v>0.0</v>
      </c>
      <c r="AG387" s="47"/>
    </row>
    <row r="388" ht="15.75" customHeight="1">
      <c r="A388" s="35">
        <f>Bill!$Y388</f>
        <v>45946</v>
      </c>
      <c r="B388" s="43">
        <f>'Raw Data'!E390+Bill!$L$2</f>
        <v>154</v>
      </c>
      <c r="C388" s="43">
        <f>'Raw Data'!E390+Bill!$M$2</f>
        <v>159</v>
      </c>
      <c r="D388" s="43">
        <f>('Raw Data'!$F390*2)-10</f>
        <v>230</v>
      </c>
      <c r="E388" s="43">
        <f>'Raw Data'!F390+Bill!$O$2</f>
        <v>140</v>
      </c>
      <c r="F388" s="43">
        <f>'Raw Data'!F390+Bill!$P$2</f>
        <v>145</v>
      </c>
      <c r="G388" s="43">
        <f>'Raw Data'!E390+Bill!$Q$2</f>
        <v>184</v>
      </c>
      <c r="H388" s="43">
        <f>('Raw Data'!F390+Bill!$R$2)</f>
        <v>140</v>
      </c>
      <c r="I388" s="36">
        <f>'Raw Data'!G390/100</f>
        <v>5.85</v>
      </c>
      <c r="K388" s="37">
        <f>Bill!$Y388</f>
        <v>45946</v>
      </c>
      <c r="L388" s="38">
        <f>Bill!$AA388*('Raw Data'!$E390+$L$2)</f>
        <v>2294.6</v>
      </c>
      <c r="M388" s="38">
        <f>Bill!$AB388*('Raw Data'!$E390+$M$2)</f>
        <v>2400.9</v>
      </c>
      <c r="N388" s="38">
        <f>(('Raw Data'!$F390 * 2)-10)*Bill!$AC388</f>
        <v>1610</v>
      </c>
      <c r="O388" s="38">
        <f>('Raw Data'!F390+Bill!$O$2)*Bill!$AD388</f>
        <v>0</v>
      </c>
      <c r="P388" s="38">
        <f>('Raw Data'!F390+Bill!$P$2)*Bill!$AE388</f>
        <v>290</v>
      </c>
      <c r="Q388" s="38">
        <f>Bill!$Z388*('Raw Data'!$E390+$Q$2)</f>
        <v>0</v>
      </c>
      <c r="R388" s="38">
        <f>('Raw Data'!F390+Bill!$R$2)*Bill!$AF388</f>
        <v>0</v>
      </c>
      <c r="S388" s="48">
        <f>('Raw Data'!G390/100)*Bill!$AG388</f>
        <v>351</v>
      </c>
      <c r="T388" s="38">
        <f>SUM(Bill!$L388:$R388)</f>
        <v>6595.5</v>
      </c>
      <c r="U388" s="49">
        <v>6605.0</v>
      </c>
      <c r="V388" s="50"/>
      <c r="W388" s="38">
        <f>Bill!$U388-Bill!$T388</f>
        <v>9.5</v>
      </c>
      <c r="Y388" s="37">
        <f>'Raw Data'!D390</f>
        <v>45946</v>
      </c>
      <c r="Z388" s="47">
        <v>0.0</v>
      </c>
      <c r="AA388" s="47">
        <v>14.9</v>
      </c>
      <c r="AB388" s="47">
        <v>15.1</v>
      </c>
      <c r="AC388" s="47">
        <v>7.0</v>
      </c>
      <c r="AD388" s="47"/>
      <c r="AE388" s="47">
        <v>2.0</v>
      </c>
      <c r="AF388" s="47"/>
      <c r="AG388" s="47">
        <v>60.0</v>
      </c>
    </row>
    <row r="389" ht="15.75" customHeight="1">
      <c r="A389" s="35">
        <f>Bill!$Y389</f>
        <v>45947</v>
      </c>
      <c r="B389" s="43">
        <f>'Raw Data'!E391+Bill!$L$2</f>
        <v>156</v>
      </c>
      <c r="C389" s="43">
        <f>'Raw Data'!E391+Bill!$M$2</f>
        <v>161</v>
      </c>
      <c r="D389" s="43">
        <f>('Raw Data'!$F391*2)-10</f>
        <v>234</v>
      </c>
      <c r="E389" s="43">
        <f>'Raw Data'!F391+Bill!$O$2</f>
        <v>142</v>
      </c>
      <c r="F389" s="43">
        <f>'Raw Data'!F391+Bill!$P$2</f>
        <v>147</v>
      </c>
      <c r="G389" s="43">
        <f>'Raw Data'!E391+Bill!$Q$2</f>
        <v>186</v>
      </c>
      <c r="H389" s="43">
        <f>('Raw Data'!F391+Bill!$R$2)</f>
        <v>142</v>
      </c>
      <c r="I389" s="36">
        <f>'Raw Data'!G391/100</f>
        <v>5.9</v>
      </c>
      <c r="K389" s="37">
        <f>Bill!$Y389</f>
        <v>45947</v>
      </c>
      <c r="L389" s="38">
        <f>Bill!$AA389*('Raw Data'!$E391+$L$2)</f>
        <v>2238.6</v>
      </c>
      <c r="M389" s="38">
        <f>Bill!$AB389*('Raw Data'!$E391+$M$2)</f>
        <v>837.2</v>
      </c>
      <c r="N389" s="38">
        <f>(('Raw Data'!$F391 * 2)-10)*Bill!$AC389</f>
        <v>1638</v>
      </c>
      <c r="O389" s="38">
        <f>('Raw Data'!F391+Bill!$O$2)*Bill!$AD389</f>
        <v>0</v>
      </c>
      <c r="P389" s="38">
        <f>('Raw Data'!F391+Bill!$P$2)*Bill!$AE389</f>
        <v>147</v>
      </c>
      <c r="Q389" s="38">
        <f>Bill!$Z389*('Raw Data'!$E391+$Q$2)</f>
        <v>0</v>
      </c>
      <c r="R389" s="38">
        <f>('Raw Data'!F391+Bill!$R$2)*Bill!$AF389</f>
        <v>0</v>
      </c>
      <c r="S389" s="48">
        <f>('Raw Data'!G391/100)*Bill!$AG389</f>
        <v>0</v>
      </c>
      <c r="T389" s="38">
        <f>SUM(Bill!$L389:$R389)</f>
        <v>4860.8</v>
      </c>
      <c r="U389" s="49">
        <v>4866.0</v>
      </c>
      <c r="V389" s="50"/>
      <c r="W389" s="38">
        <f>Bill!$U389-Bill!$T389</f>
        <v>5.2</v>
      </c>
      <c r="Y389" s="37">
        <f>'Raw Data'!D391</f>
        <v>45947</v>
      </c>
      <c r="Z389" s="47">
        <v>0.0</v>
      </c>
      <c r="AA389" s="47">
        <v>14.35</v>
      </c>
      <c r="AB389" s="47">
        <v>5.2</v>
      </c>
      <c r="AC389" s="47">
        <v>7.0</v>
      </c>
      <c r="AD389" s="47"/>
      <c r="AE389" s="47">
        <v>1.0</v>
      </c>
      <c r="AF389" s="47"/>
      <c r="AG389" s="47"/>
    </row>
    <row r="390" ht="15.75" customHeight="1">
      <c r="A390" s="35">
        <f>Bill!$Y390</f>
        <v>45948</v>
      </c>
      <c r="B390" s="43">
        <f>'Raw Data'!E392+Bill!$L$2</f>
        <v>156</v>
      </c>
      <c r="C390" s="43">
        <f>'Raw Data'!E392+Bill!$M$2</f>
        <v>161</v>
      </c>
      <c r="D390" s="43">
        <f>('Raw Data'!$F392*2)-10</f>
        <v>234</v>
      </c>
      <c r="E390" s="43">
        <f>'Raw Data'!F392+Bill!$O$2</f>
        <v>142</v>
      </c>
      <c r="F390" s="43">
        <f>'Raw Data'!F392+Bill!$P$2</f>
        <v>147</v>
      </c>
      <c r="G390" s="43">
        <f>'Raw Data'!E392+Bill!$Q$2</f>
        <v>186</v>
      </c>
      <c r="H390" s="43">
        <f>('Raw Data'!F392+Bill!$R$2)</f>
        <v>142</v>
      </c>
      <c r="I390" s="36">
        <f>'Raw Data'!G392/100</f>
        <v>5.95</v>
      </c>
      <c r="K390" s="37">
        <f>Bill!$Y390</f>
        <v>45948</v>
      </c>
      <c r="L390" s="38">
        <f>Bill!$AA390*('Raw Data'!$E392+$L$2)</f>
        <v>0</v>
      </c>
      <c r="M390" s="38">
        <f>Bill!$AB390*('Raw Data'!$E392+$M$2)</f>
        <v>805</v>
      </c>
      <c r="N390" s="38">
        <f>(('Raw Data'!$F392 * 2)-10)*Bill!$AC390</f>
        <v>702</v>
      </c>
      <c r="O390" s="38">
        <f>('Raw Data'!F392+Bill!$O$2)*Bill!$AD390</f>
        <v>0</v>
      </c>
      <c r="P390" s="38">
        <f>('Raw Data'!F392+Bill!$P$2)*Bill!$AE390</f>
        <v>0</v>
      </c>
      <c r="Q390" s="38">
        <f>Bill!$Z390*('Raw Data'!$E392+$Q$2)</f>
        <v>0</v>
      </c>
      <c r="R390" s="38">
        <f>('Raw Data'!F392+Bill!$R$2)*Bill!$AF390</f>
        <v>0</v>
      </c>
      <c r="S390" s="48">
        <f>('Raw Data'!G392/100)*Bill!$AG390</f>
        <v>0</v>
      </c>
      <c r="T390" s="38">
        <f>SUM(Bill!$L390:$R390)</f>
        <v>1507</v>
      </c>
      <c r="U390" s="49">
        <v>1507.0</v>
      </c>
      <c r="V390" s="50"/>
      <c r="W390" s="38">
        <f>Bill!$U390-Bill!$T390</f>
        <v>0</v>
      </c>
      <c r="Y390" s="37">
        <f>'Raw Data'!D392</f>
        <v>45948</v>
      </c>
      <c r="Z390" s="47">
        <v>0.0</v>
      </c>
      <c r="AA390" s="47"/>
      <c r="AB390" s="47">
        <v>5.0</v>
      </c>
      <c r="AC390" s="47">
        <v>3.0</v>
      </c>
      <c r="AD390" s="47"/>
      <c r="AE390" s="47"/>
      <c r="AF390" s="47"/>
      <c r="AG390" s="47"/>
    </row>
    <row r="391" ht="15.75" customHeight="1">
      <c r="A391" s="35">
        <f>Bill!$Y391</f>
        <v>45949</v>
      </c>
      <c r="B391" s="43">
        <f>'Raw Data'!E393+Bill!$L$2</f>
        <v>158</v>
      </c>
      <c r="C391" s="43">
        <f>'Raw Data'!E393+Bill!$M$2</f>
        <v>163</v>
      </c>
      <c r="D391" s="43">
        <f>('Raw Data'!$F393*2)-10</f>
        <v>250</v>
      </c>
      <c r="E391" s="43">
        <f>'Raw Data'!F393+Bill!$O$2</f>
        <v>150</v>
      </c>
      <c r="F391" s="43">
        <f>'Raw Data'!F393+Bill!$P$2</f>
        <v>155</v>
      </c>
      <c r="G391" s="43">
        <f>'Raw Data'!E393+Bill!$Q$2</f>
        <v>188</v>
      </c>
      <c r="H391" s="43">
        <f>('Raw Data'!F393+Bill!$R$2)</f>
        <v>150</v>
      </c>
      <c r="I391" s="36">
        <f>'Raw Data'!G393/100</f>
        <v>6.01</v>
      </c>
      <c r="K391" s="37">
        <f>Bill!$Y391</f>
        <v>45949</v>
      </c>
      <c r="L391" s="38">
        <f>Bill!$AA391*('Raw Data'!$E393+$L$2)</f>
        <v>805.8</v>
      </c>
      <c r="M391" s="38">
        <f>Bill!$AB391*('Raw Data'!$E393+$M$2)</f>
        <v>847.6</v>
      </c>
      <c r="N391" s="38">
        <f>(('Raw Data'!$F393 * 2)-10)*Bill!$AC391</f>
        <v>0</v>
      </c>
      <c r="O391" s="38">
        <f>('Raw Data'!F393+Bill!$O$2)*Bill!$AD391</f>
        <v>0</v>
      </c>
      <c r="P391" s="38">
        <f>('Raw Data'!F393+Bill!$P$2)*Bill!$AE391</f>
        <v>0</v>
      </c>
      <c r="Q391" s="38">
        <f>Bill!$Z391*('Raw Data'!$E393+$Q$2)</f>
        <v>0</v>
      </c>
      <c r="R391" s="38">
        <f>('Raw Data'!F393+Bill!$R$2)*Bill!$AF391</f>
        <v>0</v>
      </c>
      <c r="S391" s="48">
        <f>('Raw Data'!G393/100)*Bill!$AG391</f>
        <v>0</v>
      </c>
      <c r="T391" s="38">
        <f>SUM(Bill!$L391:$R391)</f>
        <v>1653.4</v>
      </c>
      <c r="U391" s="49">
        <v>1654.0</v>
      </c>
      <c r="V391" s="50"/>
      <c r="W391" s="38">
        <f>Bill!$U391-Bill!$T391</f>
        <v>0.6</v>
      </c>
      <c r="Y391" s="37">
        <f>'Raw Data'!D393</f>
        <v>45949</v>
      </c>
      <c r="Z391" s="47">
        <v>0.0</v>
      </c>
      <c r="AA391" s="47">
        <v>5.1</v>
      </c>
      <c r="AB391" s="47">
        <v>5.2</v>
      </c>
      <c r="AC391" s="47"/>
      <c r="AD391" s="47"/>
      <c r="AE391" s="47"/>
      <c r="AF391" s="47"/>
      <c r="AG391" s="47"/>
    </row>
    <row r="392" ht="15.75" customHeight="1">
      <c r="A392" s="35">
        <f>Bill!$Y392</f>
        <v>45950</v>
      </c>
      <c r="B392" s="43">
        <f>'Raw Data'!E394+Bill!$L$2</f>
        <v>158</v>
      </c>
      <c r="C392" s="43">
        <f>'Raw Data'!E394+Bill!$M$2</f>
        <v>163</v>
      </c>
      <c r="D392" s="43">
        <f>('Raw Data'!$F394*2)-10</f>
        <v>250</v>
      </c>
      <c r="E392" s="43">
        <f>'Raw Data'!F394+Bill!$O$2</f>
        <v>150</v>
      </c>
      <c r="F392" s="43">
        <f>'Raw Data'!F394+Bill!$P$2</f>
        <v>155</v>
      </c>
      <c r="G392" s="43">
        <f>'Raw Data'!E394+Bill!$Q$2</f>
        <v>188</v>
      </c>
      <c r="H392" s="43">
        <f>('Raw Data'!F394+Bill!$R$2)</f>
        <v>150</v>
      </c>
      <c r="I392" s="36">
        <f>'Raw Data'!G394/100</f>
        <v>6.01</v>
      </c>
      <c r="K392" s="37">
        <f>Bill!$Y392</f>
        <v>45950</v>
      </c>
      <c r="L392" s="38">
        <f>Bill!$AA392*('Raw Data'!$E394+$L$2)</f>
        <v>0</v>
      </c>
      <c r="M392" s="38">
        <f>Bill!$AB392*('Raw Data'!$E394+$M$2)</f>
        <v>0</v>
      </c>
      <c r="N392" s="38">
        <f>(('Raw Data'!$F394 * 2)-10)*Bill!$AC392</f>
        <v>750</v>
      </c>
      <c r="O392" s="38">
        <f>('Raw Data'!F394+Bill!$O$2)*Bill!$AD392</f>
        <v>0</v>
      </c>
      <c r="P392" s="38">
        <f>('Raw Data'!F394+Bill!$P$2)*Bill!$AE392</f>
        <v>635.5</v>
      </c>
      <c r="Q392" s="38">
        <f>Bill!$Z392*('Raw Data'!$E394+$Q$2)</f>
        <v>0</v>
      </c>
      <c r="R392" s="38">
        <f>('Raw Data'!F394+Bill!$R$2)*Bill!$AF392</f>
        <v>0</v>
      </c>
      <c r="S392" s="48">
        <f>('Raw Data'!G394/100)*Bill!$AG392</f>
        <v>0</v>
      </c>
      <c r="T392" s="38">
        <f>SUM(Bill!$L392:$R392)</f>
        <v>1385.5</v>
      </c>
      <c r="U392" s="49">
        <v>1390.0</v>
      </c>
      <c r="V392" s="50"/>
      <c r="W392" s="38">
        <f>Bill!$U392-Bill!$T392</f>
        <v>4.5</v>
      </c>
      <c r="Y392" s="37">
        <f>'Raw Data'!D394</f>
        <v>45950</v>
      </c>
      <c r="Z392" s="47">
        <v>0.0</v>
      </c>
      <c r="AA392" s="47"/>
      <c r="AB392" s="47"/>
      <c r="AC392" s="47">
        <v>3.0</v>
      </c>
      <c r="AD392" s="47"/>
      <c r="AE392" s="47">
        <v>4.1</v>
      </c>
      <c r="AF392" s="47"/>
      <c r="AG392" s="47"/>
    </row>
    <row r="393" ht="15.75" customHeight="1">
      <c r="A393" s="35">
        <f>Bill!$Y393</f>
        <v>45951</v>
      </c>
      <c r="B393" s="43">
        <f>'Raw Data'!E395+Bill!$L$2</f>
        <v>158</v>
      </c>
      <c r="C393" s="43">
        <f>'Raw Data'!E395+Bill!$M$2</f>
        <v>163</v>
      </c>
      <c r="D393" s="43">
        <f>('Raw Data'!$F395*2)-10</f>
        <v>250</v>
      </c>
      <c r="E393" s="43">
        <f>'Raw Data'!F395+Bill!$O$2</f>
        <v>150</v>
      </c>
      <c r="F393" s="43">
        <f>'Raw Data'!F395+Bill!$P$2</f>
        <v>155</v>
      </c>
      <c r="G393" s="43">
        <f>'Raw Data'!E395+Bill!$Q$2</f>
        <v>188</v>
      </c>
      <c r="H393" s="43">
        <f>('Raw Data'!F395+Bill!$R$2)</f>
        <v>150</v>
      </c>
      <c r="I393" s="36">
        <f>'Raw Data'!G395/100</f>
        <v>6.01</v>
      </c>
      <c r="K393" s="37">
        <f>Bill!$Y393</f>
        <v>45951</v>
      </c>
      <c r="L393" s="38">
        <f>Bill!$AA393*('Raw Data'!$E395+$L$2)</f>
        <v>805.8</v>
      </c>
      <c r="M393" s="38">
        <f>Bill!$AB393*('Raw Data'!$E395+$M$2)</f>
        <v>1646.3</v>
      </c>
      <c r="N393" s="38">
        <f>(('Raw Data'!$F395 * 2)-10)*Bill!$AC393</f>
        <v>1250</v>
      </c>
      <c r="O393" s="38">
        <f>('Raw Data'!F395+Bill!$O$2)*Bill!$AD393</f>
        <v>0</v>
      </c>
      <c r="P393" s="38">
        <f>('Raw Data'!F395+Bill!$P$2)*Bill!$AE393</f>
        <v>0</v>
      </c>
      <c r="Q393" s="38">
        <f>Bill!$Z393*('Raw Data'!$E395+$Q$2)</f>
        <v>0</v>
      </c>
      <c r="R393" s="38">
        <f>('Raw Data'!F395+Bill!$R$2)*Bill!$AF393</f>
        <v>0</v>
      </c>
      <c r="S393" s="48">
        <f>('Raw Data'!G395/100)*Bill!$AG393</f>
        <v>0</v>
      </c>
      <c r="T393" s="38">
        <f>SUM(Bill!$L393:$R393)</f>
        <v>3702.1</v>
      </c>
      <c r="U393" s="49">
        <v>3702.0</v>
      </c>
      <c r="V393" s="50"/>
      <c r="W393" s="38">
        <f>Bill!$U393-Bill!$T393</f>
        <v>-0.1</v>
      </c>
      <c r="Y393" s="37">
        <f>'Raw Data'!D395</f>
        <v>45951</v>
      </c>
      <c r="Z393" s="47">
        <v>0.0</v>
      </c>
      <c r="AA393" s="47">
        <v>5.1</v>
      </c>
      <c r="AB393" s="47">
        <v>10.1</v>
      </c>
      <c r="AC393" s="47">
        <v>5.0</v>
      </c>
      <c r="AD393" s="47"/>
      <c r="AE393" s="47"/>
      <c r="AF393" s="47"/>
      <c r="AG393" s="47"/>
    </row>
    <row r="394" ht="15.75" customHeight="1">
      <c r="A394" s="35">
        <f>Bill!$Y394</f>
        <v>45952</v>
      </c>
      <c r="B394" s="43">
        <f>'Raw Data'!E396+Bill!$L$2</f>
        <v>158</v>
      </c>
      <c r="C394" s="43">
        <f>'Raw Data'!E396+Bill!$M$2</f>
        <v>163</v>
      </c>
      <c r="D394" s="43">
        <f>('Raw Data'!$F396*2)-10</f>
        <v>250</v>
      </c>
      <c r="E394" s="43">
        <f>'Raw Data'!F396+Bill!$O$2</f>
        <v>150</v>
      </c>
      <c r="F394" s="43">
        <f>'Raw Data'!F396+Bill!$P$2</f>
        <v>155</v>
      </c>
      <c r="G394" s="43">
        <f>'Raw Data'!E396+Bill!$Q$2</f>
        <v>188</v>
      </c>
      <c r="H394" s="43">
        <f>('Raw Data'!F396+Bill!$R$2)</f>
        <v>150</v>
      </c>
      <c r="I394" s="36">
        <f>'Raw Data'!G396/100</f>
        <v>6.01</v>
      </c>
      <c r="K394" s="37">
        <f>Bill!$Y394</f>
        <v>45952</v>
      </c>
      <c r="L394" s="38">
        <f>Bill!$AA394*('Raw Data'!$E396+$L$2)</f>
        <v>750.5</v>
      </c>
      <c r="M394" s="38">
        <f>Bill!$AB394*('Raw Data'!$E396+$M$2)</f>
        <v>2445</v>
      </c>
      <c r="N394" s="38">
        <f>(('Raw Data'!$F396 * 2)-10)*Bill!$AC394</f>
        <v>1750</v>
      </c>
      <c r="O394" s="38">
        <f>('Raw Data'!F396+Bill!$O$2)*Bill!$AD394</f>
        <v>0</v>
      </c>
      <c r="P394" s="38">
        <f>('Raw Data'!F396+Bill!$P$2)*Bill!$AE394</f>
        <v>310</v>
      </c>
      <c r="Q394" s="38">
        <f>Bill!$Z394*('Raw Data'!$E396+$Q$2)</f>
        <v>0</v>
      </c>
      <c r="R394" s="38">
        <f>('Raw Data'!F396+Bill!$R$2)*Bill!$AF394</f>
        <v>0</v>
      </c>
      <c r="S394" s="48">
        <f>('Raw Data'!G396/100)*Bill!$AG394</f>
        <v>0</v>
      </c>
      <c r="T394" s="38">
        <f>SUM(Bill!$L394:$R394)</f>
        <v>5255.5</v>
      </c>
      <c r="U394" s="49">
        <v>5266.0</v>
      </c>
      <c r="V394" s="50"/>
      <c r="W394" s="38">
        <f>Bill!$U394-Bill!$T394</f>
        <v>10.5</v>
      </c>
      <c r="Y394" s="37">
        <f>'Raw Data'!D396</f>
        <v>45952</v>
      </c>
      <c r="Z394" s="47">
        <v>0.0</v>
      </c>
      <c r="AA394" s="47">
        <v>4.75</v>
      </c>
      <c r="AB394" s="47">
        <v>15.0</v>
      </c>
      <c r="AC394" s="47">
        <v>7.0</v>
      </c>
      <c r="AD394" s="47"/>
      <c r="AE394" s="47">
        <v>2.0</v>
      </c>
      <c r="AF394" s="47"/>
      <c r="AG394" s="47"/>
    </row>
    <row r="395" ht="15.75" customHeight="1">
      <c r="A395" s="35">
        <f>Bill!$Y395</f>
        <v>45953</v>
      </c>
      <c r="B395" s="43">
        <f>'Raw Data'!E397+Bill!$L$2</f>
        <v>162</v>
      </c>
      <c r="C395" s="43">
        <f>'Raw Data'!E397+Bill!$M$2</f>
        <v>167</v>
      </c>
      <c r="D395" s="43">
        <f>('Raw Data'!$F397*2)-10</f>
        <v>262</v>
      </c>
      <c r="E395" s="43">
        <f>'Raw Data'!F397+Bill!$O$2</f>
        <v>156</v>
      </c>
      <c r="F395" s="43">
        <f>'Raw Data'!F397+Bill!$P$2</f>
        <v>161</v>
      </c>
      <c r="G395" s="43">
        <f>'Raw Data'!E397+Bill!$Q$2</f>
        <v>192</v>
      </c>
      <c r="H395" s="43">
        <f>('Raw Data'!F397+Bill!$R$2)</f>
        <v>156</v>
      </c>
      <c r="I395" s="36">
        <f>'Raw Data'!G397/100</f>
        <v>6.01</v>
      </c>
      <c r="K395" s="37">
        <f>Bill!$Y395</f>
        <v>45953</v>
      </c>
      <c r="L395" s="38">
        <f>Bill!$AA395*('Raw Data'!$E397+$L$2)</f>
        <v>810</v>
      </c>
      <c r="M395" s="38">
        <f>Bill!$AB395*('Raw Data'!$E397+$M$2)</f>
        <v>534.4</v>
      </c>
      <c r="N395" s="38">
        <f>(('Raw Data'!$F397 * 2)-10)*Bill!$AC395</f>
        <v>524</v>
      </c>
      <c r="O395" s="38">
        <f>('Raw Data'!F397+Bill!$O$2)*Bill!$AD395</f>
        <v>343.2</v>
      </c>
      <c r="P395" s="38">
        <f>('Raw Data'!F397+Bill!$P$2)*Bill!$AE395</f>
        <v>161</v>
      </c>
      <c r="Q395" s="38">
        <f>Bill!$Z395*('Raw Data'!$E397+$Q$2)</f>
        <v>0</v>
      </c>
      <c r="R395" s="38">
        <f>('Raw Data'!F397+Bill!$R$2)*Bill!$AF395</f>
        <v>0</v>
      </c>
      <c r="S395" s="48">
        <f>('Raw Data'!G397/100)*Bill!$AG395</f>
        <v>0</v>
      </c>
      <c r="T395" s="38">
        <f>SUM(Bill!$L395:$R395)</f>
        <v>2372.6</v>
      </c>
      <c r="U395" s="49">
        <v>2368.0</v>
      </c>
      <c r="V395" s="50"/>
      <c r="W395" s="38">
        <f>Bill!$U395-Bill!$T395</f>
        <v>-4.6</v>
      </c>
      <c r="Y395" s="37">
        <f>'Raw Data'!D397</f>
        <v>45953</v>
      </c>
      <c r="Z395" s="47">
        <v>0.0</v>
      </c>
      <c r="AA395" s="47">
        <v>5.0</v>
      </c>
      <c r="AB395" s="47">
        <v>3.2</v>
      </c>
      <c r="AC395" s="47">
        <v>2.0</v>
      </c>
      <c r="AD395" s="47">
        <v>2.2</v>
      </c>
      <c r="AE395" s="47">
        <v>1.0</v>
      </c>
      <c r="AF395" s="47"/>
      <c r="AG395" s="47"/>
    </row>
    <row r="396" ht="15.75" customHeight="1">
      <c r="A396" s="35">
        <f>Bill!$Y396</f>
        <v>45954</v>
      </c>
      <c r="B396" s="43">
        <f>'Raw Data'!E398+Bill!$L$2</f>
        <v>162</v>
      </c>
      <c r="C396" s="43">
        <f>'Raw Data'!E398+Bill!$M$2</f>
        <v>167</v>
      </c>
      <c r="D396" s="43">
        <f>('Raw Data'!$F398*2)-10</f>
        <v>262</v>
      </c>
      <c r="E396" s="43">
        <f>'Raw Data'!F398+Bill!$O$2</f>
        <v>156</v>
      </c>
      <c r="F396" s="43">
        <f>'Raw Data'!F398+Bill!$P$2</f>
        <v>161</v>
      </c>
      <c r="G396" s="43">
        <f>'Raw Data'!E398+Bill!$Q$2</f>
        <v>192</v>
      </c>
      <c r="H396" s="43">
        <f>('Raw Data'!F398+Bill!$R$2)</f>
        <v>156</v>
      </c>
      <c r="I396" s="36">
        <f>'Raw Data'!G398/100</f>
        <v>6.01</v>
      </c>
      <c r="K396" s="37">
        <f>Bill!$Y396</f>
        <v>45954</v>
      </c>
      <c r="L396" s="38">
        <f>Bill!$AA396*('Raw Data'!$E398+$L$2)</f>
        <v>907.2</v>
      </c>
      <c r="M396" s="38">
        <f>Bill!$AB396*('Raw Data'!$E398+$M$2)</f>
        <v>1703.4</v>
      </c>
      <c r="N396" s="38">
        <f>(('Raw Data'!$F398 * 2)-10)*Bill!$AC396</f>
        <v>1310</v>
      </c>
      <c r="O396" s="38">
        <f>('Raw Data'!F398+Bill!$O$2)*Bill!$AD396</f>
        <v>0</v>
      </c>
      <c r="P396" s="38">
        <f>('Raw Data'!F398+Bill!$P$2)*Bill!$AE396</f>
        <v>322</v>
      </c>
      <c r="Q396" s="38">
        <f>Bill!$Z396*('Raw Data'!$E398+$Q$2)</f>
        <v>0</v>
      </c>
      <c r="R396" s="38">
        <f>('Raw Data'!F398+Bill!$R$2)*Bill!$AF396</f>
        <v>0</v>
      </c>
      <c r="S396" s="48">
        <f>('Raw Data'!G398/100)*Bill!$AG396</f>
        <v>0</v>
      </c>
      <c r="T396" s="38">
        <f>SUM(Bill!$L396:$R396)</f>
        <v>4242.6</v>
      </c>
      <c r="U396" s="49">
        <v>4332.0</v>
      </c>
      <c r="V396" s="50"/>
      <c r="W396" s="38">
        <f>Bill!$U396-Bill!$T396</f>
        <v>89.4</v>
      </c>
      <c r="Y396" s="37">
        <f>'Raw Data'!D398</f>
        <v>45954</v>
      </c>
      <c r="Z396" s="47">
        <v>0.0</v>
      </c>
      <c r="AA396" s="47">
        <v>5.6</v>
      </c>
      <c r="AB396" s="47">
        <v>10.2</v>
      </c>
      <c r="AC396" s="47">
        <v>5.0</v>
      </c>
      <c r="AD396" s="47"/>
      <c r="AE396" s="47">
        <v>2.0</v>
      </c>
      <c r="AF396" s="47"/>
      <c r="AG396" s="47"/>
    </row>
    <row r="397" ht="15.75" customHeight="1">
      <c r="A397" s="35">
        <f>Bill!$Y397</f>
        <v>45955</v>
      </c>
      <c r="B397" s="43">
        <f>'Raw Data'!E399+Bill!$L$2</f>
        <v>164</v>
      </c>
      <c r="C397" s="43">
        <f>'Raw Data'!E399+Bill!$M$2</f>
        <v>169</v>
      </c>
      <c r="D397" s="43">
        <f>('Raw Data'!$F399*2)-10</f>
        <v>270</v>
      </c>
      <c r="E397" s="43">
        <f>'Raw Data'!F399+Bill!$O$2</f>
        <v>160</v>
      </c>
      <c r="F397" s="43">
        <f>'Raw Data'!F399+Bill!$P$2</f>
        <v>165</v>
      </c>
      <c r="G397" s="43">
        <f>'Raw Data'!E399+Bill!$Q$2</f>
        <v>194</v>
      </c>
      <c r="H397" s="43">
        <f>('Raw Data'!F399+Bill!$R$2)</f>
        <v>160</v>
      </c>
      <c r="I397" s="36">
        <f>'Raw Data'!G399/100</f>
        <v>6.05</v>
      </c>
      <c r="K397" s="37">
        <f>Bill!$Y397</f>
        <v>45955</v>
      </c>
      <c r="L397" s="38">
        <f>Bill!$AA397*('Raw Data'!$E399+$L$2)</f>
        <v>820</v>
      </c>
      <c r="M397" s="38">
        <f>Bill!$AB397*('Raw Data'!$E399+$M$2)</f>
        <v>878.8</v>
      </c>
      <c r="N397" s="38">
        <f>(('Raw Data'!$F399 * 2)-10)*Bill!$AC397</f>
        <v>1080</v>
      </c>
      <c r="O397" s="38">
        <f>('Raw Data'!F399+Bill!$O$2)*Bill!$AD397</f>
        <v>0</v>
      </c>
      <c r="P397" s="38">
        <f>('Raw Data'!F399+Bill!$P$2)*Bill!$AE397</f>
        <v>495</v>
      </c>
      <c r="Q397" s="38">
        <f>Bill!$Z397*('Raw Data'!$E399+$Q$2)</f>
        <v>0</v>
      </c>
      <c r="R397" s="38">
        <f>('Raw Data'!F399+Bill!$R$2)*Bill!$AF397</f>
        <v>0</v>
      </c>
      <c r="S397" s="48">
        <f>('Raw Data'!G399/100)*Bill!$AG397</f>
        <v>0</v>
      </c>
      <c r="T397" s="38">
        <f>SUM(Bill!$L397:$R397)</f>
        <v>3273.8</v>
      </c>
      <c r="U397" s="49">
        <v>3375.0</v>
      </c>
      <c r="V397" s="50"/>
      <c r="W397" s="38">
        <f>Bill!$U397-Bill!$T397</f>
        <v>101.2</v>
      </c>
      <c r="Y397" s="37">
        <f>'Raw Data'!D399</f>
        <v>45955</v>
      </c>
      <c r="Z397" s="47">
        <v>0.0</v>
      </c>
      <c r="AA397" s="47">
        <v>5.0</v>
      </c>
      <c r="AB397" s="47">
        <v>5.2</v>
      </c>
      <c r="AC397" s="47">
        <v>4.0</v>
      </c>
      <c r="AD397" s="47"/>
      <c r="AE397" s="47">
        <v>3.0</v>
      </c>
      <c r="AF397" s="47"/>
      <c r="AG397" s="47"/>
    </row>
    <row r="398" ht="15.75" customHeight="1">
      <c r="A398" s="35">
        <f>Bill!$Y398</f>
        <v>45956</v>
      </c>
      <c r="B398" s="43">
        <f>'Raw Data'!E400+Bill!$L$2</f>
        <v>168</v>
      </c>
      <c r="C398" s="43">
        <f>'Raw Data'!E400+Bill!$M$2</f>
        <v>173</v>
      </c>
      <c r="D398" s="43">
        <f>('Raw Data'!$F400*2)-10</f>
        <v>292</v>
      </c>
      <c r="E398" s="43">
        <f>'Raw Data'!F400+Bill!$O$2</f>
        <v>171</v>
      </c>
      <c r="F398" s="43">
        <f>'Raw Data'!F400+Bill!$P$2</f>
        <v>176</v>
      </c>
      <c r="G398" s="43">
        <f>'Raw Data'!E400+Bill!$Q$2</f>
        <v>198</v>
      </c>
      <c r="H398" s="43">
        <f>('Raw Data'!F400+Bill!$R$2)</f>
        <v>171</v>
      </c>
      <c r="I398" s="36">
        <f>'Raw Data'!G400/100</f>
        <v>6.11</v>
      </c>
      <c r="K398" s="37">
        <f>Bill!$Y398</f>
        <v>45956</v>
      </c>
      <c r="L398" s="38">
        <f>Bill!$AA398*('Raw Data'!$E400+$L$2)</f>
        <v>0</v>
      </c>
      <c r="M398" s="38">
        <f>Bill!$AB398*('Raw Data'!$E400+$M$2)</f>
        <v>0</v>
      </c>
      <c r="N398" s="38">
        <f>(('Raw Data'!$F400 * 2)-10)*Bill!$AC398</f>
        <v>0</v>
      </c>
      <c r="O398" s="38">
        <f>('Raw Data'!F400+Bill!$O$2)*Bill!$AD398</f>
        <v>0</v>
      </c>
      <c r="P398" s="38">
        <f>('Raw Data'!F400+Bill!$P$2)*Bill!$AE398</f>
        <v>0</v>
      </c>
      <c r="Q398" s="38">
        <f>Bill!$Z398*('Raw Data'!$E400+$Q$2)</f>
        <v>0</v>
      </c>
      <c r="R398" s="38">
        <f>('Raw Data'!F400+Bill!$R$2)*Bill!$AF398</f>
        <v>0</v>
      </c>
      <c r="S398" s="48">
        <f>('Raw Data'!G400/100)*Bill!$AG398</f>
        <v>0</v>
      </c>
      <c r="T398" s="38">
        <f>SUM(Bill!$L398:$R398)</f>
        <v>0</v>
      </c>
      <c r="U398" s="53"/>
      <c r="V398" s="50"/>
      <c r="W398" s="38">
        <f>Bill!$U398-Bill!$T398</f>
        <v>0</v>
      </c>
      <c r="Y398" s="37">
        <f>'Raw Data'!D400</f>
        <v>45956</v>
      </c>
      <c r="Z398" s="47">
        <v>0.0</v>
      </c>
      <c r="AA398" s="47"/>
      <c r="AB398" s="47"/>
      <c r="AC398" s="47"/>
      <c r="AD398" s="47"/>
      <c r="AE398" s="47"/>
      <c r="AF398" s="47"/>
      <c r="AG398" s="47"/>
    </row>
    <row r="399" ht="15.75" customHeight="1">
      <c r="A399" s="35">
        <f>Bill!$Y399</f>
        <v>45957</v>
      </c>
      <c r="B399" s="43">
        <f>'Raw Data'!E401+Bill!$L$2</f>
        <v>168</v>
      </c>
      <c r="C399" s="43">
        <f>'Raw Data'!E401+Bill!$M$2</f>
        <v>173</v>
      </c>
      <c r="D399" s="43">
        <f>('Raw Data'!$F401*2)-10</f>
        <v>292</v>
      </c>
      <c r="E399" s="43">
        <f>'Raw Data'!F401+Bill!$O$2</f>
        <v>171</v>
      </c>
      <c r="F399" s="43">
        <f>'Raw Data'!F401+Bill!$P$2</f>
        <v>176</v>
      </c>
      <c r="G399" s="43">
        <f>'Raw Data'!E401+Bill!$Q$2</f>
        <v>198</v>
      </c>
      <c r="H399" s="43">
        <f>('Raw Data'!F401+Bill!$R$2)</f>
        <v>171</v>
      </c>
      <c r="I399" s="36">
        <f>'Raw Data'!G401/100</f>
        <v>6.15</v>
      </c>
      <c r="K399" s="37">
        <f>Bill!$Y399</f>
        <v>45957</v>
      </c>
      <c r="L399" s="38">
        <f>Bill!$AA399*('Raw Data'!$E401+$L$2)</f>
        <v>0</v>
      </c>
      <c r="M399" s="38">
        <f>Bill!$AB399*('Raw Data'!$E401+$M$2)</f>
        <v>0</v>
      </c>
      <c r="N399" s="38">
        <f>(('Raw Data'!$F401 * 2)-10)*Bill!$AC399</f>
        <v>0</v>
      </c>
      <c r="O399" s="38">
        <f>('Raw Data'!F401+Bill!$O$2)*Bill!$AD399</f>
        <v>0</v>
      </c>
      <c r="P399" s="38">
        <f>('Raw Data'!F401+Bill!$P$2)*Bill!$AE399</f>
        <v>0</v>
      </c>
      <c r="Q399" s="38">
        <f>Bill!$Z399*('Raw Data'!$E401+$Q$2)</f>
        <v>0</v>
      </c>
      <c r="R399" s="38">
        <f>('Raw Data'!F401+Bill!$R$2)*Bill!$AF399</f>
        <v>0</v>
      </c>
      <c r="S399" s="48">
        <f>('Raw Data'!G401/100)*Bill!$AG399</f>
        <v>0</v>
      </c>
      <c r="T399" s="38">
        <f>SUM(Bill!$L399:$R399)</f>
        <v>0</v>
      </c>
      <c r="U399" s="49"/>
      <c r="V399" s="50"/>
      <c r="W399" s="38">
        <f>Bill!$U399-Bill!$T399</f>
        <v>0</v>
      </c>
      <c r="Y399" s="37">
        <f>'Raw Data'!D401</f>
        <v>45957</v>
      </c>
      <c r="Z399" s="47">
        <v>0.0</v>
      </c>
      <c r="AA399" s="47"/>
      <c r="AB399" s="47"/>
      <c r="AC399" s="47"/>
      <c r="AD399" s="47"/>
      <c r="AE399" s="47"/>
      <c r="AF399" s="47"/>
      <c r="AG399" s="47"/>
    </row>
    <row r="400" ht="15.75" customHeight="1">
      <c r="A400" s="35">
        <f>Bill!$Y400</f>
        <v>45958</v>
      </c>
      <c r="B400" s="43">
        <f>'Raw Data'!E402+Bill!$L$2</f>
        <v>168</v>
      </c>
      <c r="C400" s="43">
        <f>'Raw Data'!E402+Bill!$M$2</f>
        <v>173</v>
      </c>
      <c r="D400" s="43">
        <f>('Raw Data'!$F402*2)-10</f>
        <v>280</v>
      </c>
      <c r="E400" s="43">
        <f>'Raw Data'!F402+Bill!$O$2</f>
        <v>165</v>
      </c>
      <c r="F400" s="43">
        <f>'Raw Data'!F402+Bill!$P$2</f>
        <v>170</v>
      </c>
      <c r="G400" s="43">
        <f>'Raw Data'!E402+Bill!$Q$2</f>
        <v>198</v>
      </c>
      <c r="H400" s="43">
        <f>('Raw Data'!F402+Bill!$R$2)</f>
        <v>165</v>
      </c>
      <c r="I400" s="36">
        <f>'Raw Data'!G402/100</f>
        <v>6.21</v>
      </c>
      <c r="K400" s="37">
        <f>Bill!$Y400</f>
        <v>45958</v>
      </c>
      <c r="L400" s="38">
        <f>Bill!$AA400*('Raw Data'!$E402+$L$2)</f>
        <v>0</v>
      </c>
      <c r="M400" s="38">
        <f>Bill!$AB400*('Raw Data'!$E402+$M$2)</f>
        <v>1730</v>
      </c>
      <c r="N400" s="38">
        <f>(('Raw Data'!$F402 * 2)-10)*Bill!$AC400</f>
        <v>560</v>
      </c>
      <c r="O400" s="38">
        <f>('Raw Data'!F402+Bill!$O$2)*Bill!$AD400</f>
        <v>0</v>
      </c>
      <c r="P400" s="38">
        <f>('Raw Data'!F402+Bill!$P$2)*Bill!$AE400</f>
        <v>680</v>
      </c>
      <c r="Q400" s="38">
        <f>Bill!$Z400*('Raw Data'!$E402+$Q$2)</f>
        <v>0</v>
      </c>
      <c r="R400" s="38">
        <f>('Raw Data'!F402+Bill!$R$2)*Bill!$AF400</f>
        <v>0</v>
      </c>
      <c r="S400" s="48">
        <f>('Raw Data'!G402/100)*Bill!$AG400</f>
        <v>0</v>
      </c>
      <c r="T400" s="38">
        <f>SUM(Bill!$L400:$R400)</f>
        <v>2970</v>
      </c>
      <c r="U400" s="49">
        <v>2990.0</v>
      </c>
      <c r="V400" s="50"/>
      <c r="W400" s="38">
        <f>Bill!$U400-Bill!$T400</f>
        <v>20</v>
      </c>
      <c r="Y400" s="37">
        <f>'Raw Data'!D402</f>
        <v>45958</v>
      </c>
      <c r="Z400" s="47">
        <v>0.0</v>
      </c>
      <c r="AA400" s="47"/>
      <c r="AB400" s="47">
        <v>10.0</v>
      </c>
      <c r="AC400" s="47">
        <v>2.0</v>
      </c>
      <c r="AD400" s="47"/>
      <c r="AE400" s="47">
        <v>4.0</v>
      </c>
      <c r="AF400" s="47"/>
      <c r="AG400" s="47"/>
    </row>
    <row r="401" ht="15.75" customHeight="1">
      <c r="A401" s="35">
        <f>Bill!$Y401</f>
        <v>45959</v>
      </c>
      <c r="B401" s="43">
        <f>'Raw Data'!E403+Bill!$L$2</f>
        <v>162</v>
      </c>
      <c r="C401" s="43">
        <f>'Raw Data'!E403+Bill!$M$2</f>
        <v>167</v>
      </c>
      <c r="D401" s="43">
        <f>('Raw Data'!$F403*2)-10</f>
        <v>264</v>
      </c>
      <c r="E401" s="43">
        <f>'Raw Data'!F403+Bill!$O$2</f>
        <v>157</v>
      </c>
      <c r="F401" s="43">
        <f>'Raw Data'!F403+Bill!$P$2</f>
        <v>162</v>
      </c>
      <c r="G401" s="43">
        <f>'Raw Data'!E403+Bill!$Q$2</f>
        <v>192</v>
      </c>
      <c r="H401" s="43">
        <f>('Raw Data'!F403+Bill!$R$2)</f>
        <v>157</v>
      </c>
      <c r="I401" s="36">
        <f>'Raw Data'!G403/100</f>
        <v>6.26</v>
      </c>
      <c r="K401" s="37">
        <f>Bill!$Y401</f>
        <v>45959</v>
      </c>
      <c r="L401" s="38">
        <f>Bill!$AA401*('Raw Data'!$E403+$L$2)</f>
        <v>1652.4</v>
      </c>
      <c r="M401" s="38">
        <f>Bill!$AB401*('Raw Data'!$E403+$M$2)</f>
        <v>1336</v>
      </c>
      <c r="N401" s="38">
        <f>(('Raw Data'!$F403 * 2)-10)*Bill!$AC401</f>
        <v>1584</v>
      </c>
      <c r="O401" s="38">
        <f>('Raw Data'!F403+Bill!$O$2)*Bill!$AD401</f>
        <v>0</v>
      </c>
      <c r="P401" s="38">
        <f>('Raw Data'!F403+Bill!$P$2)*Bill!$AE401</f>
        <v>648</v>
      </c>
      <c r="Q401" s="38">
        <f>Bill!$Z401*('Raw Data'!$E403+$Q$2)</f>
        <v>0</v>
      </c>
      <c r="R401" s="38">
        <f>('Raw Data'!F403+Bill!$R$2)*Bill!$AF401</f>
        <v>0</v>
      </c>
      <c r="S401" s="48">
        <f>('Raw Data'!G403/100)*Bill!$AG401</f>
        <v>0</v>
      </c>
      <c r="T401" s="38">
        <f>SUM(Bill!$L401:$R401)</f>
        <v>5220.4</v>
      </c>
      <c r="U401" s="49">
        <v>5240.0</v>
      </c>
      <c r="V401" s="50"/>
      <c r="W401" s="38">
        <f>Bill!$U401-Bill!$T401</f>
        <v>19.6</v>
      </c>
      <c r="Y401" s="37">
        <f>'Raw Data'!D403</f>
        <v>45959</v>
      </c>
      <c r="Z401" s="47">
        <v>0.0</v>
      </c>
      <c r="AA401" s="47">
        <v>10.2</v>
      </c>
      <c r="AB401" s="47">
        <v>8.0</v>
      </c>
      <c r="AC401" s="47">
        <v>6.0</v>
      </c>
      <c r="AD401" s="47"/>
      <c r="AE401" s="47">
        <v>4.0</v>
      </c>
      <c r="AF401" s="47"/>
      <c r="AG401" s="47"/>
    </row>
    <row r="402" ht="15.75" customHeight="1">
      <c r="A402" s="35">
        <f>Bill!$Y402</f>
        <v>45960</v>
      </c>
      <c r="B402" s="43">
        <f>'Raw Data'!E404+Bill!$L$2</f>
        <v>160</v>
      </c>
      <c r="C402" s="43">
        <f>'Raw Data'!E404+Bill!$M$2</f>
        <v>165</v>
      </c>
      <c r="D402" s="43">
        <f>('Raw Data'!$F404*2)-10</f>
        <v>266</v>
      </c>
      <c r="E402" s="43">
        <f>'Raw Data'!F404+Bill!$O$2</f>
        <v>158</v>
      </c>
      <c r="F402" s="43">
        <f>'Raw Data'!F404+Bill!$P$2</f>
        <v>163</v>
      </c>
      <c r="G402" s="43">
        <f>'Raw Data'!E404+Bill!$Q$2</f>
        <v>190</v>
      </c>
      <c r="H402" s="43">
        <f>('Raw Data'!F404+Bill!$R$2)</f>
        <v>158</v>
      </c>
      <c r="I402" s="36">
        <f>'Raw Data'!G404/100</f>
        <v>6.31</v>
      </c>
      <c r="K402" s="37">
        <f>Bill!$Y402</f>
        <v>45960</v>
      </c>
      <c r="L402" s="38">
        <f>Bill!$AA402*('Raw Data'!$E404+$L$2)</f>
        <v>1072</v>
      </c>
      <c r="M402" s="38">
        <f>Bill!$AB402*('Raw Data'!$E404+$M$2)</f>
        <v>3374.25</v>
      </c>
      <c r="N402" s="38">
        <f>(('Raw Data'!$F404 * 2)-10)*Bill!$AC402</f>
        <v>1596</v>
      </c>
      <c r="O402" s="38">
        <f>('Raw Data'!F404+Bill!$O$2)*Bill!$AD402</f>
        <v>0</v>
      </c>
      <c r="P402" s="38">
        <f>('Raw Data'!F404+Bill!$P$2)*Bill!$AE402</f>
        <v>326</v>
      </c>
      <c r="Q402" s="38">
        <f>Bill!$Z402*('Raw Data'!$E404+$Q$2)</f>
        <v>0</v>
      </c>
      <c r="R402" s="38">
        <f>('Raw Data'!F404+Bill!$R$2)*Bill!$AF402</f>
        <v>0</v>
      </c>
      <c r="S402" s="48">
        <f>('Raw Data'!G404/100)*Bill!$AG402</f>
        <v>0</v>
      </c>
      <c r="T402" s="38">
        <f>SUM(Bill!$L402:$R402)</f>
        <v>6368.25</v>
      </c>
      <c r="U402" s="54">
        <v>6368.25</v>
      </c>
      <c r="V402" s="50"/>
      <c r="W402" s="38">
        <f>Bill!$U402-Bill!$T402</f>
        <v>0</v>
      </c>
      <c r="Y402" s="37">
        <f>'Raw Data'!D404</f>
        <v>45960</v>
      </c>
      <c r="Z402" s="47">
        <v>0.0</v>
      </c>
      <c r="AA402" s="47">
        <v>6.7</v>
      </c>
      <c r="AB402" s="47">
        <v>20.45</v>
      </c>
      <c r="AC402" s="47">
        <v>6.0</v>
      </c>
      <c r="AD402" s="47"/>
      <c r="AE402" s="47">
        <v>2.0</v>
      </c>
      <c r="AF402" s="47"/>
      <c r="AG402" s="47"/>
    </row>
    <row r="403" ht="15.75" customHeight="1">
      <c r="A403" s="35">
        <f>Bill!$Y403</f>
        <v>45961</v>
      </c>
      <c r="B403" s="43">
        <f>'Raw Data'!E405+Bill!$L$2</f>
        <v>160</v>
      </c>
      <c r="C403" s="43">
        <f>'Raw Data'!E405+Bill!$M$2</f>
        <v>165</v>
      </c>
      <c r="D403" s="43">
        <f>('Raw Data'!$F405*2)-10</f>
        <v>266</v>
      </c>
      <c r="E403" s="43">
        <f>'Raw Data'!F405+Bill!$O$2</f>
        <v>158</v>
      </c>
      <c r="F403" s="43">
        <f>'Raw Data'!F405+Bill!$P$2</f>
        <v>163</v>
      </c>
      <c r="G403" s="43">
        <f>'Raw Data'!E405+Bill!$Q$2</f>
        <v>190</v>
      </c>
      <c r="H403" s="43">
        <f>('Raw Data'!F405+Bill!$R$2)</f>
        <v>158</v>
      </c>
      <c r="I403" s="36">
        <f>'Raw Data'!G405/100</f>
        <v>6.31</v>
      </c>
      <c r="K403" s="37">
        <f>Bill!$Y403</f>
        <v>45961</v>
      </c>
      <c r="L403" s="38">
        <f>Bill!$AA403*('Raw Data'!$E405+$L$2)</f>
        <v>768</v>
      </c>
      <c r="M403" s="38">
        <f>Bill!$AB403*('Raw Data'!$E405+$M$2)</f>
        <v>2475</v>
      </c>
      <c r="N403" s="38">
        <f>(('Raw Data'!$F405 * 2)-10)*Bill!$AC403</f>
        <v>1064</v>
      </c>
      <c r="O403" s="38">
        <f>('Raw Data'!F405+Bill!$O$2)*Bill!$AD403</f>
        <v>0</v>
      </c>
      <c r="P403" s="38">
        <f>('Raw Data'!F405+Bill!$P$2)*Bill!$AE403</f>
        <v>0</v>
      </c>
      <c r="Q403" s="38">
        <f>Bill!$Z403*('Raw Data'!$E405+$Q$2)</f>
        <v>0</v>
      </c>
      <c r="R403" s="38">
        <f>('Raw Data'!F405+Bill!$R$2)*Bill!$AF403</f>
        <v>0</v>
      </c>
      <c r="S403" s="48">
        <f>('Raw Data'!G405/100)*Bill!$AG403</f>
        <v>0</v>
      </c>
      <c r="T403" s="38">
        <f>SUM(Bill!$L403:$R403)</f>
        <v>4307</v>
      </c>
      <c r="U403" s="49">
        <v>4315.0</v>
      </c>
      <c r="V403" s="50"/>
      <c r="W403" s="38">
        <f>Bill!$U403-Bill!$T403</f>
        <v>8</v>
      </c>
      <c r="Y403" s="37">
        <f>'Raw Data'!D405</f>
        <v>45961</v>
      </c>
      <c r="Z403" s="47">
        <v>0.0</v>
      </c>
      <c r="AA403" s="47">
        <v>4.8</v>
      </c>
      <c r="AB403" s="47">
        <v>15.0</v>
      </c>
      <c r="AC403" s="47">
        <v>4.0</v>
      </c>
      <c r="AD403" s="47"/>
      <c r="AE403" s="47"/>
      <c r="AF403" s="47"/>
      <c r="AG403" s="47"/>
    </row>
    <row r="404" ht="15.75" customHeight="1">
      <c r="A404" s="35">
        <f>Bill!$Y404</f>
        <v>45962</v>
      </c>
      <c r="B404" s="43">
        <f>'Raw Data'!E406+Bill!$L$2</f>
        <v>160</v>
      </c>
      <c r="C404" s="43">
        <f>'Raw Data'!E406+Bill!$M$2</f>
        <v>165</v>
      </c>
      <c r="D404" s="43">
        <f>('Raw Data'!$F406*2)-10</f>
        <v>268</v>
      </c>
      <c r="E404" s="43">
        <f>'Raw Data'!F406+Bill!$O$2</f>
        <v>159</v>
      </c>
      <c r="F404" s="43">
        <f>'Raw Data'!F406+Bill!$P$2</f>
        <v>164</v>
      </c>
      <c r="G404" s="43">
        <f>'Raw Data'!E406+Bill!$Q$2</f>
        <v>190</v>
      </c>
      <c r="H404" s="43">
        <f>('Raw Data'!F406+Bill!$R$2)</f>
        <v>159</v>
      </c>
      <c r="I404" s="36">
        <f>'Raw Data'!G406/100</f>
        <v>6.31</v>
      </c>
      <c r="K404" s="37">
        <f>Bill!$Y404</f>
        <v>45962</v>
      </c>
      <c r="L404" s="38">
        <f>Bill!$AA404*('Raw Data'!$E406+$L$2)</f>
        <v>2416</v>
      </c>
      <c r="M404" s="38">
        <f>Bill!$AB404*('Raw Data'!$E406+$M$2)</f>
        <v>4158</v>
      </c>
      <c r="N404" s="38">
        <f>(('Raw Data'!$F406 * 2)-10)*Bill!$AC404</f>
        <v>2412</v>
      </c>
      <c r="O404" s="38">
        <f>('Raw Data'!F406+Bill!$O$2)*Bill!$AD404</f>
        <v>0</v>
      </c>
      <c r="P404" s="38">
        <f>('Raw Data'!F406+Bill!$P$2)*Bill!$AE404</f>
        <v>1312</v>
      </c>
      <c r="Q404" s="38">
        <f>Bill!$Z404*('Raw Data'!$E406+$Q$2)</f>
        <v>0</v>
      </c>
      <c r="R404" s="38">
        <f>('Raw Data'!F406+Bill!$R$2)*Bill!$AF404</f>
        <v>0</v>
      </c>
      <c r="S404" s="48">
        <f>('Raw Data'!G406/100)*Bill!$AG404</f>
        <v>0</v>
      </c>
      <c r="T404" s="38">
        <f>SUM(Bill!$L404:$R404)</f>
        <v>10298</v>
      </c>
      <c r="U404" s="49">
        <v>10394.0</v>
      </c>
      <c r="V404" s="50"/>
      <c r="W404" s="38">
        <f>Bill!$U404-Bill!$T404</f>
        <v>96</v>
      </c>
      <c r="Y404" s="37">
        <f>'Raw Data'!D406</f>
        <v>45962</v>
      </c>
      <c r="Z404" s="47">
        <v>0.0</v>
      </c>
      <c r="AA404" s="47">
        <v>15.1</v>
      </c>
      <c r="AB404" s="47">
        <v>25.2</v>
      </c>
      <c r="AC404" s="47">
        <v>9.0</v>
      </c>
      <c r="AD404" s="47"/>
      <c r="AE404" s="47">
        <v>8.0</v>
      </c>
      <c r="AF404" s="47"/>
      <c r="AG404" s="47"/>
    </row>
    <row r="405" ht="15.75" customHeight="1">
      <c r="A405" s="35">
        <f>Bill!$Y405</f>
        <v>45963</v>
      </c>
      <c r="B405" s="43">
        <f>'Raw Data'!E407+Bill!$L$2</f>
        <v>160</v>
      </c>
      <c r="C405" s="43">
        <f>'Raw Data'!E407+Bill!$M$2</f>
        <v>165</v>
      </c>
      <c r="D405" s="43">
        <f>('Raw Data'!$F407*2)-10</f>
        <v>266</v>
      </c>
      <c r="E405" s="43">
        <f>'Raw Data'!F407+Bill!$O$2</f>
        <v>158</v>
      </c>
      <c r="F405" s="43">
        <f>'Raw Data'!F407+Bill!$P$2</f>
        <v>163</v>
      </c>
      <c r="G405" s="43">
        <f>'Raw Data'!E407+Bill!$Q$2</f>
        <v>190</v>
      </c>
      <c r="H405" s="43">
        <f>('Raw Data'!F407+Bill!$R$2)</f>
        <v>158</v>
      </c>
      <c r="I405" s="36">
        <f>'Raw Data'!G407/100</f>
        <v>6.31</v>
      </c>
      <c r="K405" s="37">
        <f>Bill!$Y405</f>
        <v>45963</v>
      </c>
      <c r="L405" s="38">
        <f>Bill!$AA405*('Raw Data'!$E407+$L$2)</f>
        <v>0</v>
      </c>
      <c r="M405" s="38">
        <f>Bill!$AB405*('Raw Data'!$E407+$M$2)</f>
        <v>990</v>
      </c>
      <c r="N405" s="38">
        <f>(('Raw Data'!$F407 * 2)-10)*Bill!$AC405</f>
        <v>1330</v>
      </c>
      <c r="O405" s="38">
        <f>('Raw Data'!F407+Bill!$O$2)*Bill!$AD405</f>
        <v>0</v>
      </c>
      <c r="P405" s="38">
        <f>('Raw Data'!F407+Bill!$P$2)*Bill!$AE405</f>
        <v>0</v>
      </c>
      <c r="Q405" s="38">
        <f>Bill!$Z405*('Raw Data'!$E407+$Q$2)</f>
        <v>0</v>
      </c>
      <c r="R405" s="38">
        <f>('Raw Data'!F407+Bill!$R$2)*Bill!$AF405</f>
        <v>0</v>
      </c>
      <c r="S405" s="48">
        <f>('Raw Data'!G407/100)*Bill!$AG405</f>
        <v>0</v>
      </c>
      <c r="T405" s="38">
        <f>SUM(Bill!$L405:$R405)</f>
        <v>2320</v>
      </c>
      <c r="U405" s="49">
        <v>2320.0</v>
      </c>
      <c r="V405" s="50"/>
      <c r="W405" s="38">
        <f>Bill!$U405-Bill!$T405</f>
        <v>0</v>
      </c>
      <c r="Y405" s="37">
        <f>'Raw Data'!D407</f>
        <v>45963</v>
      </c>
      <c r="Z405" s="47">
        <v>0.0</v>
      </c>
      <c r="AA405" s="47"/>
      <c r="AB405" s="47">
        <v>6.0</v>
      </c>
      <c r="AC405" s="47">
        <v>5.0</v>
      </c>
      <c r="AD405" s="47"/>
      <c r="AE405" s="47"/>
      <c r="AF405" s="47"/>
      <c r="AG405" s="47"/>
    </row>
    <row r="406" ht="15.75" customHeight="1">
      <c r="A406" s="35">
        <f>Bill!$Y406</f>
        <v>45964</v>
      </c>
      <c r="B406" s="43">
        <f>'Raw Data'!E408+Bill!$L$2</f>
        <v>160</v>
      </c>
      <c r="C406" s="43">
        <f>'Raw Data'!E408+Bill!$M$2</f>
        <v>165</v>
      </c>
      <c r="D406" s="43">
        <f>('Raw Data'!$F408*2)-10</f>
        <v>266</v>
      </c>
      <c r="E406" s="43">
        <f>'Raw Data'!F408+Bill!$O$2</f>
        <v>158</v>
      </c>
      <c r="F406" s="43">
        <f>'Raw Data'!F408+Bill!$P$2</f>
        <v>163</v>
      </c>
      <c r="G406" s="43">
        <f>'Raw Data'!E408+Bill!$Q$2</f>
        <v>190</v>
      </c>
      <c r="H406" s="43">
        <f>('Raw Data'!F408+Bill!$R$2)</f>
        <v>158</v>
      </c>
      <c r="I406" s="36">
        <f>'Raw Data'!G408/100</f>
        <v>6.31</v>
      </c>
      <c r="K406" s="37">
        <f>Bill!$Y406</f>
        <v>45964</v>
      </c>
      <c r="L406" s="38">
        <f>Bill!$AA406*('Raw Data'!$E408+$L$2)</f>
        <v>0</v>
      </c>
      <c r="M406" s="38">
        <f>Bill!$AB406*('Raw Data'!$E408+$M$2)</f>
        <v>2475</v>
      </c>
      <c r="N406" s="38">
        <f>(('Raw Data'!$F408 * 2)-10)*Bill!$AC406</f>
        <v>1862</v>
      </c>
      <c r="O406" s="38">
        <f>('Raw Data'!F408+Bill!$O$2)*Bill!$AD406</f>
        <v>0</v>
      </c>
      <c r="P406" s="38">
        <f>('Raw Data'!F408+Bill!$P$2)*Bill!$AE406</f>
        <v>163</v>
      </c>
      <c r="Q406" s="38">
        <f>Bill!$Z406*('Raw Data'!$E408+$Q$2)</f>
        <v>0</v>
      </c>
      <c r="R406" s="38">
        <f>('Raw Data'!F408+Bill!$R$2)*Bill!$AF406</f>
        <v>0</v>
      </c>
      <c r="S406" s="48">
        <f>('Raw Data'!G408/100)*Bill!$AG406</f>
        <v>0</v>
      </c>
      <c r="T406" s="38">
        <f>SUM(Bill!$L406:$R406)</f>
        <v>4500</v>
      </c>
      <c r="U406" s="49">
        <v>4505.0</v>
      </c>
      <c r="V406" s="50"/>
      <c r="W406" s="38">
        <f>Bill!$U406-Bill!$T406</f>
        <v>5</v>
      </c>
      <c r="Y406" s="37">
        <f>'Raw Data'!D408</f>
        <v>45964</v>
      </c>
      <c r="Z406" s="47">
        <v>0.0</v>
      </c>
      <c r="AA406" s="47"/>
      <c r="AB406" s="47">
        <v>15.0</v>
      </c>
      <c r="AC406" s="47">
        <v>7.0</v>
      </c>
      <c r="AD406" s="47"/>
      <c r="AE406" s="47">
        <v>1.0</v>
      </c>
      <c r="AF406" s="47"/>
      <c r="AG406" s="47"/>
    </row>
    <row r="407" ht="15.75" customHeight="1">
      <c r="A407" s="35">
        <f>Bill!$Y407</f>
        <v>45965</v>
      </c>
      <c r="B407" s="43">
        <f>'Raw Data'!E409+Bill!$L$2</f>
        <v>160</v>
      </c>
      <c r="C407" s="43">
        <f>'Raw Data'!E409+Bill!$M$2</f>
        <v>165</v>
      </c>
      <c r="D407" s="43">
        <f>('Raw Data'!$F409*2)-10</f>
        <v>262</v>
      </c>
      <c r="E407" s="43">
        <f>'Raw Data'!F409+Bill!$O$2</f>
        <v>156</v>
      </c>
      <c r="F407" s="43">
        <f>'Raw Data'!F409+Bill!$P$2</f>
        <v>161</v>
      </c>
      <c r="G407" s="43">
        <f>'Raw Data'!E409+Bill!$Q$2</f>
        <v>190</v>
      </c>
      <c r="H407" s="43">
        <f>('Raw Data'!F409+Bill!$R$2)</f>
        <v>156</v>
      </c>
      <c r="I407" s="36">
        <f>'Raw Data'!G409/100</f>
        <v>6.31</v>
      </c>
      <c r="K407" s="37">
        <f>Bill!$Y407</f>
        <v>45965</v>
      </c>
      <c r="L407" s="38">
        <f>Bill!$AA407*('Raw Data'!$E409+$L$2)</f>
        <v>0</v>
      </c>
      <c r="M407" s="38">
        <f>Bill!$AB407*('Raw Data'!$E409+$M$2)</f>
        <v>1021.35</v>
      </c>
      <c r="N407" s="38">
        <f>(('Raw Data'!$F409 * 2)-10)*Bill!$AC407</f>
        <v>835.78</v>
      </c>
      <c r="O407" s="38">
        <f>('Raw Data'!F409+Bill!$O$2)*Bill!$AD407</f>
        <v>0</v>
      </c>
      <c r="P407" s="38">
        <f>('Raw Data'!F409+Bill!$P$2)*Bill!$AE407</f>
        <v>0</v>
      </c>
      <c r="Q407" s="38">
        <f>Bill!$Z407*('Raw Data'!$E409+$Q$2)</f>
        <v>0</v>
      </c>
      <c r="R407" s="38">
        <f>('Raw Data'!F409+Bill!$R$2)*Bill!$AF407</f>
        <v>0</v>
      </c>
      <c r="S407" s="48">
        <f>('Raw Data'!G409/100)*Bill!$AG407</f>
        <v>0</v>
      </c>
      <c r="T407" s="38">
        <f>SUM(Bill!$L407:$R407)</f>
        <v>1857.13</v>
      </c>
      <c r="U407" s="49">
        <v>1776.0</v>
      </c>
      <c r="V407" s="50"/>
      <c r="W407" s="38">
        <f>Bill!$U407-Bill!$T407</f>
        <v>-81.13</v>
      </c>
      <c r="Y407" s="37">
        <f>'Raw Data'!D409</f>
        <v>45965</v>
      </c>
      <c r="Z407" s="47">
        <v>0.0</v>
      </c>
      <c r="AA407" s="47"/>
      <c r="AB407" s="47">
        <v>6.19</v>
      </c>
      <c r="AC407" s="47">
        <v>3.19</v>
      </c>
      <c r="AD407" s="47"/>
      <c r="AE407" s="47"/>
      <c r="AF407" s="47"/>
      <c r="AG407" s="47"/>
    </row>
    <row r="408" ht="15.75" customHeight="1">
      <c r="A408" s="35">
        <f>Bill!$Y408</f>
        <v>45966</v>
      </c>
      <c r="B408" s="43">
        <f>'Raw Data'!E410+Bill!$L$2</f>
        <v>158</v>
      </c>
      <c r="C408" s="43">
        <f>'Raw Data'!E410+Bill!$M$2</f>
        <v>163</v>
      </c>
      <c r="D408" s="43">
        <f>('Raw Data'!$F410*2)-10</f>
        <v>254</v>
      </c>
      <c r="E408" s="43">
        <f>'Raw Data'!F410+Bill!$O$2</f>
        <v>152</v>
      </c>
      <c r="F408" s="43">
        <f>'Raw Data'!F410+Bill!$P$2</f>
        <v>157</v>
      </c>
      <c r="G408" s="43">
        <f>'Raw Data'!E410+Bill!$Q$2</f>
        <v>188</v>
      </c>
      <c r="H408" s="43">
        <f>('Raw Data'!F410+Bill!$R$2)</f>
        <v>152</v>
      </c>
      <c r="I408" s="36">
        <f>'Raw Data'!G410/100</f>
        <v>6.31</v>
      </c>
      <c r="K408" s="37">
        <f>Bill!$Y408</f>
        <v>45966</v>
      </c>
      <c r="L408" s="38">
        <f>Bill!$AA408*('Raw Data'!$E410+$L$2)</f>
        <v>1398.3</v>
      </c>
      <c r="M408" s="38">
        <f>Bill!$AB408*('Raw Data'!$E410+$M$2)</f>
        <v>2469.45</v>
      </c>
      <c r="N408" s="38">
        <f>(('Raw Data'!$F410 * 2)-10)*Bill!$AC408</f>
        <v>2080.26</v>
      </c>
      <c r="O408" s="38">
        <f>('Raw Data'!F410+Bill!$O$2)*Bill!$AD408</f>
        <v>357.2</v>
      </c>
      <c r="P408" s="38">
        <f>('Raw Data'!F410+Bill!$P$2)*Bill!$AE408</f>
        <v>0</v>
      </c>
      <c r="Q408" s="38">
        <f>Bill!$Z408*('Raw Data'!$E410+$Q$2)</f>
        <v>0</v>
      </c>
      <c r="R408" s="38">
        <f>('Raw Data'!F410+Bill!$R$2)*Bill!$AF408</f>
        <v>0</v>
      </c>
      <c r="S408" s="48">
        <f>('Raw Data'!G410/100)*Bill!$AG408</f>
        <v>0</v>
      </c>
      <c r="T408" s="38">
        <f>SUM(Bill!$L408:$R408)</f>
        <v>6305.21</v>
      </c>
      <c r="U408" s="49">
        <v>6256.0</v>
      </c>
      <c r="V408" s="50"/>
      <c r="W408" s="38">
        <f>Bill!$U408-Bill!$T408</f>
        <v>-49.21</v>
      </c>
      <c r="Y408" s="37">
        <f>'Raw Data'!D410</f>
        <v>45966</v>
      </c>
      <c r="Z408" s="47">
        <v>0.0</v>
      </c>
      <c r="AA408" s="47">
        <v>8.85</v>
      </c>
      <c r="AB408" s="47">
        <v>15.15</v>
      </c>
      <c r="AC408" s="47">
        <v>8.19</v>
      </c>
      <c r="AD408" s="47">
        <v>2.35</v>
      </c>
      <c r="AE408" s="47"/>
      <c r="AF408" s="47"/>
      <c r="AG408" s="47"/>
    </row>
    <row r="409" ht="15.75" customHeight="1">
      <c r="A409" s="35">
        <f>Bill!$Y409</f>
        <v>45967</v>
      </c>
      <c r="B409" s="43">
        <f>'Raw Data'!E411+Bill!$L$2</f>
        <v>158</v>
      </c>
      <c r="C409" s="43">
        <f>'Raw Data'!E411+Bill!$M$2</f>
        <v>163</v>
      </c>
      <c r="D409" s="43">
        <f>('Raw Data'!$F411*2)-10</f>
        <v>254</v>
      </c>
      <c r="E409" s="43">
        <f>'Raw Data'!F411+Bill!$O$2</f>
        <v>152</v>
      </c>
      <c r="F409" s="43">
        <f>'Raw Data'!F411+Bill!$P$2</f>
        <v>157</v>
      </c>
      <c r="G409" s="43">
        <f>'Raw Data'!E411+Bill!$Q$2</f>
        <v>188</v>
      </c>
      <c r="H409" s="43">
        <f>('Raw Data'!F411+Bill!$R$2)</f>
        <v>152</v>
      </c>
      <c r="I409" s="36">
        <f>'Raw Data'!G411/100</f>
        <v>6.41</v>
      </c>
      <c r="K409" s="37">
        <f>Bill!$Y409</f>
        <v>45967</v>
      </c>
      <c r="L409" s="38">
        <f>Bill!$AA409*('Raw Data'!$E411+$L$2)</f>
        <v>1493.1</v>
      </c>
      <c r="M409" s="38">
        <f>Bill!$AB409*('Raw Data'!$E411+$M$2)</f>
        <v>1646.3</v>
      </c>
      <c r="N409" s="38">
        <f>(('Raw Data'!$F411 * 2)-10)*Bill!$AC409</f>
        <v>2540</v>
      </c>
      <c r="O409" s="38">
        <f>('Raw Data'!F411+Bill!$O$2)*Bill!$AD409</f>
        <v>0</v>
      </c>
      <c r="P409" s="38">
        <f>('Raw Data'!F411+Bill!$P$2)*Bill!$AE409</f>
        <v>314</v>
      </c>
      <c r="Q409" s="38">
        <f>Bill!$Z409*('Raw Data'!$E411+$Q$2)</f>
        <v>0</v>
      </c>
      <c r="R409" s="38">
        <f>('Raw Data'!F411+Bill!$R$2)*Bill!$AF409</f>
        <v>0</v>
      </c>
      <c r="S409" s="48">
        <f>('Raw Data'!G411/100)*Bill!$AG409</f>
        <v>0</v>
      </c>
      <c r="T409" s="38">
        <f>SUM(Bill!$L409:$R409)</f>
        <v>5993.4</v>
      </c>
      <c r="U409" s="49">
        <v>5987.0</v>
      </c>
      <c r="V409" s="50"/>
      <c r="W409" s="38">
        <f>Bill!$U409-Bill!$T409</f>
        <v>-6.4</v>
      </c>
      <c r="Y409" s="37">
        <f>'Raw Data'!D411</f>
        <v>45967</v>
      </c>
      <c r="Z409" s="47">
        <v>0.0</v>
      </c>
      <c r="AA409" s="47">
        <v>9.45</v>
      </c>
      <c r="AB409" s="47">
        <v>10.1</v>
      </c>
      <c r="AC409" s="47">
        <v>10.0</v>
      </c>
      <c r="AD409" s="47"/>
      <c r="AE409" s="47">
        <v>2.0</v>
      </c>
      <c r="AF409" s="47"/>
      <c r="AG409" s="47"/>
    </row>
    <row r="410" ht="15.75" customHeight="1">
      <c r="A410" s="35">
        <f>Bill!$Y410</f>
        <v>45968</v>
      </c>
      <c r="B410" s="43">
        <f>'Raw Data'!E412+Bill!$L$2</f>
        <v>160</v>
      </c>
      <c r="C410" s="43">
        <f>'Raw Data'!E412+Bill!$M$2</f>
        <v>165</v>
      </c>
      <c r="D410" s="43">
        <f>('Raw Data'!$F412*2)-10</f>
        <v>254</v>
      </c>
      <c r="E410" s="43">
        <f>'Raw Data'!F412+Bill!$O$2</f>
        <v>152</v>
      </c>
      <c r="F410" s="43">
        <f>'Raw Data'!F412+Bill!$P$2</f>
        <v>157</v>
      </c>
      <c r="G410" s="43">
        <f>'Raw Data'!E412+Bill!$Q$2</f>
        <v>190</v>
      </c>
      <c r="H410" s="43">
        <f>('Raw Data'!F412+Bill!$R$2)</f>
        <v>152</v>
      </c>
      <c r="I410" s="36">
        <f>'Raw Data'!G412/100</f>
        <v>6.45</v>
      </c>
      <c r="K410" s="37">
        <f>Bill!$Y410</f>
        <v>45968</v>
      </c>
      <c r="L410" s="38">
        <f>Bill!$AA410*('Raw Data'!$E412+$L$2)</f>
        <v>1280</v>
      </c>
      <c r="M410" s="38">
        <f>Bill!$AB410*('Raw Data'!$E412+$M$2)</f>
        <v>3349.5</v>
      </c>
      <c r="N410" s="38">
        <f>(('Raw Data'!$F412 * 2)-10)*Bill!$AC410</f>
        <v>1270</v>
      </c>
      <c r="O410" s="38">
        <f>('Raw Data'!F412+Bill!$O$2)*Bill!$AD410</f>
        <v>0</v>
      </c>
      <c r="P410" s="38">
        <f>('Raw Data'!F412+Bill!$P$2)*Bill!$AE410</f>
        <v>471</v>
      </c>
      <c r="Q410" s="38">
        <f>Bill!$Z410*('Raw Data'!$E412+$Q$2)</f>
        <v>0</v>
      </c>
      <c r="R410" s="38">
        <f>('Raw Data'!F412+Bill!$R$2)*Bill!$AF410</f>
        <v>0</v>
      </c>
      <c r="S410" s="48">
        <f>('Raw Data'!G412/100)*Bill!$AG410</f>
        <v>0</v>
      </c>
      <c r="T410" s="38">
        <f>SUM(Bill!$L410:$R410)</f>
        <v>6370.5</v>
      </c>
      <c r="U410" s="49">
        <v>6410.0</v>
      </c>
      <c r="V410" s="50"/>
      <c r="W410" s="38">
        <f>Bill!$U410-Bill!$T410</f>
        <v>39.5</v>
      </c>
      <c r="Y410" s="37">
        <f>'Raw Data'!D412</f>
        <v>45968</v>
      </c>
      <c r="Z410" s="47">
        <v>0.0</v>
      </c>
      <c r="AA410" s="47">
        <v>8.0</v>
      </c>
      <c r="AB410" s="47">
        <v>20.3</v>
      </c>
      <c r="AC410" s="47">
        <v>5.0</v>
      </c>
      <c r="AD410" s="47"/>
      <c r="AE410" s="47">
        <v>3.0</v>
      </c>
      <c r="AF410" s="47"/>
      <c r="AG410" s="47"/>
    </row>
    <row r="411" ht="15.75" customHeight="1">
      <c r="A411" s="35">
        <f>Bill!$Y411</f>
        <v>45969</v>
      </c>
      <c r="B411" s="43">
        <f>'Raw Data'!E413+Bill!$L$2</f>
        <v>160</v>
      </c>
      <c r="C411" s="43">
        <f>'Raw Data'!E413+Bill!$M$2</f>
        <v>165</v>
      </c>
      <c r="D411" s="43">
        <f>('Raw Data'!$F413*2)-10</f>
        <v>250</v>
      </c>
      <c r="E411" s="43">
        <f>'Raw Data'!F413+Bill!$O$2</f>
        <v>150</v>
      </c>
      <c r="F411" s="43">
        <f>'Raw Data'!F413+Bill!$P$2</f>
        <v>155</v>
      </c>
      <c r="G411" s="43">
        <f>'Raw Data'!E413+Bill!$Q$2</f>
        <v>190</v>
      </c>
      <c r="H411" s="43">
        <f>('Raw Data'!F413+Bill!$R$2)</f>
        <v>150</v>
      </c>
      <c r="I411" s="36">
        <f>'Raw Data'!G413/100</f>
        <v>6.51</v>
      </c>
      <c r="K411" s="37">
        <f>Bill!$Y411</f>
        <v>45969</v>
      </c>
      <c r="L411" s="38">
        <f>Bill!$AA411*('Raw Data'!$E413+$L$2)</f>
        <v>2368</v>
      </c>
      <c r="M411" s="38">
        <f>Bill!$AB411*('Raw Data'!$E413+$M$2)</f>
        <v>3382.5</v>
      </c>
      <c r="N411" s="38">
        <f>(('Raw Data'!$F413 * 2)-10)*Bill!$AC411</f>
        <v>1250</v>
      </c>
      <c r="O411" s="38">
        <f>('Raw Data'!F413+Bill!$O$2)*Bill!$AD411</f>
        <v>0</v>
      </c>
      <c r="P411" s="38">
        <f>('Raw Data'!F413+Bill!$P$2)*Bill!$AE411</f>
        <v>465</v>
      </c>
      <c r="Q411" s="38">
        <f>Bill!$Z411*('Raw Data'!$E413+$Q$2)</f>
        <v>0</v>
      </c>
      <c r="R411" s="38">
        <f>('Raw Data'!F413+Bill!$R$2)*Bill!$AF411</f>
        <v>0</v>
      </c>
      <c r="S411" s="48">
        <f>('Raw Data'!G413/100)*Bill!$AG411</f>
        <v>0</v>
      </c>
      <c r="T411" s="38">
        <f>SUM(Bill!$L411:$R411)</f>
        <v>7465.5</v>
      </c>
      <c r="U411" s="49">
        <v>7481.0</v>
      </c>
      <c r="V411" s="50"/>
      <c r="W411" s="38">
        <f>Bill!$U411-Bill!$T411</f>
        <v>15.5</v>
      </c>
      <c r="Y411" s="37">
        <f>'Raw Data'!D413</f>
        <v>45969</v>
      </c>
      <c r="Z411" s="47">
        <v>0.0</v>
      </c>
      <c r="AA411" s="47">
        <v>14.8</v>
      </c>
      <c r="AB411" s="47">
        <v>20.5</v>
      </c>
      <c r="AC411" s="47">
        <v>5.0</v>
      </c>
      <c r="AD411" s="47"/>
      <c r="AE411" s="47">
        <v>3.0</v>
      </c>
      <c r="AF411" s="47"/>
      <c r="AG411" s="47"/>
    </row>
    <row r="412" ht="15.75" customHeight="1">
      <c r="A412" s="35">
        <f>Bill!$Y412</f>
        <v>45970</v>
      </c>
      <c r="B412" s="43">
        <f>'Raw Data'!E414+Bill!$L$2</f>
        <v>160</v>
      </c>
      <c r="C412" s="43">
        <f>'Raw Data'!E414+Bill!$M$2</f>
        <v>165</v>
      </c>
      <c r="D412" s="43">
        <f>('Raw Data'!$F414*2)-10</f>
        <v>254</v>
      </c>
      <c r="E412" s="43">
        <f>'Raw Data'!F414+Bill!$O$2</f>
        <v>152</v>
      </c>
      <c r="F412" s="43">
        <f>'Raw Data'!F414+Bill!$P$2</f>
        <v>157</v>
      </c>
      <c r="G412" s="43">
        <f>'Raw Data'!E414+Bill!$Q$2</f>
        <v>190</v>
      </c>
      <c r="H412" s="43">
        <f>('Raw Data'!F414+Bill!$R$2)</f>
        <v>152</v>
      </c>
      <c r="I412" s="36">
        <f>'Raw Data'!G414/100</f>
        <v>6.51</v>
      </c>
      <c r="K412" s="37">
        <f>Bill!$Y412</f>
        <v>45970</v>
      </c>
      <c r="L412" s="38">
        <f>Bill!$AA412*('Raw Data'!$E414+$L$2)</f>
        <v>1120</v>
      </c>
      <c r="M412" s="38">
        <f>Bill!$AB412*('Raw Data'!$E414+$M$2)</f>
        <v>3300</v>
      </c>
      <c r="N412" s="38">
        <f>(('Raw Data'!$F414 * 2)-10)*Bill!$AC412</f>
        <v>1524</v>
      </c>
      <c r="O412" s="38">
        <f>('Raw Data'!F414+Bill!$O$2)*Bill!$AD412</f>
        <v>0</v>
      </c>
      <c r="P412" s="38">
        <f>('Raw Data'!F414+Bill!$P$2)*Bill!$AE412</f>
        <v>0</v>
      </c>
      <c r="Q412" s="38">
        <f>Bill!$Z412*('Raw Data'!$E414+$Q$2)</f>
        <v>0</v>
      </c>
      <c r="R412" s="38">
        <f>('Raw Data'!F414+Bill!$R$2)*Bill!$AF412</f>
        <v>0</v>
      </c>
      <c r="S412" s="48">
        <f>('Raw Data'!G414/100)*Bill!$AG412</f>
        <v>0</v>
      </c>
      <c r="T412" s="38">
        <f>SUM(Bill!$L412:$R412)</f>
        <v>5944</v>
      </c>
      <c r="U412" s="49">
        <v>5944.0</v>
      </c>
      <c r="V412" s="50"/>
      <c r="W412" s="38">
        <f>Bill!$U412-Bill!$T412</f>
        <v>0</v>
      </c>
      <c r="Y412" s="37">
        <f>'Raw Data'!D414</f>
        <v>45970</v>
      </c>
      <c r="Z412" s="47">
        <v>0.0</v>
      </c>
      <c r="AA412" s="47">
        <v>7.0</v>
      </c>
      <c r="AB412" s="47">
        <v>20.0</v>
      </c>
      <c r="AC412" s="47">
        <v>6.0</v>
      </c>
      <c r="AD412" s="47"/>
      <c r="AE412" s="47"/>
      <c r="AF412" s="47"/>
      <c r="AG412" s="47"/>
    </row>
    <row r="413" ht="15.75" customHeight="1">
      <c r="A413" s="35">
        <f>Bill!$Y413</f>
        <v>45971</v>
      </c>
      <c r="B413" s="43">
        <f>'Raw Data'!E415+Bill!$L$2</f>
        <v>160</v>
      </c>
      <c r="C413" s="43">
        <f>'Raw Data'!E415+Bill!$M$2</f>
        <v>165</v>
      </c>
      <c r="D413" s="43">
        <f>('Raw Data'!$F415*2)-10</f>
        <v>254</v>
      </c>
      <c r="E413" s="43">
        <f>'Raw Data'!F415+Bill!$O$2</f>
        <v>152</v>
      </c>
      <c r="F413" s="43">
        <f>'Raw Data'!F415+Bill!$P$2</f>
        <v>157</v>
      </c>
      <c r="G413" s="43">
        <f>'Raw Data'!E415+Bill!$Q$2</f>
        <v>190</v>
      </c>
      <c r="H413" s="43">
        <f>('Raw Data'!F415+Bill!$R$2)</f>
        <v>152</v>
      </c>
      <c r="I413" s="36">
        <f>'Raw Data'!G415/100</f>
        <v>6.51</v>
      </c>
      <c r="K413" s="37">
        <f>Bill!$Y413</f>
        <v>45971</v>
      </c>
      <c r="L413" s="38">
        <f>Bill!$AA413*('Raw Data'!$E415+$L$2)</f>
        <v>864</v>
      </c>
      <c r="M413" s="38">
        <f>Bill!$AB413*('Raw Data'!$E415+$M$2)</f>
        <v>2986.5</v>
      </c>
      <c r="N413" s="38">
        <f>(('Raw Data'!$F415 * 2)-10)*Bill!$AC413</f>
        <v>2540</v>
      </c>
      <c r="O413" s="38">
        <f>('Raw Data'!F415+Bill!$O$2)*Bill!$AD413</f>
        <v>334.4</v>
      </c>
      <c r="P413" s="38">
        <f>('Raw Data'!F415+Bill!$P$2)*Bill!$AE413</f>
        <v>628</v>
      </c>
      <c r="Q413" s="38">
        <f>Bill!$Z413*('Raw Data'!$E415+$Q$2)</f>
        <v>0</v>
      </c>
      <c r="R413" s="38">
        <f>('Raw Data'!F415+Bill!$R$2)*Bill!$AF413</f>
        <v>0</v>
      </c>
      <c r="S413" s="48">
        <f>('Raw Data'!G415/100)*Bill!$AG413</f>
        <v>0</v>
      </c>
      <c r="T413" s="38">
        <f>SUM(Bill!$L413:$R413)</f>
        <v>7352.9</v>
      </c>
      <c r="U413" s="49">
        <v>7373.0</v>
      </c>
      <c r="V413" s="50"/>
      <c r="W413" s="38">
        <f>Bill!$U413-Bill!$T413</f>
        <v>20.1</v>
      </c>
      <c r="Y413" s="37">
        <f>'Raw Data'!D415</f>
        <v>45971</v>
      </c>
      <c r="Z413" s="47">
        <v>0.0</v>
      </c>
      <c r="AA413" s="47">
        <v>5.4</v>
      </c>
      <c r="AB413" s="47">
        <v>18.1</v>
      </c>
      <c r="AC413" s="47">
        <v>10.0</v>
      </c>
      <c r="AD413" s="47">
        <v>2.2</v>
      </c>
      <c r="AE413" s="47">
        <v>4.0</v>
      </c>
      <c r="AF413" s="47"/>
      <c r="AG413" s="47"/>
    </row>
    <row r="414" ht="15.75" customHeight="1">
      <c r="A414" s="35">
        <f>Bill!$Y414</f>
        <v>45972</v>
      </c>
      <c r="B414" s="43">
        <f>'Raw Data'!E416+Bill!$L$2</f>
        <v>160</v>
      </c>
      <c r="C414" s="43">
        <f>'Raw Data'!E416+Bill!$M$2</f>
        <v>165</v>
      </c>
      <c r="D414" s="43">
        <f>('Raw Data'!$F416*2)-10</f>
        <v>258</v>
      </c>
      <c r="E414" s="43">
        <f>'Raw Data'!F416+Bill!$O$2</f>
        <v>154</v>
      </c>
      <c r="F414" s="43">
        <f>'Raw Data'!F416+Bill!$P$2</f>
        <v>159</v>
      </c>
      <c r="G414" s="43">
        <f>'Raw Data'!E416+Bill!$Q$2</f>
        <v>190</v>
      </c>
      <c r="H414" s="43">
        <f>('Raw Data'!F416+Bill!$R$2)</f>
        <v>154</v>
      </c>
      <c r="I414" s="36">
        <f>'Raw Data'!G416/100</f>
        <v>6.51</v>
      </c>
      <c r="K414" s="37">
        <f>Bill!$Y414</f>
        <v>45972</v>
      </c>
      <c r="L414" s="38">
        <f>Bill!$AA414*('Raw Data'!$E416+$L$2)</f>
        <v>1420.8</v>
      </c>
      <c r="M414" s="38">
        <f>Bill!$AB414*('Raw Data'!$E416+$M$2)</f>
        <v>1039.5</v>
      </c>
      <c r="N414" s="38">
        <f>(('Raw Data'!$F416 * 2)-10)*Bill!$AC414</f>
        <v>1290</v>
      </c>
      <c r="O414" s="38">
        <f>('Raw Data'!F416+Bill!$O$2)*Bill!$AD414</f>
        <v>308</v>
      </c>
      <c r="P414" s="38">
        <f>('Raw Data'!F416+Bill!$P$2)*Bill!$AE414</f>
        <v>0</v>
      </c>
      <c r="Q414" s="38">
        <f>Bill!$Z414*('Raw Data'!$E416+$Q$2)</f>
        <v>0</v>
      </c>
      <c r="R414" s="38">
        <f>('Raw Data'!F416+Bill!$R$2)*Bill!$AF414</f>
        <v>0</v>
      </c>
      <c r="S414" s="48">
        <f>('Raw Data'!G416/100)*Bill!$AG414</f>
        <v>0</v>
      </c>
      <c r="T414" s="38">
        <f>SUM(Bill!$L414:$R414)</f>
        <v>4058.3</v>
      </c>
      <c r="U414" s="49">
        <v>4074.0</v>
      </c>
      <c r="V414" s="50"/>
      <c r="W414" s="38">
        <f>Bill!$U414-Bill!$T414</f>
        <v>15.7</v>
      </c>
      <c r="Y414" s="37">
        <f>'Raw Data'!D416</f>
        <v>45972</v>
      </c>
      <c r="Z414" s="47">
        <v>0.0</v>
      </c>
      <c r="AA414" s="47">
        <v>8.88</v>
      </c>
      <c r="AB414" s="47">
        <v>6.3</v>
      </c>
      <c r="AC414" s="47">
        <v>5.0</v>
      </c>
      <c r="AD414" s="47">
        <v>2.0</v>
      </c>
      <c r="AE414" s="47"/>
      <c r="AF414" s="47"/>
      <c r="AG414" s="47"/>
    </row>
    <row r="415" ht="15.75" customHeight="1">
      <c r="A415" s="35">
        <f>Bill!$Y415</f>
        <v>45973</v>
      </c>
      <c r="B415" s="43">
        <f>'Raw Data'!E417+Bill!$L$2</f>
        <v>160</v>
      </c>
      <c r="C415" s="43">
        <f>'Raw Data'!E417+Bill!$M$2</f>
        <v>165</v>
      </c>
      <c r="D415" s="43">
        <f>('Raw Data'!$F417*2)-10</f>
        <v>262</v>
      </c>
      <c r="E415" s="43">
        <f>'Raw Data'!F417+Bill!$O$2</f>
        <v>156</v>
      </c>
      <c r="F415" s="43">
        <f>'Raw Data'!F417+Bill!$P$2</f>
        <v>161</v>
      </c>
      <c r="G415" s="43">
        <f>'Raw Data'!E417+Bill!$Q$2</f>
        <v>190</v>
      </c>
      <c r="H415" s="43">
        <f>('Raw Data'!F417+Bill!$R$2)</f>
        <v>156</v>
      </c>
      <c r="I415" s="36">
        <f>'Raw Data'!G417/100</f>
        <v>6.51</v>
      </c>
      <c r="K415" s="37">
        <f>Bill!$Y415</f>
        <v>45973</v>
      </c>
      <c r="L415" s="38">
        <f>Bill!$AA415*('Raw Data'!$E417+$L$2)</f>
        <v>696</v>
      </c>
      <c r="M415" s="38">
        <f>Bill!$AB415*('Raw Data'!$E417+$M$2)</f>
        <v>858</v>
      </c>
      <c r="N415" s="38">
        <f>(('Raw Data'!$F417 * 2)-10)*Bill!$AC415</f>
        <v>0</v>
      </c>
      <c r="O415" s="38">
        <f>('Raw Data'!F417+Bill!$O$2)*Bill!$AD415</f>
        <v>156</v>
      </c>
      <c r="P415" s="38">
        <f>('Raw Data'!F417+Bill!$P$2)*Bill!$AE415</f>
        <v>0</v>
      </c>
      <c r="Q415" s="38">
        <f>Bill!$Z415*('Raw Data'!$E417+$Q$2)</f>
        <v>0</v>
      </c>
      <c r="R415" s="38">
        <f>('Raw Data'!F417+Bill!$R$2)*Bill!$AF415</f>
        <v>0</v>
      </c>
      <c r="S415" s="48">
        <f>('Raw Data'!G417/100)*Bill!$AG415</f>
        <v>0</v>
      </c>
      <c r="T415" s="38">
        <f>SUM(Bill!$L415:$R415)</f>
        <v>1710</v>
      </c>
      <c r="U415" s="49">
        <v>1720.0</v>
      </c>
      <c r="V415" s="50"/>
      <c r="W415" s="38">
        <f>Bill!$U415-Bill!$T415</f>
        <v>10</v>
      </c>
      <c r="Y415" s="37">
        <f>'Raw Data'!D417</f>
        <v>45973</v>
      </c>
      <c r="Z415" s="47">
        <v>0.0</v>
      </c>
      <c r="AA415" s="47">
        <v>4.35</v>
      </c>
      <c r="AB415" s="47">
        <v>5.2</v>
      </c>
      <c r="AC415" s="47"/>
      <c r="AD415" s="47">
        <v>1.0</v>
      </c>
      <c r="AE415" s="47"/>
      <c r="AF415" s="47"/>
      <c r="AG415" s="47"/>
    </row>
    <row r="416" ht="15.75" customHeight="1">
      <c r="A416" s="35">
        <f>Bill!$Y416</f>
        <v>45974</v>
      </c>
      <c r="B416" s="43">
        <f>'Raw Data'!E418+Bill!$L$2</f>
        <v>162</v>
      </c>
      <c r="C416" s="43">
        <f>'Raw Data'!E418+Bill!$M$2</f>
        <v>167</v>
      </c>
      <c r="D416" s="43">
        <f>('Raw Data'!$F418*2)-10</f>
        <v>262</v>
      </c>
      <c r="E416" s="43">
        <f>'Raw Data'!F418+Bill!$O$2</f>
        <v>156</v>
      </c>
      <c r="F416" s="43">
        <f>'Raw Data'!F418+Bill!$P$2</f>
        <v>161</v>
      </c>
      <c r="G416" s="43">
        <f>'Raw Data'!E418+Bill!$Q$2</f>
        <v>192</v>
      </c>
      <c r="H416" s="43">
        <f>('Raw Data'!F418+Bill!$R$2)</f>
        <v>156</v>
      </c>
      <c r="I416" s="36">
        <f>'Raw Data'!G418/100</f>
        <v>6.56</v>
      </c>
      <c r="K416" s="37">
        <f>Bill!$Y416</f>
        <v>45974</v>
      </c>
      <c r="L416" s="38">
        <f>Bill!$AA416*('Raw Data'!$E418+$L$2)</f>
        <v>745.2</v>
      </c>
      <c r="M416" s="38">
        <f>Bill!$AB416*('Raw Data'!$E418+$M$2)</f>
        <v>2505</v>
      </c>
      <c r="N416" s="38">
        <f>(('Raw Data'!$F418 * 2)-10)*Bill!$AC416</f>
        <v>786</v>
      </c>
      <c r="O416" s="38">
        <f>('Raw Data'!F418+Bill!$O$2)*Bill!$AD416</f>
        <v>0</v>
      </c>
      <c r="P416" s="38">
        <f>('Raw Data'!F418+Bill!$P$2)*Bill!$AE416</f>
        <v>0</v>
      </c>
      <c r="Q416" s="38">
        <f>Bill!$Z416*('Raw Data'!$E418+$Q$2)</f>
        <v>0</v>
      </c>
      <c r="R416" s="38">
        <f>('Raw Data'!F418+Bill!$R$2)*Bill!$AF416</f>
        <v>0</v>
      </c>
      <c r="S416" s="48">
        <f>('Raw Data'!G418/100)*Bill!$AG416</f>
        <v>0</v>
      </c>
      <c r="T416" s="38">
        <f>SUM(Bill!$L416:$R416)</f>
        <v>4036.2</v>
      </c>
      <c r="U416" s="49">
        <v>3747.0</v>
      </c>
      <c r="V416" s="50"/>
      <c r="W416" s="38">
        <f>Bill!$U416-Bill!$T416</f>
        <v>-289.2</v>
      </c>
      <c r="Y416" s="37">
        <f>'Raw Data'!D418</f>
        <v>45974</v>
      </c>
      <c r="Z416" s="47">
        <v>0.0</v>
      </c>
      <c r="AA416" s="47">
        <v>4.6</v>
      </c>
      <c r="AB416" s="47">
        <v>15.0</v>
      </c>
      <c r="AC416" s="47">
        <v>3.0</v>
      </c>
      <c r="AD416" s="47"/>
      <c r="AE416" s="47"/>
      <c r="AF416" s="47"/>
      <c r="AG416" s="47"/>
    </row>
    <row r="417" ht="15.75" customHeight="1">
      <c r="A417" s="35">
        <f>Bill!$Y417</f>
        <v>45975</v>
      </c>
      <c r="B417" s="43">
        <f>'Raw Data'!E419+Bill!$L$2</f>
        <v>162</v>
      </c>
      <c r="C417" s="43">
        <f>'Raw Data'!E419+Bill!$M$2</f>
        <v>167</v>
      </c>
      <c r="D417" s="43">
        <f>('Raw Data'!$F419*2)-10</f>
        <v>262</v>
      </c>
      <c r="E417" s="43">
        <f>'Raw Data'!F419+Bill!$O$2</f>
        <v>156</v>
      </c>
      <c r="F417" s="43">
        <f>'Raw Data'!F419+Bill!$P$2</f>
        <v>161</v>
      </c>
      <c r="G417" s="43">
        <f>'Raw Data'!E419+Bill!$Q$2</f>
        <v>192</v>
      </c>
      <c r="H417" s="43">
        <f>('Raw Data'!F419+Bill!$R$2)</f>
        <v>156</v>
      </c>
      <c r="I417" s="36">
        <f>'Raw Data'!G419/100</f>
        <v>6.61</v>
      </c>
      <c r="K417" s="37">
        <f>Bill!$Y417</f>
        <v>45975</v>
      </c>
      <c r="L417" s="38">
        <f>Bill!$AA417*('Raw Data'!$E419+$L$2)</f>
        <v>704.7</v>
      </c>
      <c r="M417" s="38">
        <f>Bill!$AB417*('Raw Data'!$E419+$M$2)</f>
        <v>1382.76</v>
      </c>
      <c r="N417" s="38">
        <f>(('Raw Data'!$F419 * 2)-10)*Bill!$AC417</f>
        <v>1310</v>
      </c>
      <c r="O417" s="38">
        <f>('Raw Data'!F419+Bill!$O$2)*Bill!$AD417</f>
        <v>0</v>
      </c>
      <c r="P417" s="38">
        <f>('Raw Data'!F419+Bill!$P$2)*Bill!$AE417</f>
        <v>483</v>
      </c>
      <c r="Q417" s="38">
        <f>Bill!$Z417*('Raw Data'!$E419+$Q$2)</f>
        <v>0</v>
      </c>
      <c r="R417" s="38">
        <f>('Raw Data'!F419+Bill!$R$2)*Bill!$AF417</f>
        <v>0</v>
      </c>
      <c r="S417" s="48">
        <f>('Raw Data'!G419/100)*Bill!$AG417</f>
        <v>0</v>
      </c>
      <c r="T417" s="38">
        <f>SUM(Bill!$L417:$R417)</f>
        <v>3880.46</v>
      </c>
      <c r="U417" s="49">
        <v>3891.0</v>
      </c>
      <c r="V417" s="50"/>
      <c r="W417" s="38">
        <f>Bill!$U417-Bill!$T417</f>
        <v>10.54</v>
      </c>
      <c r="Y417" s="37">
        <f>'Raw Data'!D419</f>
        <v>45975</v>
      </c>
      <c r="Z417" s="47">
        <v>0.0</v>
      </c>
      <c r="AA417" s="47">
        <v>4.35</v>
      </c>
      <c r="AB417" s="47">
        <v>8.28</v>
      </c>
      <c r="AC417" s="47">
        <v>5.0</v>
      </c>
      <c r="AD417" s="47"/>
      <c r="AE417" s="47">
        <v>3.0</v>
      </c>
      <c r="AF417" s="47"/>
      <c r="AG417" s="47"/>
    </row>
    <row r="418" ht="15.75" customHeight="1">
      <c r="A418" s="35">
        <f>Bill!$Y418</f>
        <v>45976</v>
      </c>
      <c r="B418" s="43">
        <f>'Raw Data'!E420+Bill!$L$2</f>
        <v>162</v>
      </c>
      <c r="C418" s="43">
        <f>'Raw Data'!E420+Bill!$M$2</f>
        <v>167</v>
      </c>
      <c r="D418" s="43">
        <f>('Raw Data'!$F420*2)-10</f>
        <v>262</v>
      </c>
      <c r="E418" s="43">
        <f>'Raw Data'!F420+Bill!$O$2</f>
        <v>156</v>
      </c>
      <c r="F418" s="43">
        <f>'Raw Data'!F420+Bill!$P$2</f>
        <v>161</v>
      </c>
      <c r="G418" s="43">
        <f>'Raw Data'!E420+Bill!$Q$2</f>
        <v>192</v>
      </c>
      <c r="H418" s="43">
        <f>('Raw Data'!F420+Bill!$R$2)</f>
        <v>156</v>
      </c>
      <c r="I418" s="36">
        <f>'Raw Data'!G420/100</f>
        <v>6.66</v>
      </c>
      <c r="K418" s="37">
        <f>Bill!$Y418</f>
        <v>45976</v>
      </c>
      <c r="L418" s="38">
        <f>Bill!$AA418*('Raw Data'!$E420+$L$2)</f>
        <v>753.3</v>
      </c>
      <c r="M418" s="38">
        <f>Bill!$AB418*('Raw Data'!$E420+$M$2)</f>
        <v>1686.7</v>
      </c>
      <c r="N418" s="38">
        <f>(('Raw Data'!$F420 * 2)-10)*Bill!$AC418</f>
        <v>1310</v>
      </c>
      <c r="O418" s="38">
        <f>('Raw Data'!F420+Bill!$O$2)*Bill!$AD418</f>
        <v>0</v>
      </c>
      <c r="P418" s="38">
        <f>('Raw Data'!F420+Bill!$P$2)*Bill!$AE418</f>
        <v>0</v>
      </c>
      <c r="Q418" s="38">
        <f>Bill!$Z418*('Raw Data'!$E420+$Q$2)</f>
        <v>0</v>
      </c>
      <c r="R418" s="38">
        <f>('Raw Data'!F420+Bill!$R$2)*Bill!$AF418</f>
        <v>0</v>
      </c>
      <c r="S418" s="48">
        <f>('Raw Data'!G420/100)*Bill!$AG418</f>
        <v>0</v>
      </c>
      <c r="T418" s="38">
        <f>SUM(Bill!$L418:$R418)</f>
        <v>3750</v>
      </c>
      <c r="U418" s="49">
        <v>3780.0</v>
      </c>
      <c r="V418" s="50"/>
      <c r="W418" s="38">
        <f>Bill!$U418-Bill!$T418</f>
        <v>30</v>
      </c>
      <c r="Y418" s="37">
        <f>'Raw Data'!D420</f>
        <v>45976</v>
      </c>
      <c r="Z418" s="47">
        <v>0.0</v>
      </c>
      <c r="AA418" s="47">
        <v>4.65</v>
      </c>
      <c r="AB418" s="47">
        <v>10.1</v>
      </c>
      <c r="AC418" s="47">
        <v>5.0</v>
      </c>
      <c r="AD418" s="47"/>
      <c r="AE418" s="47"/>
      <c r="AF418" s="47"/>
      <c r="AG418" s="47"/>
    </row>
    <row r="419" ht="15.75" customHeight="1">
      <c r="A419" s="35">
        <f>Bill!$Y419</f>
        <v>45977</v>
      </c>
      <c r="B419" s="43">
        <f>'Raw Data'!E421+Bill!$L$2</f>
        <v>168</v>
      </c>
      <c r="C419" s="43">
        <f>'Raw Data'!E421+Bill!$M$2</f>
        <v>173</v>
      </c>
      <c r="D419" s="43">
        <f>('Raw Data'!$F421*2)-10</f>
        <v>266</v>
      </c>
      <c r="E419" s="43">
        <f>'Raw Data'!F421+Bill!$O$2</f>
        <v>158</v>
      </c>
      <c r="F419" s="43">
        <f>'Raw Data'!F421+Bill!$P$2</f>
        <v>163</v>
      </c>
      <c r="G419" s="43">
        <f>'Raw Data'!E421+Bill!$Q$2</f>
        <v>198</v>
      </c>
      <c r="H419" s="43">
        <f>('Raw Data'!F421+Bill!$R$2)</f>
        <v>158</v>
      </c>
      <c r="I419" s="36">
        <f>'Raw Data'!G421/100</f>
        <v>6.71</v>
      </c>
      <c r="K419" s="37">
        <f>Bill!$Y419</f>
        <v>45977</v>
      </c>
      <c r="L419" s="38">
        <f>Bill!$AA419*('Raw Data'!$E421+$L$2)</f>
        <v>0</v>
      </c>
      <c r="M419" s="38">
        <f>Bill!$AB419*('Raw Data'!$E421+$M$2)</f>
        <v>2595</v>
      </c>
      <c r="N419" s="38">
        <f>(('Raw Data'!$F421 * 2)-10)*Bill!$AC419</f>
        <v>1596</v>
      </c>
      <c r="O419" s="38">
        <f>('Raw Data'!F421+Bill!$O$2)*Bill!$AD419</f>
        <v>0</v>
      </c>
      <c r="P419" s="38">
        <f>('Raw Data'!F421+Bill!$P$2)*Bill!$AE419</f>
        <v>489</v>
      </c>
      <c r="Q419" s="38">
        <f>Bill!$Z419*('Raw Data'!$E421+$Q$2)</f>
        <v>0</v>
      </c>
      <c r="R419" s="38">
        <f>('Raw Data'!F421+Bill!$R$2)*Bill!$AF419</f>
        <v>0</v>
      </c>
      <c r="S419" s="48">
        <f>('Raw Data'!G421/100)*Bill!$AG419</f>
        <v>0</v>
      </c>
      <c r="T419" s="38">
        <f>SUM(Bill!$L419:$R419)</f>
        <v>4680</v>
      </c>
      <c r="U419" s="49">
        <v>4695.0</v>
      </c>
      <c r="V419" s="50"/>
      <c r="W419" s="38">
        <f>Bill!$U419-Bill!$T419</f>
        <v>15</v>
      </c>
      <c r="Y419" s="37">
        <f>'Raw Data'!D421</f>
        <v>45977</v>
      </c>
      <c r="Z419" s="47">
        <v>0.0</v>
      </c>
      <c r="AA419" s="47"/>
      <c r="AB419" s="47">
        <v>15.0</v>
      </c>
      <c r="AC419" s="47">
        <v>6.0</v>
      </c>
      <c r="AD419" s="47"/>
      <c r="AE419" s="47">
        <v>3.0</v>
      </c>
      <c r="AF419" s="47"/>
      <c r="AG419" s="47"/>
    </row>
    <row r="420" ht="15.75" customHeight="1">
      <c r="A420" s="35">
        <f>Bill!$Y420</f>
        <v>45978</v>
      </c>
      <c r="B420" s="43">
        <f>'Raw Data'!E422+Bill!$L$2</f>
        <v>168</v>
      </c>
      <c r="C420" s="43">
        <f>'Raw Data'!E422+Bill!$M$2</f>
        <v>173</v>
      </c>
      <c r="D420" s="43">
        <f>('Raw Data'!$F422*2)-10</f>
        <v>270</v>
      </c>
      <c r="E420" s="43">
        <f>'Raw Data'!F422+Bill!$O$2</f>
        <v>160</v>
      </c>
      <c r="F420" s="43">
        <f>'Raw Data'!F422+Bill!$P$2</f>
        <v>165</v>
      </c>
      <c r="G420" s="43">
        <f>'Raw Data'!E422+Bill!$Q$2</f>
        <v>198</v>
      </c>
      <c r="H420" s="43">
        <f>('Raw Data'!F422+Bill!$R$2)</f>
        <v>160</v>
      </c>
      <c r="I420" s="36">
        <f>'Raw Data'!G422/100</f>
        <v>6.8</v>
      </c>
      <c r="K420" s="37">
        <f>Bill!$Y420</f>
        <v>45978</v>
      </c>
      <c r="L420" s="38">
        <f>Bill!$AA420*('Raw Data'!$E422+$L$2)</f>
        <v>2469.6</v>
      </c>
      <c r="M420" s="38">
        <f>Bill!$AB420*('Raw Data'!$E422+$M$2)</f>
        <v>1781.9</v>
      </c>
      <c r="N420" s="38">
        <f>(('Raw Data'!$F422 * 2)-10)*Bill!$AC420</f>
        <v>0</v>
      </c>
      <c r="O420" s="38">
        <f>('Raw Data'!F422+Bill!$O$2)*Bill!$AD420</f>
        <v>0</v>
      </c>
      <c r="P420" s="38">
        <f>('Raw Data'!F422+Bill!$P$2)*Bill!$AE420</f>
        <v>165</v>
      </c>
      <c r="Q420" s="38">
        <f>Bill!$Z420*('Raw Data'!$E422+$Q$2)</f>
        <v>0</v>
      </c>
      <c r="R420" s="38">
        <f>('Raw Data'!F422+Bill!$R$2)*Bill!$AF420</f>
        <v>0</v>
      </c>
      <c r="S420" s="48">
        <f>('Raw Data'!G422/100)*Bill!$AG420</f>
        <v>0</v>
      </c>
      <c r="T420" s="38">
        <f>SUM(Bill!$L420:$R420)</f>
        <v>4416.5</v>
      </c>
      <c r="U420" s="49">
        <v>4422.0</v>
      </c>
      <c r="V420" s="50"/>
      <c r="W420" s="38">
        <f>Bill!$U420-Bill!$T420</f>
        <v>5.5</v>
      </c>
      <c r="Y420" s="37">
        <f>'Raw Data'!D422</f>
        <v>45978</v>
      </c>
      <c r="Z420" s="47">
        <v>0.0</v>
      </c>
      <c r="AA420" s="47">
        <v>14.7</v>
      </c>
      <c r="AB420" s="47">
        <v>10.3</v>
      </c>
      <c r="AC420" s="47"/>
      <c r="AD420" s="47"/>
      <c r="AE420" s="47">
        <v>1.0</v>
      </c>
      <c r="AF420" s="47"/>
      <c r="AG420" s="47"/>
    </row>
    <row r="421" ht="15.75" customHeight="1">
      <c r="A421" s="35">
        <f>Bill!$Y421</f>
        <v>45979</v>
      </c>
      <c r="B421" s="43">
        <f>'Raw Data'!E423+Bill!$L$2</f>
        <v>172</v>
      </c>
      <c r="C421" s="43">
        <f>'Raw Data'!E423+Bill!$M$2</f>
        <v>177</v>
      </c>
      <c r="D421" s="43">
        <f>('Raw Data'!$F423*2)-10</f>
        <v>274</v>
      </c>
      <c r="E421" s="43">
        <f>'Raw Data'!F423+Bill!$O$2</f>
        <v>162</v>
      </c>
      <c r="F421" s="43">
        <f>'Raw Data'!F423+Bill!$P$2</f>
        <v>167</v>
      </c>
      <c r="G421" s="43">
        <f>'Raw Data'!E423+Bill!$Q$2</f>
        <v>202</v>
      </c>
      <c r="H421" s="43">
        <f>('Raw Data'!F423+Bill!$R$2)</f>
        <v>162</v>
      </c>
      <c r="I421" s="36">
        <f>'Raw Data'!G423/100</f>
        <v>6.9</v>
      </c>
      <c r="K421" s="37">
        <f>Bill!$Y421</f>
        <v>45979</v>
      </c>
      <c r="L421" s="38">
        <f>Bill!$AA421*('Raw Data'!$E423+$L$2)</f>
        <v>825.6</v>
      </c>
      <c r="M421" s="38">
        <f>Bill!$AB421*('Raw Data'!$E423+$M$2)</f>
        <v>531</v>
      </c>
      <c r="N421" s="38">
        <f>(('Raw Data'!$F423 * 2)-10)*Bill!$AC421</f>
        <v>1096</v>
      </c>
      <c r="O421" s="38">
        <f>('Raw Data'!F423+Bill!$O$2)*Bill!$AD421</f>
        <v>0</v>
      </c>
      <c r="P421" s="38">
        <f>('Raw Data'!F423+Bill!$P$2)*Bill!$AE421</f>
        <v>0</v>
      </c>
      <c r="Q421" s="38">
        <f>Bill!$Z421*('Raw Data'!$E423+$Q$2)</f>
        <v>0</v>
      </c>
      <c r="R421" s="38">
        <f>('Raw Data'!F423+Bill!$R$2)*Bill!$AF421</f>
        <v>0</v>
      </c>
      <c r="S421" s="48">
        <f>('Raw Data'!G423/100)*Bill!$AG421</f>
        <v>0</v>
      </c>
      <c r="T421" s="38">
        <f>SUM(Bill!$L421:$R421)</f>
        <v>2452.6</v>
      </c>
      <c r="U421" s="49">
        <v>2452.0</v>
      </c>
      <c r="V421" s="50"/>
      <c r="W421" s="38">
        <f>Bill!$U421-Bill!$T421</f>
        <v>-0.6</v>
      </c>
      <c r="Y421" s="37">
        <f>'Raw Data'!D423</f>
        <v>45979</v>
      </c>
      <c r="Z421" s="47">
        <v>0.0</v>
      </c>
      <c r="AA421" s="47">
        <v>4.8</v>
      </c>
      <c r="AB421" s="47">
        <v>3.0</v>
      </c>
      <c r="AC421" s="47">
        <v>4.0</v>
      </c>
      <c r="AD421" s="47"/>
      <c r="AE421" s="47"/>
      <c r="AF421" s="47"/>
      <c r="AG421" s="47"/>
    </row>
    <row r="422" ht="15.75" customHeight="1">
      <c r="A422" s="35">
        <f>Bill!$Y422</f>
        <v>45980</v>
      </c>
      <c r="B422" s="43">
        <f>'Raw Data'!E424+Bill!$L$2</f>
        <v>175</v>
      </c>
      <c r="C422" s="43">
        <f>'Raw Data'!E424+Bill!$M$2</f>
        <v>180</v>
      </c>
      <c r="D422" s="43">
        <f>('Raw Data'!$F424*2)-10</f>
        <v>280</v>
      </c>
      <c r="E422" s="43">
        <f>'Raw Data'!F424+Bill!$O$2</f>
        <v>165</v>
      </c>
      <c r="F422" s="43">
        <f>'Raw Data'!F424+Bill!$P$2</f>
        <v>170</v>
      </c>
      <c r="G422" s="43">
        <f>'Raw Data'!E424+Bill!$Q$2</f>
        <v>205</v>
      </c>
      <c r="H422" s="43">
        <f>('Raw Data'!F424+Bill!$R$2)</f>
        <v>165</v>
      </c>
      <c r="I422" s="36">
        <f>'Raw Data'!G424/100</f>
        <v>7.01</v>
      </c>
      <c r="K422" s="37">
        <f>Bill!$Y422</f>
        <v>45980</v>
      </c>
      <c r="L422" s="38">
        <f>Bill!$AA422*('Raw Data'!$E424+$L$2)</f>
        <v>2257.5</v>
      </c>
      <c r="M422" s="38">
        <f>Bill!$AB422*('Raw Data'!$E424+$M$2)</f>
        <v>900</v>
      </c>
      <c r="N422" s="38">
        <f>(('Raw Data'!$F424 * 2)-10)*Bill!$AC422</f>
        <v>1400</v>
      </c>
      <c r="O422" s="38">
        <f>('Raw Data'!F424+Bill!$O$2)*Bill!$AD422</f>
        <v>0</v>
      </c>
      <c r="P422" s="38">
        <f>('Raw Data'!F424+Bill!$P$2)*Bill!$AE422</f>
        <v>510</v>
      </c>
      <c r="Q422" s="38">
        <f>Bill!$Z422*('Raw Data'!$E424+$Q$2)</f>
        <v>0</v>
      </c>
      <c r="R422" s="38">
        <f>('Raw Data'!F424+Bill!$R$2)*Bill!$AF422</f>
        <v>0</v>
      </c>
      <c r="S422" s="48">
        <f>('Raw Data'!G424/100)*Bill!$AG422</f>
        <v>0</v>
      </c>
      <c r="T422" s="38">
        <f>SUM(Bill!$L422:$R422)</f>
        <v>5067.5</v>
      </c>
      <c r="U422" s="49">
        <v>5008.0</v>
      </c>
      <c r="V422" s="50"/>
      <c r="W422" s="38">
        <f>Bill!$U422-Bill!$T422</f>
        <v>-59.5</v>
      </c>
      <c r="Y422" s="37">
        <f>'Raw Data'!D424</f>
        <v>45980</v>
      </c>
      <c r="Z422" s="47">
        <v>0.0</v>
      </c>
      <c r="AA422" s="47">
        <v>12.9</v>
      </c>
      <c r="AB422" s="47">
        <v>5.0</v>
      </c>
      <c r="AC422" s="47">
        <v>5.0</v>
      </c>
      <c r="AD422" s="47"/>
      <c r="AE422" s="47">
        <v>3.0</v>
      </c>
      <c r="AF422" s="47"/>
      <c r="AG422" s="47"/>
    </row>
    <row r="423" ht="15.75" customHeight="1">
      <c r="A423" s="35">
        <f>Bill!$Y423</f>
        <v>45981</v>
      </c>
      <c r="B423" s="43">
        <f>'Raw Data'!E425+Bill!$L$2</f>
        <v>172</v>
      </c>
      <c r="C423" s="43">
        <f>'Raw Data'!E425+Bill!$M$2</f>
        <v>177</v>
      </c>
      <c r="D423" s="43">
        <f>('Raw Data'!$F425*2)-10</f>
        <v>274</v>
      </c>
      <c r="E423" s="43">
        <f>'Raw Data'!F425+Bill!$O$2</f>
        <v>162</v>
      </c>
      <c r="F423" s="43">
        <f>'Raw Data'!F425+Bill!$P$2</f>
        <v>167</v>
      </c>
      <c r="G423" s="43">
        <f>'Raw Data'!E425+Bill!$Q$2</f>
        <v>202</v>
      </c>
      <c r="H423" s="43">
        <f>('Raw Data'!F425+Bill!$R$2)</f>
        <v>162</v>
      </c>
      <c r="I423" s="36">
        <f>'Raw Data'!G425/100</f>
        <v>7.1</v>
      </c>
      <c r="K423" s="37">
        <f>Bill!$Y423</f>
        <v>45981</v>
      </c>
      <c r="L423" s="38">
        <f>Bill!$AA423*('Raw Data'!$E425+$L$2)</f>
        <v>0</v>
      </c>
      <c r="M423" s="38">
        <f>Bill!$AB423*('Raw Data'!$E425+$M$2)</f>
        <v>2655</v>
      </c>
      <c r="N423" s="38">
        <f>(('Raw Data'!$F425 * 2)-10)*Bill!$AC423</f>
        <v>1918</v>
      </c>
      <c r="O423" s="38">
        <f>('Raw Data'!F425+Bill!$O$2)*Bill!$AD423</f>
        <v>0</v>
      </c>
      <c r="P423" s="38">
        <f>('Raw Data'!F425+Bill!$P$2)*Bill!$AE423</f>
        <v>501</v>
      </c>
      <c r="Q423" s="38">
        <f>Bill!$Z423*('Raw Data'!$E425+$Q$2)</f>
        <v>0</v>
      </c>
      <c r="R423" s="38">
        <f>('Raw Data'!F425+Bill!$R$2)*Bill!$AF423</f>
        <v>0</v>
      </c>
      <c r="S423" s="48">
        <f>('Raw Data'!G425/100)*Bill!$AG423</f>
        <v>0</v>
      </c>
      <c r="T423" s="38">
        <f>SUM(Bill!$L423:$R423)</f>
        <v>5074</v>
      </c>
      <c r="U423" s="49">
        <v>5089.0</v>
      </c>
      <c r="V423" s="50"/>
      <c r="W423" s="38">
        <f>Bill!$U423-Bill!$T423</f>
        <v>15</v>
      </c>
      <c r="Y423" s="37">
        <f>'Raw Data'!D425</f>
        <v>45981</v>
      </c>
      <c r="Z423" s="47">
        <v>0.0</v>
      </c>
      <c r="AA423" s="47"/>
      <c r="AB423" s="47">
        <v>15.0</v>
      </c>
      <c r="AC423" s="47">
        <v>7.0</v>
      </c>
      <c r="AD423" s="47"/>
      <c r="AE423" s="47">
        <v>3.0</v>
      </c>
      <c r="AF423" s="47"/>
      <c r="AG423" s="47"/>
    </row>
    <row r="424" ht="15.75" customHeight="1">
      <c r="A424" s="35">
        <f>Bill!$Y424</f>
        <v>45982</v>
      </c>
      <c r="B424" s="43">
        <f>'Raw Data'!E426+Bill!$L$2</f>
        <v>172</v>
      </c>
      <c r="C424" s="43">
        <f>'Raw Data'!E426+Bill!$M$2</f>
        <v>177</v>
      </c>
      <c r="D424" s="43">
        <f>('Raw Data'!$F426*2)-10</f>
        <v>266</v>
      </c>
      <c r="E424" s="43">
        <f>'Raw Data'!F426+Bill!$O$2</f>
        <v>158</v>
      </c>
      <c r="F424" s="43">
        <f>'Raw Data'!F426+Bill!$P$2</f>
        <v>163</v>
      </c>
      <c r="G424" s="43">
        <f>'Raw Data'!E426+Bill!$Q$2</f>
        <v>202</v>
      </c>
      <c r="H424" s="43">
        <f>('Raw Data'!F426+Bill!$R$2)</f>
        <v>158</v>
      </c>
      <c r="I424" s="36">
        <f>'Raw Data'!G426/100</f>
        <v>7.1</v>
      </c>
      <c r="K424" s="37">
        <f>Bill!$Y424</f>
        <v>45982</v>
      </c>
      <c r="L424" s="38">
        <f>Bill!$AA424*('Raw Data'!$E426+$L$2)</f>
        <v>1376</v>
      </c>
      <c r="M424" s="38">
        <f>Bill!$AB424*('Raw Data'!$E426+$M$2)</f>
        <v>3557.7</v>
      </c>
      <c r="N424" s="38">
        <f>(('Raw Data'!$F426 * 2)-10)*Bill!$AC424</f>
        <v>1862</v>
      </c>
      <c r="O424" s="38">
        <f>('Raw Data'!F426+Bill!$O$2)*Bill!$AD424</f>
        <v>0</v>
      </c>
      <c r="P424" s="38">
        <f>('Raw Data'!F426+Bill!$P$2)*Bill!$AE424</f>
        <v>489</v>
      </c>
      <c r="Q424" s="38">
        <f>Bill!$Z424*('Raw Data'!$E426+$Q$2)</f>
        <v>0</v>
      </c>
      <c r="R424" s="38">
        <f>('Raw Data'!F426+Bill!$R$2)*Bill!$AF424</f>
        <v>0</v>
      </c>
      <c r="S424" s="48">
        <f>('Raw Data'!G426/100)*Bill!$AG424</f>
        <v>0</v>
      </c>
      <c r="T424" s="38">
        <f>SUM(Bill!$L424:$R424)</f>
        <v>7284.7</v>
      </c>
      <c r="U424" s="49">
        <v>7300.0</v>
      </c>
      <c r="V424" s="50"/>
      <c r="W424" s="38">
        <f>Bill!$U424-Bill!$T424</f>
        <v>15.3</v>
      </c>
      <c r="Y424" s="37">
        <f>'Raw Data'!D426</f>
        <v>45982</v>
      </c>
      <c r="Z424" s="47">
        <v>0.0</v>
      </c>
      <c r="AA424" s="47">
        <v>8.0</v>
      </c>
      <c r="AB424" s="47">
        <v>20.1</v>
      </c>
      <c r="AC424" s="47">
        <v>7.0</v>
      </c>
      <c r="AD424" s="47"/>
      <c r="AE424" s="47">
        <v>3.0</v>
      </c>
      <c r="AF424" s="47"/>
      <c r="AG424" s="47"/>
    </row>
    <row r="425" ht="15.75" customHeight="1">
      <c r="A425" s="35">
        <f>Bill!$Y425</f>
        <v>45983</v>
      </c>
      <c r="B425" s="43">
        <f>'Raw Data'!E427+Bill!$L$2</f>
        <v>170</v>
      </c>
      <c r="C425" s="43">
        <f>'Raw Data'!E427+Bill!$M$2</f>
        <v>175</v>
      </c>
      <c r="D425" s="43">
        <f>('Raw Data'!$F427*2)-10</f>
        <v>262</v>
      </c>
      <c r="E425" s="43">
        <f>'Raw Data'!F427+Bill!$O$2</f>
        <v>156</v>
      </c>
      <c r="F425" s="43">
        <f>'Raw Data'!F427+Bill!$P$2</f>
        <v>161</v>
      </c>
      <c r="G425" s="43">
        <f>'Raw Data'!E427+Bill!$Q$2</f>
        <v>200</v>
      </c>
      <c r="H425" s="43">
        <f>('Raw Data'!F427+Bill!$R$2)</f>
        <v>156</v>
      </c>
      <c r="I425" s="36">
        <f>'Raw Data'!G427/100</f>
        <v>7.15</v>
      </c>
      <c r="K425" s="37">
        <f>Bill!$Y425</f>
        <v>45983</v>
      </c>
      <c r="L425" s="38">
        <f>Bill!$AA425*('Raw Data'!$E427+$L$2)</f>
        <v>0</v>
      </c>
      <c r="M425" s="38">
        <f>Bill!$AB425*('Raw Data'!$E427+$M$2)</f>
        <v>1400</v>
      </c>
      <c r="N425" s="38">
        <f>(('Raw Data'!$F427 * 2)-10)*Bill!$AC425</f>
        <v>1310</v>
      </c>
      <c r="O425" s="38">
        <f>('Raw Data'!F427+Bill!$O$2)*Bill!$AD425</f>
        <v>312</v>
      </c>
      <c r="P425" s="38">
        <f>('Raw Data'!F427+Bill!$P$2)*Bill!$AE425</f>
        <v>0</v>
      </c>
      <c r="Q425" s="38">
        <f>Bill!$Z425*('Raw Data'!$E427+$Q$2)</f>
        <v>0</v>
      </c>
      <c r="R425" s="38">
        <f>('Raw Data'!F427+Bill!$R$2)*Bill!$AF425</f>
        <v>0</v>
      </c>
      <c r="S425" s="48">
        <f>('Raw Data'!G427/100)*Bill!$AG425</f>
        <v>0</v>
      </c>
      <c r="T425" s="38">
        <f>SUM(Bill!$L425:$R425)</f>
        <v>3022</v>
      </c>
      <c r="U425" s="49">
        <v>3022.0</v>
      </c>
      <c r="V425" s="50"/>
      <c r="W425" s="38">
        <f>Bill!$U425-Bill!$T425</f>
        <v>0</v>
      </c>
      <c r="Y425" s="37">
        <f>'Raw Data'!D427</f>
        <v>45983</v>
      </c>
      <c r="Z425" s="47">
        <v>0.0</v>
      </c>
      <c r="AA425" s="47"/>
      <c r="AB425" s="47">
        <v>8.0</v>
      </c>
      <c r="AC425" s="47">
        <v>5.0</v>
      </c>
      <c r="AD425" s="47">
        <v>2.0</v>
      </c>
      <c r="AE425" s="47"/>
      <c r="AF425" s="47"/>
      <c r="AG425" s="47"/>
    </row>
    <row r="426" ht="15.75" customHeight="1">
      <c r="A426" s="35">
        <f>Bill!$Y426</f>
        <v>45984</v>
      </c>
      <c r="B426" s="43">
        <f>'Raw Data'!E428+Bill!$L$2</f>
        <v>170</v>
      </c>
      <c r="C426" s="43">
        <f>'Raw Data'!E428+Bill!$M$2</f>
        <v>175</v>
      </c>
      <c r="D426" s="43">
        <f>('Raw Data'!$F428*2)-10</f>
        <v>262</v>
      </c>
      <c r="E426" s="43">
        <f>'Raw Data'!F428+Bill!$O$2</f>
        <v>156</v>
      </c>
      <c r="F426" s="43">
        <f>'Raw Data'!F428+Bill!$P$2</f>
        <v>161</v>
      </c>
      <c r="G426" s="43">
        <f>'Raw Data'!E428+Bill!$Q$2</f>
        <v>200</v>
      </c>
      <c r="H426" s="43">
        <f>('Raw Data'!F428+Bill!$R$2)</f>
        <v>156</v>
      </c>
      <c r="I426" s="36">
        <f>'Raw Data'!G428/100</f>
        <v>7.15</v>
      </c>
      <c r="K426" s="37">
        <f>Bill!$Y426</f>
        <v>45984</v>
      </c>
      <c r="L426" s="38">
        <f>Bill!$AA426*('Raw Data'!$E428+$L$2)</f>
        <v>799</v>
      </c>
      <c r="M426" s="38">
        <f>Bill!$AB426*('Raw Data'!$E428+$M$2)</f>
        <v>2660</v>
      </c>
      <c r="N426" s="38">
        <f>(('Raw Data'!$F428 * 2)-10)*Bill!$AC426</f>
        <v>1834</v>
      </c>
      <c r="O426" s="38">
        <f>('Raw Data'!F428+Bill!$O$2)*Bill!$AD426</f>
        <v>0</v>
      </c>
      <c r="P426" s="38">
        <f>('Raw Data'!F428+Bill!$P$2)*Bill!$AE426</f>
        <v>322</v>
      </c>
      <c r="Q426" s="38">
        <f>Bill!$Z426*('Raw Data'!$E428+$Q$2)</f>
        <v>0</v>
      </c>
      <c r="R426" s="38">
        <f>('Raw Data'!F428+Bill!$R$2)*Bill!$AF426</f>
        <v>0</v>
      </c>
      <c r="S426" s="48">
        <f>('Raw Data'!G428/100)*Bill!$AG426</f>
        <v>0</v>
      </c>
      <c r="T426" s="38">
        <f>SUM(Bill!$L426:$R426)</f>
        <v>5615</v>
      </c>
      <c r="U426" s="49">
        <v>5625.0</v>
      </c>
      <c r="V426" s="50"/>
      <c r="W426" s="38">
        <f>Bill!$U426-Bill!$T426</f>
        <v>10</v>
      </c>
      <c r="Y426" s="37">
        <f>'Raw Data'!D428</f>
        <v>45984</v>
      </c>
      <c r="Z426" s="47">
        <v>0.0</v>
      </c>
      <c r="AA426" s="47">
        <v>4.7</v>
      </c>
      <c r="AB426" s="47">
        <v>15.2</v>
      </c>
      <c r="AC426" s="47">
        <v>7.0</v>
      </c>
      <c r="AD426" s="47"/>
      <c r="AE426" s="47">
        <v>2.0</v>
      </c>
      <c r="AF426" s="47"/>
      <c r="AG426" s="47"/>
    </row>
    <row r="427" ht="15.75" customHeight="1">
      <c r="A427" s="35">
        <f>Bill!$Y427</f>
        <v>45985</v>
      </c>
      <c r="B427" s="43">
        <f>'Raw Data'!E429+Bill!$L$2</f>
        <v>170</v>
      </c>
      <c r="C427" s="43">
        <f>'Raw Data'!E429+Bill!$M$2</f>
        <v>175</v>
      </c>
      <c r="D427" s="43">
        <f>('Raw Data'!$F429*2)-10</f>
        <v>262</v>
      </c>
      <c r="E427" s="43">
        <f>'Raw Data'!F429+Bill!$O$2</f>
        <v>156</v>
      </c>
      <c r="F427" s="43">
        <f>'Raw Data'!F429+Bill!$P$2</f>
        <v>161</v>
      </c>
      <c r="G427" s="43">
        <f>'Raw Data'!E429+Bill!$Q$2</f>
        <v>200</v>
      </c>
      <c r="H427" s="43">
        <f>('Raw Data'!F429+Bill!$R$2)</f>
        <v>156</v>
      </c>
      <c r="I427" s="36">
        <f>'Raw Data'!G429/100</f>
        <v>7.2</v>
      </c>
      <c r="K427" s="37">
        <f>Bill!$Y427</f>
        <v>45985</v>
      </c>
      <c r="L427" s="38">
        <f>Bill!$AA427*('Raw Data'!$E429+$L$2)</f>
        <v>1156</v>
      </c>
      <c r="M427" s="38">
        <f>Bill!$AB427*('Raw Data'!$E429+$M$2)</f>
        <v>2170</v>
      </c>
      <c r="N427" s="38">
        <f>(('Raw Data'!$F429 * 2)-10)*Bill!$AC427</f>
        <v>1310</v>
      </c>
      <c r="O427" s="38">
        <f>('Raw Data'!F429+Bill!$O$2)*Bill!$AD427</f>
        <v>546</v>
      </c>
      <c r="P427" s="38">
        <f>('Raw Data'!F429+Bill!$P$2)*Bill!$AE427</f>
        <v>161</v>
      </c>
      <c r="Q427" s="38">
        <f>Bill!$Z427*('Raw Data'!$E429+$Q$2)</f>
        <v>0</v>
      </c>
      <c r="R427" s="38">
        <f>('Raw Data'!F429+Bill!$R$2)*Bill!$AF427</f>
        <v>0</v>
      </c>
      <c r="S427" s="48">
        <f>('Raw Data'!G429/100)*Bill!$AG427</f>
        <v>0</v>
      </c>
      <c r="T427" s="38">
        <f>SUM(Bill!$L427:$R427)</f>
        <v>5343</v>
      </c>
      <c r="U427" s="49">
        <v>5296.0</v>
      </c>
      <c r="V427" s="50"/>
      <c r="W427" s="38">
        <f>Bill!$U427-Bill!$T427</f>
        <v>-47</v>
      </c>
      <c r="Y427" s="37">
        <f>'Raw Data'!D429</f>
        <v>45985</v>
      </c>
      <c r="Z427" s="47">
        <v>0.0</v>
      </c>
      <c r="AA427" s="47">
        <v>6.8</v>
      </c>
      <c r="AB427" s="47">
        <v>12.4</v>
      </c>
      <c r="AC427" s="47">
        <v>5.0</v>
      </c>
      <c r="AD427" s="47">
        <v>3.5</v>
      </c>
      <c r="AE427" s="47">
        <v>1.0</v>
      </c>
      <c r="AF427" s="47">
        <v>0.0</v>
      </c>
      <c r="AG427" s="47"/>
    </row>
    <row r="428" ht="15.75" customHeight="1">
      <c r="A428" s="35">
        <f>Bill!$Y428</f>
        <v>45986</v>
      </c>
      <c r="B428" s="43">
        <f>'Raw Data'!E430+Bill!$L$2</f>
        <v>170</v>
      </c>
      <c r="C428" s="43">
        <f>'Raw Data'!E430+Bill!$M$2</f>
        <v>175</v>
      </c>
      <c r="D428" s="43">
        <f>('Raw Data'!$F430*2)-10</f>
        <v>256</v>
      </c>
      <c r="E428" s="43">
        <f>'Raw Data'!F430+Bill!$O$2</f>
        <v>153</v>
      </c>
      <c r="F428" s="43">
        <f>'Raw Data'!F430+Bill!$P$2</f>
        <v>158</v>
      </c>
      <c r="G428" s="43">
        <f>'Raw Data'!E430+Bill!$Q$2</f>
        <v>200</v>
      </c>
      <c r="H428" s="43">
        <f>('Raw Data'!F430+Bill!$R$2)</f>
        <v>153</v>
      </c>
      <c r="I428" s="36">
        <f>'Raw Data'!G430/100</f>
        <v>7.2</v>
      </c>
      <c r="K428" s="37">
        <f>Bill!$Y428</f>
        <v>45986</v>
      </c>
      <c r="L428" s="38">
        <f>Bill!$AA428*('Raw Data'!$E430+$L$2)</f>
        <v>1725.5</v>
      </c>
      <c r="M428" s="38">
        <f>Bill!$AB428*('Raw Data'!$E430+$M$2)</f>
        <v>407.75</v>
      </c>
      <c r="N428" s="38">
        <f>(('Raw Data'!$F430 * 2)-10)*Bill!$AC428</f>
        <v>768</v>
      </c>
      <c r="O428" s="38">
        <f>('Raw Data'!F430+Bill!$O$2)*Bill!$AD428</f>
        <v>0</v>
      </c>
      <c r="P428" s="38">
        <f>('Raw Data'!F430+Bill!$P$2)*Bill!$AE428</f>
        <v>0</v>
      </c>
      <c r="Q428" s="38">
        <f>Bill!$Z428*('Raw Data'!$E430+$Q$2)</f>
        <v>0</v>
      </c>
      <c r="R428" s="38">
        <f>('Raw Data'!F430+Bill!$R$2)*Bill!$AF428</f>
        <v>0</v>
      </c>
      <c r="S428" s="48">
        <f>('Raw Data'!G430/100)*Bill!$AG428</f>
        <v>0</v>
      </c>
      <c r="T428" s="38">
        <f>SUM(Bill!$L428:$R428)</f>
        <v>2901.25</v>
      </c>
      <c r="U428" s="49">
        <v>2896.0</v>
      </c>
      <c r="V428" s="50"/>
      <c r="W428" s="38">
        <f>Bill!$U428-Bill!$T428</f>
        <v>-5.25</v>
      </c>
      <c r="Y428" s="37">
        <f>'Raw Data'!D430</f>
        <v>45986</v>
      </c>
      <c r="Z428" s="47">
        <v>0.0</v>
      </c>
      <c r="AA428" s="47">
        <v>10.15</v>
      </c>
      <c r="AB428" s="47">
        <v>2.33</v>
      </c>
      <c r="AC428" s="47">
        <v>3.0</v>
      </c>
      <c r="AD428" s="47"/>
      <c r="AE428" s="47"/>
      <c r="AF428" s="47"/>
      <c r="AG428" s="47"/>
    </row>
    <row r="429" ht="15.75" customHeight="1">
      <c r="A429" s="35">
        <f>Bill!$Y429</f>
        <v>45987</v>
      </c>
      <c r="B429" s="43">
        <f>'Raw Data'!E431+Bill!$L$2</f>
        <v>170</v>
      </c>
      <c r="C429" s="43">
        <f>'Raw Data'!E431+Bill!$M$2</f>
        <v>175</v>
      </c>
      <c r="D429" s="43">
        <f>('Raw Data'!$F431*2)-10</f>
        <v>256</v>
      </c>
      <c r="E429" s="43">
        <f>'Raw Data'!F431+Bill!$O$2</f>
        <v>153</v>
      </c>
      <c r="F429" s="43">
        <f>'Raw Data'!F431+Bill!$P$2</f>
        <v>158</v>
      </c>
      <c r="G429" s="43">
        <f>'Raw Data'!E431+Bill!$Q$2</f>
        <v>200</v>
      </c>
      <c r="H429" s="43">
        <f>('Raw Data'!F431+Bill!$R$2)</f>
        <v>153</v>
      </c>
      <c r="I429" s="36">
        <f>'Raw Data'!G431/100</f>
        <v>7.2</v>
      </c>
      <c r="K429" s="37">
        <f>Bill!$Y429</f>
        <v>45987</v>
      </c>
      <c r="L429" s="38">
        <f>Bill!$AA429*('Raw Data'!$E431+$L$2)</f>
        <v>1360</v>
      </c>
      <c r="M429" s="38">
        <f>Bill!$AB429*('Raw Data'!$E431+$M$2)</f>
        <v>2625</v>
      </c>
      <c r="N429" s="38">
        <f>(('Raw Data'!$F431 * 2)-10)*Bill!$AC429</f>
        <v>1536</v>
      </c>
      <c r="O429" s="38">
        <f>('Raw Data'!F431+Bill!$O$2)*Bill!$AD429</f>
        <v>0</v>
      </c>
      <c r="P429" s="38">
        <f>('Raw Data'!F431+Bill!$P$2)*Bill!$AE429</f>
        <v>0</v>
      </c>
      <c r="Q429" s="38">
        <f>Bill!$Z429*('Raw Data'!$E431+$Q$2)</f>
        <v>0</v>
      </c>
      <c r="R429" s="38">
        <f>('Raw Data'!F431+Bill!$R$2)*Bill!$AF429</f>
        <v>0</v>
      </c>
      <c r="S429" s="48">
        <f>('Raw Data'!G431/100)*Bill!$AG429</f>
        <v>0</v>
      </c>
      <c r="T429" s="38">
        <f>SUM(Bill!$L429:$R429)</f>
        <v>5521</v>
      </c>
      <c r="U429" s="49">
        <v>5361.0</v>
      </c>
      <c r="V429" s="50"/>
      <c r="W429" s="38">
        <f>Bill!$U429-Bill!$T429</f>
        <v>-160</v>
      </c>
      <c r="Y429" s="37">
        <f>'Raw Data'!D431</f>
        <v>45987</v>
      </c>
      <c r="Z429" s="47">
        <v>0.0</v>
      </c>
      <c r="AA429" s="47">
        <v>8.0</v>
      </c>
      <c r="AB429" s="47">
        <v>15.0</v>
      </c>
      <c r="AC429" s="47">
        <v>6.0</v>
      </c>
      <c r="AD429" s="47"/>
      <c r="AE429" s="47"/>
      <c r="AF429" s="47"/>
      <c r="AG429" s="47"/>
    </row>
    <row r="430" ht="15.75" customHeight="1">
      <c r="A430" s="35">
        <f>Bill!$Y430</f>
        <v>45988</v>
      </c>
      <c r="B430" s="43">
        <f>'Raw Data'!E432+Bill!$L$2</f>
        <v>20</v>
      </c>
      <c r="C430" s="43">
        <f>'Raw Data'!E432+Bill!$M$2</f>
        <v>25</v>
      </c>
      <c r="D430" s="43">
        <f>('Raw Data'!$F432*2)-10</f>
        <v>-10</v>
      </c>
      <c r="E430" s="43">
        <f>'Raw Data'!F432+Bill!$O$2</f>
        <v>20</v>
      </c>
      <c r="F430" s="43">
        <f>'Raw Data'!F432+Bill!$P$2</f>
        <v>25</v>
      </c>
      <c r="G430" s="43">
        <f>'Raw Data'!E432+Bill!$Q$2</f>
        <v>50</v>
      </c>
      <c r="H430" s="43">
        <f>('Raw Data'!F432+Bill!$R$2)</f>
        <v>20</v>
      </c>
      <c r="I430" s="36">
        <f>'Raw Data'!G432/100</f>
        <v>0</v>
      </c>
      <c r="K430" s="37">
        <f>Bill!$Y430</f>
        <v>45988</v>
      </c>
      <c r="L430" s="38">
        <f>Bill!$AA430*('Raw Data'!$E432+$L$2)</f>
        <v>0</v>
      </c>
      <c r="M430" s="38">
        <f>Bill!$AB430*('Raw Data'!$E432+$M$2)</f>
        <v>0</v>
      </c>
      <c r="N430" s="38">
        <f>(('Raw Data'!$F432 * 2)-10)*Bill!$AC430</f>
        <v>0</v>
      </c>
      <c r="O430" s="38">
        <f>('Raw Data'!F432+Bill!$O$2)*Bill!$AD430</f>
        <v>0</v>
      </c>
      <c r="P430" s="38">
        <f>('Raw Data'!F432+Bill!$P$2)*Bill!$AE430</f>
        <v>0</v>
      </c>
      <c r="Q430" s="38">
        <f>Bill!$Z430*('Raw Data'!$E432+$Q$2)</f>
        <v>0</v>
      </c>
      <c r="R430" s="38">
        <f>('Raw Data'!F432+Bill!$R$2)*Bill!$AF430</f>
        <v>0</v>
      </c>
      <c r="S430" s="48">
        <f>('Raw Data'!G432/100)*Bill!$AG430</f>
        <v>0</v>
      </c>
      <c r="T430" s="38">
        <f>SUM(Bill!$L430:$R430)</f>
        <v>0</v>
      </c>
      <c r="U430" s="53"/>
      <c r="V430" s="50"/>
      <c r="W430" s="38">
        <f>Bill!$U430-Bill!$T430</f>
        <v>0</v>
      </c>
      <c r="Y430" s="37">
        <f>'Raw Data'!D432</f>
        <v>45988</v>
      </c>
      <c r="Z430" s="47">
        <v>0.0</v>
      </c>
      <c r="AA430" s="47"/>
      <c r="AB430" s="47"/>
      <c r="AC430" s="47"/>
      <c r="AD430" s="47"/>
      <c r="AE430" s="47"/>
      <c r="AF430" s="47"/>
      <c r="AG430" s="47"/>
    </row>
    <row r="431" ht="15.75" customHeight="1">
      <c r="A431" s="35">
        <f>Bill!$Y431</f>
        <v>45989</v>
      </c>
      <c r="B431" s="43">
        <f>'Raw Data'!E433+Bill!$L$2</f>
        <v>20</v>
      </c>
      <c r="C431" s="43">
        <f>'Raw Data'!E433+Bill!$M$2</f>
        <v>25</v>
      </c>
      <c r="D431" s="43">
        <f>('Raw Data'!$F433*2)-10</f>
        <v>-10</v>
      </c>
      <c r="E431" s="43">
        <f>'Raw Data'!F433+Bill!$O$2</f>
        <v>20</v>
      </c>
      <c r="F431" s="43">
        <f>'Raw Data'!F433+Bill!$P$2</f>
        <v>25</v>
      </c>
      <c r="G431" s="43">
        <f>'Raw Data'!E433+Bill!$Q$2</f>
        <v>50</v>
      </c>
      <c r="H431" s="43">
        <f>('Raw Data'!F433+Bill!$R$2)</f>
        <v>20</v>
      </c>
      <c r="I431" s="36">
        <f>'Raw Data'!G433/100</f>
        <v>0</v>
      </c>
      <c r="K431" s="37">
        <f>Bill!$Y431</f>
        <v>45989</v>
      </c>
      <c r="L431" s="38">
        <f>Bill!$AA431*('Raw Data'!$E433+$L$2)</f>
        <v>0</v>
      </c>
      <c r="M431" s="38">
        <f>Bill!$AB431*('Raw Data'!$E433+$M$2)</f>
        <v>0</v>
      </c>
      <c r="N431" s="38">
        <f>(('Raw Data'!$F433 * 2)-10)*Bill!$AC431</f>
        <v>0</v>
      </c>
      <c r="O431" s="38">
        <f>('Raw Data'!F433+Bill!$O$2)*Bill!$AD431</f>
        <v>0</v>
      </c>
      <c r="P431" s="38">
        <f>('Raw Data'!F433+Bill!$P$2)*Bill!$AE431</f>
        <v>0</v>
      </c>
      <c r="Q431" s="38">
        <f>Bill!$Z431*('Raw Data'!$E433+$Q$2)</f>
        <v>0</v>
      </c>
      <c r="R431" s="38">
        <f>('Raw Data'!F433+Bill!$R$2)*Bill!$AF431</f>
        <v>0</v>
      </c>
      <c r="S431" s="48">
        <f>('Raw Data'!G433/100)*Bill!$AG431</f>
        <v>0</v>
      </c>
      <c r="T431" s="38">
        <f>SUM(Bill!$L431:$R431)</f>
        <v>0</v>
      </c>
      <c r="U431" s="53"/>
      <c r="V431" s="50"/>
      <c r="W431" s="38">
        <f>Bill!$U431-Bill!$T431</f>
        <v>0</v>
      </c>
      <c r="Y431" s="37">
        <f>'Raw Data'!D433</f>
        <v>45989</v>
      </c>
      <c r="Z431" s="47">
        <v>0.0</v>
      </c>
      <c r="AA431" s="47"/>
      <c r="AB431" s="47"/>
      <c r="AC431" s="47"/>
      <c r="AD431" s="47"/>
      <c r="AE431" s="47"/>
      <c r="AF431" s="47"/>
      <c r="AG431" s="47"/>
    </row>
    <row r="432" ht="15.75" customHeight="1">
      <c r="A432" s="35">
        <f>Bill!$Y432</f>
        <v>45990</v>
      </c>
      <c r="B432" s="43">
        <f>'Raw Data'!E434+Bill!$L$2</f>
        <v>20</v>
      </c>
      <c r="C432" s="43">
        <f>'Raw Data'!E434+Bill!$M$2</f>
        <v>25</v>
      </c>
      <c r="D432" s="43">
        <f>('Raw Data'!$F434*2)-10</f>
        <v>-10</v>
      </c>
      <c r="E432" s="43">
        <f>'Raw Data'!F434+Bill!$O$2</f>
        <v>20</v>
      </c>
      <c r="F432" s="43">
        <f>'Raw Data'!F434+Bill!$P$2</f>
        <v>25</v>
      </c>
      <c r="G432" s="43">
        <f>'Raw Data'!E434+Bill!$Q$2</f>
        <v>50</v>
      </c>
      <c r="H432" s="43">
        <f>('Raw Data'!F434+Bill!$R$2)</f>
        <v>20</v>
      </c>
      <c r="I432" s="36">
        <f>'Raw Data'!G434/100</f>
        <v>0</v>
      </c>
      <c r="K432" s="37">
        <f>Bill!$Y432</f>
        <v>45990</v>
      </c>
      <c r="L432" s="38">
        <f>Bill!$AA432*('Raw Data'!$E434+$L$2)</f>
        <v>0</v>
      </c>
      <c r="M432" s="38">
        <f>Bill!$AB432*('Raw Data'!$E434+$M$2)</f>
        <v>0</v>
      </c>
      <c r="N432" s="38">
        <f>(('Raw Data'!$F434 * 2)-10)*Bill!$AC432</f>
        <v>0</v>
      </c>
      <c r="O432" s="38">
        <f>('Raw Data'!F434+Bill!$O$2)*Bill!$AD432</f>
        <v>0</v>
      </c>
      <c r="P432" s="38">
        <f>('Raw Data'!F434+Bill!$P$2)*Bill!$AE432</f>
        <v>0</v>
      </c>
      <c r="Q432" s="38">
        <f>Bill!$Z432*('Raw Data'!$E434+$Q$2)</f>
        <v>0</v>
      </c>
      <c r="R432" s="38">
        <f>('Raw Data'!F434+Bill!$R$2)*Bill!$AF432</f>
        <v>0</v>
      </c>
      <c r="S432" s="48">
        <f>('Raw Data'!G434/100)*Bill!$AG432</f>
        <v>0</v>
      </c>
      <c r="T432" s="38">
        <f>SUM(Bill!$L432:$R432)</f>
        <v>0</v>
      </c>
      <c r="U432" s="53"/>
      <c r="V432" s="50"/>
      <c r="W432" s="38">
        <f>Bill!$U432-Bill!$T432</f>
        <v>0</v>
      </c>
      <c r="Y432" s="37">
        <f>'Raw Data'!D434</f>
        <v>45990</v>
      </c>
      <c r="Z432" s="47">
        <v>0.0</v>
      </c>
      <c r="AA432" s="47"/>
      <c r="AB432" s="47"/>
      <c r="AC432" s="47"/>
      <c r="AD432" s="47"/>
      <c r="AE432" s="47"/>
      <c r="AF432" s="47"/>
      <c r="AG432" s="47"/>
    </row>
    <row r="433" ht="15.75" customHeight="1">
      <c r="A433" s="35">
        <f>Bill!$Y433</f>
        <v>45991</v>
      </c>
      <c r="B433" s="43">
        <f>'Raw Data'!E435+Bill!$L$2</f>
        <v>20</v>
      </c>
      <c r="C433" s="43">
        <f>'Raw Data'!E435+Bill!$M$2</f>
        <v>25</v>
      </c>
      <c r="D433" s="43">
        <f>('Raw Data'!$F435*2)-10</f>
        <v>-10</v>
      </c>
      <c r="E433" s="43">
        <f>'Raw Data'!F435+Bill!$O$2</f>
        <v>20</v>
      </c>
      <c r="F433" s="43">
        <f>'Raw Data'!F435+Bill!$P$2</f>
        <v>25</v>
      </c>
      <c r="G433" s="43">
        <f>'Raw Data'!E435+Bill!$Q$2</f>
        <v>50</v>
      </c>
      <c r="H433" s="43">
        <f>('Raw Data'!F435+Bill!$R$2)</f>
        <v>20</v>
      </c>
      <c r="I433" s="36">
        <f>'Raw Data'!G435/100</f>
        <v>0</v>
      </c>
      <c r="K433" s="37">
        <f>Bill!$Y433</f>
        <v>45991</v>
      </c>
      <c r="L433" s="38">
        <f>Bill!$AA433*('Raw Data'!$E435+$L$2)</f>
        <v>0</v>
      </c>
      <c r="M433" s="38">
        <f>Bill!$AB433*('Raw Data'!$E435+$M$2)</f>
        <v>0</v>
      </c>
      <c r="N433" s="38">
        <f>(('Raw Data'!$F435 * 2)-10)*Bill!$AC433</f>
        <v>0</v>
      </c>
      <c r="O433" s="38">
        <f>('Raw Data'!F435+Bill!$O$2)*Bill!$AD433</f>
        <v>0</v>
      </c>
      <c r="P433" s="38">
        <f>('Raw Data'!F435+Bill!$P$2)*Bill!$AE433</f>
        <v>0</v>
      </c>
      <c r="Q433" s="38">
        <f>Bill!$Z433*('Raw Data'!$E435+$Q$2)</f>
        <v>0</v>
      </c>
      <c r="R433" s="38">
        <f>('Raw Data'!F435+Bill!$R$2)*Bill!$AF433</f>
        <v>0</v>
      </c>
      <c r="S433" s="48">
        <f>('Raw Data'!G435/100)*Bill!$AG433</f>
        <v>0</v>
      </c>
      <c r="T433" s="38">
        <f>SUM(Bill!$L433:$R433)</f>
        <v>0</v>
      </c>
      <c r="U433" s="53"/>
      <c r="V433" s="50"/>
      <c r="W433" s="38">
        <f>Bill!$U433-Bill!$T433</f>
        <v>0</v>
      </c>
      <c r="Y433" s="37">
        <f>'Raw Data'!D435</f>
        <v>45991</v>
      </c>
      <c r="Z433" s="47">
        <v>0.0</v>
      </c>
      <c r="AA433" s="47"/>
      <c r="AB433" s="47"/>
      <c r="AC433" s="47"/>
      <c r="AD433" s="47"/>
      <c r="AE433" s="47"/>
      <c r="AF433" s="47"/>
      <c r="AG433" s="47"/>
    </row>
    <row r="434" ht="15.75" customHeight="1">
      <c r="A434" s="35">
        <f>Bill!$Y434</f>
        <v>45992</v>
      </c>
      <c r="B434" s="43">
        <f>'Raw Data'!E436+Bill!$L$2</f>
        <v>20</v>
      </c>
      <c r="C434" s="43">
        <f>'Raw Data'!E436+Bill!$M$2</f>
        <v>25</v>
      </c>
      <c r="D434" s="43">
        <f>('Raw Data'!$F436*2)-10</f>
        <v>-10</v>
      </c>
      <c r="E434" s="43">
        <f>'Raw Data'!F436+Bill!$O$2</f>
        <v>20</v>
      </c>
      <c r="F434" s="43">
        <f>'Raw Data'!F436+Bill!$P$2</f>
        <v>25</v>
      </c>
      <c r="G434" s="43">
        <f>'Raw Data'!E436+Bill!$Q$2</f>
        <v>50</v>
      </c>
      <c r="H434" s="43">
        <f>('Raw Data'!F436+Bill!$R$2)</f>
        <v>20</v>
      </c>
      <c r="I434" s="36">
        <f>'Raw Data'!G436/100</f>
        <v>0</v>
      </c>
      <c r="K434" s="37">
        <f>Bill!$Y434</f>
        <v>45992</v>
      </c>
      <c r="L434" s="38">
        <f>Bill!$AA434*('Raw Data'!$E436+$L$2)</f>
        <v>0</v>
      </c>
      <c r="M434" s="38">
        <f>Bill!$AB434*('Raw Data'!$E436+$M$2)</f>
        <v>0</v>
      </c>
      <c r="N434" s="38">
        <f>(('Raw Data'!$F436 * 2)-10)*Bill!$AC434</f>
        <v>0</v>
      </c>
      <c r="O434" s="38">
        <f>('Raw Data'!F436+Bill!$O$2)*Bill!$AD434</f>
        <v>0</v>
      </c>
      <c r="P434" s="38">
        <f>('Raw Data'!F436+Bill!$P$2)*Bill!$AE434</f>
        <v>0</v>
      </c>
      <c r="Q434" s="38">
        <f>Bill!$Z434*('Raw Data'!$E436+$Q$2)</f>
        <v>0</v>
      </c>
      <c r="R434" s="38">
        <f>('Raw Data'!F436+Bill!$R$2)*Bill!$AF434</f>
        <v>0</v>
      </c>
      <c r="S434" s="48">
        <f>('Raw Data'!G436/100)*Bill!$AG434</f>
        <v>0</v>
      </c>
      <c r="T434" s="38">
        <f>SUM(Bill!$L434:$R434)</f>
        <v>0</v>
      </c>
      <c r="U434" s="53"/>
      <c r="V434" s="50"/>
      <c r="W434" s="38">
        <f>Bill!$U434-Bill!$T434</f>
        <v>0</v>
      </c>
      <c r="Y434" s="37">
        <f>'Raw Data'!D436</f>
        <v>45992</v>
      </c>
      <c r="Z434" s="47">
        <v>0.0</v>
      </c>
      <c r="AA434" s="47"/>
      <c r="AB434" s="47"/>
      <c r="AC434" s="47"/>
      <c r="AD434" s="47"/>
      <c r="AE434" s="47"/>
      <c r="AF434" s="47"/>
      <c r="AG434" s="47"/>
    </row>
    <row r="435" ht="15.75" customHeight="1">
      <c r="A435" s="35">
        <f>Bill!$Y435</f>
        <v>45993</v>
      </c>
      <c r="B435" s="43">
        <f>'Raw Data'!E437+Bill!$L$2</f>
        <v>20</v>
      </c>
      <c r="C435" s="43">
        <f>'Raw Data'!E437+Bill!$M$2</f>
        <v>25</v>
      </c>
      <c r="D435" s="43">
        <f>('Raw Data'!$F437*2)-10</f>
        <v>-10</v>
      </c>
      <c r="E435" s="43">
        <f>'Raw Data'!F437+Bill!$O$2</f>
        <v>20</v>
      </c>
      <c r="F435" s="43">
        <f>'Raw Data'!F437+Bill!$P$2</f>
        <v>25</v>
      </c>
      <c r="G435" s="43">
        <f>'Raw Data'!E437+Bill!$Q$2</f>
        <v>50</v>
      </c>
      <c r="H435" s="43">
        <f>('Raw Data'!F437+Bill!$R$2)</f>
        <v>20</v>
      </c>
      <c r="I435" s="36">
        <f>'Raw Data'!G437/100</f>
        <v>0</v>
      </c>
      <c r="K435" s="37">
        <f>Bill!$Y435</f>
        <v>45993</v>
      </c>
      <c r="L435" s="38">
        <f>Bill!$AA435*('Raw Data'!$E437+$L$2)</f>
        <v>0</v>
      </c>
      <c r="M435" s="38">
        <f>Bill!$AB435*('Raw Data'!$E437+$M$2)</f>
        <v>0</v>
      </c>
      <c r="N435" s="38">
        <f>(('Raw Data'!$F437 * 2)-10)*Bill!$AC435</f>
        <v>0</v>
      </c>
      <c r="O435" s="38">
        <f>('Raw Data'!F437+Bill!$O$2)*Bill!$AD435</f>
        <v>0</v>
      </c>
      <c r="P435" s="38">
        <f>('Raw Data'!F437+Bill!$P$2)*Bill!$AE435</f>
        <v>0</v>
      </c>
      <c r="Q435" s="38">
        <f>Bill!$Z435*('Raw Data'!$E437+$Q$2)</f>
        <v>0</v>
      </c>
      <c r="R435" s="38">
        <f>('Raw Data'!F437+Bill!$R$2)*Bill!$AF435</f>
        <v>0</v>
      </c>
      <c r="S435" s="48">
        <f>('Raw Data'!G437/100)*Bill!$AG435</f>
        <v>0</v>
      </c>
      <c r="T435" s="38">
        <f>SUM(Bill!$L435:$R435)</f>
        <v>0</v>
      </c>
      <c r="U435" s="53"/>
      <c r="V435" s="50"/>
      <c r="W435" s="38">
        <f>Bill!$U435-Bill!$T435</f>
        <v>0</v>
      </c>
      <c r="Y435" s="37">
        <f>'Raw Data'!D437</f>
        <v>45993</v>
      </c>
      <c r="Z435" s="47">
        <v>0.0</v>
      </c>
      <c r="AA435" s="47"/>
      <c r="AB435" s="47"/>
      <c r="AC435" s="47"/>
      <c r="AD435" s="47"/>
      <c r="AE435" s="47"/>
      <c r="AF435" s="47"/>
      <c r="AG435" s="47"/>
    </row>
    <row r="436" ht="15.75" customHeight="1">
      <c r="A436" s="35">
        <f>Bill!$Y436</f>
        <v>45994</v>
      </c>
      <c r="B436" s="43">
        <f>'Raw Data'!E438+Bill!$L$2</f>
        <v>20</v>
      </c>
      <c r="C436" s="43">
        <f>'Raw Data'!E438+Bill!$M$2</f>
        <v>25</v>
      </c>
      <c r="D436" s="43">
        <f>('Raw Data'!$F438*2)-10</f>
        <v>-10</v>
      </c>
      <c r="E436" s="43">
        <f>'Raw Data'!F438+Bill!$O$2</f>
        <v>20</v>
      </c>
      <c r="F436" s="43">
        <f>'Raw Data'!F438+Bill!$P$2</f>
        <v>25</v>
      </c>
      <c r="G436" s="43">
        <f>'Raw Data'!E438+Bill!$Q$2</f>
        <v>50</v>
      </c>
      <c r="H436" s="43">
        <f>('Raw Data'!F438+Bill!$R$2)</f>
        <v>20</v>
      </c>
      <c r="I436" s="36">
        <f>'Raw Data'!G438/100</f>
        <v>0</v>
      </c>
      <c r="K436" s="37">
        <f>Bill!$Y436</f>
        <v>45994</v>
      </c>
      <c r="L436" s="38">
        <f>Bill!$AA436*('Raw Data'!$E438+$L$2)</f>
        <v>0</v>
      </c>
      <c r="M436" s="38">
        <f>Bill!$AB436*('Raw Data'!$E438+$M$2)</f>
        <v>0</v>
      </c>
      <c r="N436" s="38">
        <f>(('Raw Data'!$F438 * 2)-10)*Bill!$AC436</f>
        <v>0</v>
      </c>
      <c r="O436" s="38">
        <f>('Raw Data'!F438+Bill!$O$2)*Bill!$AD436</f>
        <v>0</v>
      </c>
      <c r="P436" s="38">
        <f>('Raw Data'!F438+Bill!$P$2)*Bill!$AE436</f>
        <v>0</v>
      </c>
      <c r="Q436" s="38">
        <f>Bill!$Z436*('Raw Data'!$E438+$Q$2)</f>
        <v>0</v>
      </c>
      <c r="R436" s="38">
        <f>('Raw Data'!F438+Bill!$R$2)*Bill!$AF436</f>
        <v>0</v>
      </c>
      <c r="S436" s="48">
        <f>('Raw Data'!G438/100)*Bill!$AG436</f>
        <v>0</v>
      </c>
      <c r="T436" s="38">
        <f>SUM(Bill!$L436:$R436)</f>
        <v>0</v>
      </c>
      <c r="U436" s="53"/>
      <c r="V436" s="50"/>
      <c r="W436" s="38">
        <f>Bill!$U436-Bill!$T436</f>
        <v>0</v>
      </c>
      <c r="Y436" s="37">
        <f>'Raw Data'!D438</f>
        <v>45994</v>
      </c>
      <c r="Z436" s="47">
        <v>0.0</v>
      </c>
      <c r="AA436" s="47"/>
      <c r="AB436" s="47"/>
      <c r="AC436" s="47"/>
      <c r="AD436" s="47"/>
      <c r="AE436" s="47"/>
      <c r="AF436" s="47"/>
      <c r="AG436" s="47"/>
    </row>
    <row r="437" ht="15.75" customHeight="1">
      <c r="A437" s="35">
        <f>Bill!$Y437</f>
        <v>45995</v>
      </c>
      <c r="B437" s="43">
        <f>'Raw Data'!E439+Bill!$L$2</f>
        <v>20</v>
      </c>
      <c r="C437" s="43">
        <f>'Raw Data'!E439+Bill!$M$2</f>
        <v>25</v>
      </c>
      <c r="D437" s="43">
        <f>('Raw Data'!$F439*2)-10</f>
        <v>-10</v>
      </c>
      <c r="E437" s="43">
        <f>'Raw Data'!F439+Bill!$O$2</f>
        <v>20</v>
      </c>
      <c r="F437" s="43">
        <f>'Raw Data'!F439+Bill!$P$2</f>
        <v>25</v>
      </c>
      <c r="G437" s="43">
        <f>'Raw Data'!E439+Bill!$Q$2</f>
        <v>50</v>
      </c>
      <c r="H437" s="43">
        <f>('Raw Data'!F439+Bill!$R$2)</f>
        <v>20</v>
      </c>
      <c r="I437" s="36">
        <f>'Raw Data'!G439/100</f>
        <v>0</v>
      </c>
      <c r="K437" s="37">
        <f>Bill!$Y437</f>
        <v>45995</v>
      </c>
      <c r="L437" s="38">
        <f>Bill!$AA437*('Raw Data'!$E439+$L$2)</f>
        <v>0</v>
      </c>
      <c r="M437" s="38">
        <f>Bill!$AB437*('Raw Data'!$E439+$M$2)</f>
        <v>0</v>
      </c>
      <c r="N437" s="38">
        <f>(('Raw Data'!$F439 * 2)-10)*Bill!$AC437</f>
        <v>0</v>
      </c>
      <c r="O437" s="38">
        <f>('Raw Data'!F439+Bill!$O$2)*Bill!$AD437</f>
        <v>0</v>
      </c>
      <c r="P437" s="38">
        <f>('Raw Data'!F439+Bill!$P$2)*Bill!$AE437</f>
        <v>0</v>
      </c>
      <c r="Q437" s="38">
        <f>Bill!$Z437*('Raw Data'!$E439+$Q$2)</f>
        <v>0</v>
      </c>
      <c r="R437" s="38">
        <f>('Raw Data'!F439+Bill!$R$2)*Bill!$AF437</f>
        <v>0</v>
      </c>
      <c r="S437" s="48">
        <f>('Raw Data'!G439/100)*Bill!$AG437</f>
        <v>0</v>
      </c>
      <c r="T437" s="38">
        <f>SUM(Bill!$L437:$R437)</f>
        <v>0</v>
      </c>
      <c r="U437" s="53"/>
      <c r="V437" s="50"/>
      <c r="W437" s="38">
        <f>Bill!$U437-Bill!$T437</f>
        <v>0</v>
      </c>
      <c r="Y437" s="37">
        <f>'Raw Data'!D439</f>
        <v>45995</v>
      </c>
      <c r="Z437" s="47">
        <v>0.0</v>
      </c>
      <c r="AA437" s="47"/>
      <c r="AB437" s="47"/>
      <c r="AC437" s="47"/>
      <c r="AD437" s="47"/>
      <c r="AE437" s="47"/>
      <c r="AF437" s="47"/>
      <c r="AG437" s="47"/>
    </row>
    <row r="438" ht="15.75" customHeight="1">
      <c r="A438" s="35">
        <f>Bill!$Y438</f>
        <v>45996</v>
      </c>
      <c r="B438" s="43">
        <f>'Raw Data'!E440+Bill!$L$2</f>
        <v>20</v>
      </c>
      <c r="C438" s="43">
        <f>'Raw Data'!E440+Bill!$M$2</f>
        <v>25</v>
      </c>
      <c r="D438" s="43">
        <f>('Raw Data'!$F440*2)-10</f>
        <v>-10</v>
      </c>
      <c r="E438" s="43">
        <f>'Raw Data'!F440+Bill!$O$2</f>
        <v>20</v>
      </c>
      <c r="F438" s="43">
        <f>'Raw Data'!F440+Bill!$P$2</f>
        <v>25</v>
      </c>
      <c r="G438" s="43">
        <f>'Raw Data'!E440+Bill!$Q$2</f>
        <v>50</v>
      </c>
      <c r="H438" s="43">
        <f>('Raw Data'!F440+Bill!$R$2)</f>
        <v>20</v>
      </c>
      <c r="I438" s="36">
        <f>'Raw Data'!G440/100</f>
        <v>0</v>
      </c>
      <c r="K438" s="37">
        <f>Bill!$Y438</f>
        <v>45996</v>
      </c>
      <c r="L438" s="38">
        <f>Bill!$AA438*('Raw Data'!$E440+$L$2)</f>
        <v>0</v>
      </c>
      <c r="M438" s="38">
        <f>Bill!$AB438*('Raw Data'!$E440+$M$2)</f>
        <v>0</v>
      </c>
      <c r="N438" s="38">
        <f>(('Raw Data'!$F440 * 2)-10)*Bill!$AC438</f>
        <v>0</v>
      </c>
      <c r="O438" s="38">
        <f>('Raw Data'!F440+Bill!$O$2)*Bill!$AD438</f>
        <v>0</v>
      </c>
      <c r="P438" s="38">
        <f>('Raw Data'!F440+Bill!$P$2)*Bill!$AE438</f>
        <v>0</v>
      </c>
      <c r="Q438" s="38">
        <f>Bill!$Z438*('Raw Data'!$E440+$Q$2)</f>
        <v>0</v>
      </c>
      <c r="R438" s="38">
        <f>('Raw Data'!F440+Bill!$R$2)*Bill!$AF438</f>
        <v>0</v>
      </c>
      <c r="S438" s="48">
        <f>('Raw Data'!G440/100)*Bill!$AG438</f>
        <v>0</v>
      </c>
      <c r="T438" s="38">
        <f>SUM(Bill!$L438:$R438)</f>
        <v>0</v>
      </c>
      <c r="U438" s="53"/>
      <c r="V438" s="50"/>
      <c r="W438" s="38">
        <f>Bill!$U438-Bill!$T438</f>
        <v>0</v>
      </c>
      <c r="Y438" s="37">
        <f>'Raw Data'!D440</f>
        <v>45996</v>
      </c>
      <c r="Z438" s="47">
        <v>0.0</v>
      </c>
      <c r="AA438" s="47"/>
      <c r="AB438" s="47"/>
      <c r="AC438" s="47"/>
      <c r="AD438" s="47"/>
      <c r="AE438" s="47"/>
      <c r="AF438" s="47"/>
      <c r="AG438" s="47"/>
    </row>
    <row r="439" ht="15.75" customHeight="1">
      <c r="A439" s="35">
        <f>Bill!$Y439</f>
        <v>45997</v>
      </c>
      <c r="B439" s="43">
        <f>'Raw Data'!E441+Bill!$L$2</f>
        <v>20</v>
      </c>
      <c r="C439" s="43">
        <f>'Raw Data'!E441+Bill!$M$2</f>
        <v>25</v>
      </c>
      <c r="D439" s="43">
        <f>('Raw Data'!$F441*2)-10</f>
        <v>-10</v>
      </c>
      <c r="E439" s="43">
        <f>'Raw Data'!F441+Bill!$O$2</f>
        <v>20</v>
      </c>
      <c r="F439" s="43">
        <f>'Raw Data'!F441+Bill!$P$2</f>
        <v>25</v>
      </c>
      <c r="G439" s="43">
        <f>'Raw Data'!E441+Bill!$Q$2</f>
        <v>50</v>
      </c>
      <c r="H439" s="43">
        <f>('Raw Data'!F441+Bill!$R$2)</f>
        <v>20</v>
      </c>
      <c r="I439" s="36">
        <f>'Raw Data'!G441/100</f>
        <v>0</v>
      </c>
      <c r="K439" s="37">
        <f>Bill!$Y439</f>
        <v>45997</v>
      </c>
      <c r="L439" s="38">
        <f>Bill!$AA439*('Raw Data'!$E441+$L$2)</f>
        <v>0</v>
      </c>
      <c r="M439" s="38">
        <f>Bill!$AB439*('Raw Data'!$E441+$M$2)</f>
        <v>0</v>
      </c>
      <c r="N439" s="38">
        <f>(('Raw Data'!$F441 * 2)-10)*Bill!$AC439</f>
        <v>0</v>
      </c>
      <c r="O439" s="38">
        <f>('Raw Data'!F441+Bill!$O$2)*Bill!$AD439</f>
        <v>0</v>
      </c>
      <c r="P439" s="38">
        <f>('Raw Data'!F441+Bill!$P$2)*Bill!$AE439</f>
        <v>0</v>
      </c>
      <c r="Q439" s="38">
        <f>Bill!$Z439*('Raw Data'!$E441+$Q$2)</f>
        <v>0</v>
      </c>
      <c r="R439" s="38">
        <f>('Raw Data'!F441+Bill!$R$2)*Bill!$AF439</f>
        <v>0</v>
      </c>
      <c r="S439" s="48">
        <f>('Raw Data'!G441/100)*Bill!$AG439</f>
        <v>0</v>
      </c>
      <c r="T439" s="38">
        <f>SUM(Bill!$L439:$R439)</f>
        <v>0</v>
      </c>
      <c r="U439" s="53"/>
      <c r="V439" s="50"/>
      <c r="W439" s="38">
        <f>Bill!$U439-Bill!$T439</f>
        <v>0</v>
      </c>
      <c r="Y439" s="37">
        <f>'Raw Data'!D441</f>
        <v>45997</v>
      </c>
      <c r="Z439" s="47">
        <v>0.0</v>
      </c>
      <c r="AA439" s="47"/>
      <c r="AB439" s="47"/>
      <c r="AC439" s="47"/>
      <c r="AD439" s="47"/>
      <c r="AE439" s="47"/>
      <c r="AF439" s="47"/>
      <c r="AG439" s="47"/>
    </row>
    <row r="440" ht="15.75" customHeight="1">
      <c r="A440" s="35">
        <f>Bill!$Y440</f>
        <v>45998</v>
      </c>
      <c r="B440" s="43">
        <f>'Raw Data'!E442+Bill!$L$2</f>
        <v>20</v>
      </c>
      <c r="C440" s="43">
        <f>'Raw Data'!E442+Bill!$M$2</f>
        <v>25</v>
      </c>
      <c r="D440" s="43">
        <f>('Raw Data'!$F442*2)-10</f>
        <v>-10</v>
      </c>
      <c r="E440" s="43">
        <f>'Raw Data'!F442+Bill!$O$2</f>
        <v>20</v>
      </c>
      <c r="F440" s="43">
        <f>'Raw Data'!F442+Bill!$P$2</f>
        <v>25</v>
      </c>
      <c r="G440" s="43">
        <f>'Raw Data'!E442+Bill!$Q$2</f>
        <v>50</v>
      </c>
      <c r="H440" s="43">
        <f>('Raw Data'!F442+Bill!$R$2)</f>
        <v>20</v>
      </c>
      <c r="I440" s="36">
        <f>'Raw Data'!G442/100</f>
        <v>0</v>
      </c>
      <c r="K440" s="37">
        <f>Bill!$Y440</f>
        <v>45998</v>
      </c>
      <c r="L440" s="38">
        <f>Bill!$AA440*('Raw Data'!$E442+$L$2)</f>
        <v>0</v>
      </c>
      <c r="M440" s="38">
        <f>Bill!$AB440*('Raw Data'!$E442+$M$2)</f>
        <v>0</v>
      </c>
      <c r="N440" s="38">
        <f>(('Raw Data'!$F442 * 2)-10)*Bill!$AC440</f>
        <v>0</v>
      </c>
      <c r="O440" s="38">
        <f>('Raw Data'!F442+Bill!$O$2)*Bill!$AD440</f>
        <v>0</v>
      </c>
      <c r="P440" s="38">
        <f>('Raw Data'!F442+Bill!$P$2)*Bill!$AE440</f>
        <v>0</v>
      </c>
      <c r="Q440" s="38">
        <f>Bill!$Z440*('Raw Data'!$E442+$Q$2)</f>
        <v>0</v>
      </c>
      <c r="R440" s="38">
        <f>('Raw Data'!F442+Bill!$R$2)*Bill!$AF440</f>
        <v>0</v>
      </c>
      <c r="S440" s="48">
        <f>('Raw Data'!G442/100)*Bill!$AG440</f>
        <v>0</v>
      </c>
      <c r="T440" s="38">
        <f>SUM(Bill!$L440:$R440)</f>
        <v>0</v>
      </c>
      <c r="U440" s="53"/>
      <c r="V440" s="50"/>
      <c r="W440" s="38">
        <f>Bill!$U440-Bill!$T440</f>
        <v>0</v>
      </c>
      <c r="Y440" s="37">
        <f>'Raw Data'!D442</f>
        <v>45998</v>
      </c>
      <c r="Z440" s="47">
        <v>0.0</v>
      </c>
      <c r="AA440" s="47"/>
      <c r="AB440" s="47"/>
      <c r="AC440" s="47"/>
      <c r="AD440" s="47"/>
      <c r="AE440" s="47"/>
      <c r="AF440" s="47"/>
      <c r="AG440" s="47"/>
    </row>
    <row r="441" ht="15.75" customHeight="1">
      <c r="A441" s="35">
        <f>Bill!$Y441</f>
        <v>45999</v>
      </c>
      <c r="B441" s="43">
        <f>'Raw Data'!E443+Bill!$L$2</f>
        <v>20</v>
      </c>
      <c r="C441" s="43">
        <f>'Raw Data'!E443+Bill!$M$2</f>
        <v>25</v>
      </c>
      <c r="D441" s="43">
        <f>('Raw Data'!$F443*2)-10</f>
        <v>-10</v>
      </c>
      <c r="E441" s="43">
        <f>'Raw Data'!F443+Bill!$O$2</f>
        <v>20</v>
      </c>
      <c r="F441" s="43">
        <f>'Raw Data'!F443+Bill!$P$2</f>
        <v>25</v>
      </c>
      <c r="G441" s="43">
        <f>'Raw Data'!E443+Bill!$Q$2</f>
        <v>50</v>
      </c>
      <c r="H441" s="43">
        <f>('Raw Data'!F443+Bill!$R$2)</f>
        <v>20</v>
      </c>
      <c r="I441" s="36">
        <f>'Raw Data'!G443/100</f>
        <v>0</v>
      </c>
      <c r="K441" s="37">
        <f>Bill!$Y441</f>
        <v>45999</v>
      </c>
      <c r="L441" s="38">
        <f>Bill!$AA441*('Raw Data'!$E443+$L$2)</f>
        <v>0</v>
      </c>
      <c r="M441" s="38">
        <f>Bill!$AB441*('Raw Data'!$E443+$M$2)</f>
        <v>0</v>
      </c>
      <c r="N441" s="38">
        <f>(('Raw Data'!$F443 * 2)-10)*Bill!$AC441</f>
        <v>0</v>
      </c>
      <c r="O441" s="38">
        <f>('Raw Data'!F443+Bill!$O$2)*Bill!$AD441</f>
        <v>0</v>
      </c>
      <c r="P441" s="38">
        <f>('Raw Data'!F443+Bill!$P$2)*Bill!$AE441</f>
        <v>0</v>
      </c>
      <c r="Q441" s="38">
        <f>Bill!$Z441*('Raw Data'!$E443+$Q$2)</f>
        <v>0</v>
      </c>
      <c r="R441" s="38">
        <f>('Raw Data'!F443+Bill!$R$2)*Bill!$AF441</f>
        <v>0</v>
      </c>
      <c r="S441" s="48">
        <f>('Raw Data'!G443/100)*Bill!$AG441</f>
        <v>0</v>
      </c>
      <c r="T441" s="38">
        <f>SUM(Bill!$L441:$R441)</f>
        <v>0</v>
      </c>
      <c r="U441" s="53"/>
      <c r="V441" s="50"/>
      <c r="W441" s="38">
        <f>Bill!$U441-Bill!$T441</f>
        <v>0</v>
      </c>
      <c r="Y441" s="37">
        <f>'Raw Data'!D443</f>
        <v>45999</v>
      </c>
      <c r="Z441" s="47">
        <v>0.0</v>
      </c>
      <c r="AA441" s="47"/>
      <c r="AB441" s="47"/>
      <c r="AC441" s="47"/>
      <c r="AD441" s="47"/>
      <c r="AE441" s="47"/>
      <c r="AF441" s="47"/>
      <c r="AG441" s="47"/>
    </row>
    <row r="442" ht="15.75" customHeight="1">
      <c r="A442" s="35">
        <f>Bill!$Y442</f>
        <v>46000</v>
      </c>
      <c r="B442" s="43">
        <f>'Raw Data'!E444+Bill!$L$2</f>
        <v>20</v>
      </c>
      <c r="C442" s="43">
        <f>'Raw Data'!E444+Bill!$M$2</f>
        <v>25</v>
      </c>
      <c r="D442" s="43">
        <f>('Raw Data'!$F444*2)-10</f>
        <v>-10</v>
      </c>
      <c r="E442" s="43">
        <f>'Raw Data'!F444+Bill!$O$2</f>
        <v>20</v>
      </c>
      <c r="F442" s="43">
        <f>'Raw Data'!F444+Bill!$P$2</f>
        <v>25</v>
      </c>
      <c r="G442" s="43">
        <f>'Raw Data'!E444+Bill!$Q$2</f>
        <v>50</v>
      </c>
      <c r="H442" s="43">
        <f>('Raw Data'!F444+Bill!$R$2)</f>
        <v>20</v>
      </c>
      <c r="I442" s="36">
        <f>'Raw Data'!G444/100</f>
        <v>0</v>
      </c>
      <c r="K442" s="37">
        <f>Bill!$Y442</f>
        <v>46000</v>
      </c>
      <c r="L442" s="38">
        <f>Bill!$AA442*('Raw Data'!$E444+$L$2)</f>
        <v>0</v>
      </c>
      <c r="M442" s="38">
        <f>Bill!$AB442*('Raw Data'!$E444+$M$2)</f>
        <v>0</v>
      </c>
      <c r="N442" s="38">
        <f>(('Raw Data'!$F444 * 2)-10)*Bill!$AC442</f>
        <v>0</v>
      </c>
      <c r="O442" s="38">
        <f>('Raw Data'!F444+Bill!$O$2)*Bill!$AD442</f>
        <v>0</v>
      </c>
      <c r="P442" s="38">
        <f>('Raw Data'!F444+Bill!$P$2)*Bill!$AE442</f>
        <v>0</v>
      </c>
      <c r="Q442" s="38">
        <f>Bill!$Z442*('Raw Data'!$E444+$Q$2)</f>
        <v>0</v>
      </c>
      <c r="R442" s="38">
        <f>('Raw Data'!F444+Bill!$R$2)*Bill!$AF442</f>
        <v>0</v>
      </c>
      <c r="S442" s="48">
        <f>('Raw Data'!G444/100)*Bill!$AG442</f>
        <v>0</v>
      </c>
      <c r="T442" s="38">
        <f>SUM(Bill!$L442:$R442)</f>
        <v>0</v>
      </c>
      <c r="U442" s="53"/>
      <c r="V442" s="50"/>
      <c r="W442" s="38">
        <f>Bill!$U442-Bill!$T442</f>
        <v>0</v>
      </c>
      <c r="Y442" s="37">
        <f>'Raw Data'!D444</f>
        <v>46000</v>
      </c>
      <c r="Z442" s="47">
        <v>0.0</v>
      </c>
      <c r="AA442" s="47"/>
      <c r="AB442" s="47"/>
      <c r="AC442" s="47"/>
      <c r="AD442" s="47"/>
      <c r="AE442" s="47"/>
      <c r="AF442" s="47"/>
      <c r="AG442" s="47"/>
    </row>
    <row r="443" ht="15.75" customHeight="1">
      <c r="A443" s="35">
        <f>Bill!$Y443</f>
        <v>46001</v>
      </c>
      <c r="B443" s="43">
        <f>'Raw Data'!E445+Bill!$L$2</f>
        <v>20</v>
      </c>
      <c r="C443" s="43">
        <f>'Raw Data'!E445+Bill!$M$2</f>
        <v>25</v>
      </c>
      <c r="D443" s="43">
        <f>('Raw Data'!$F445*2)-10</f>
        <v>-10</v>
      </c>
      <c r="E443" s="43">
        <f>'Raw Data'!F445+Bill!$O$2</f>
        <v>20</v>
      </c>
      <c r="F443" s="43">
        <f>'Raw Data'!F445+Bill!$P$2</f>
        <v>25</v>
      </c>
      <c r="G443" s="43">
        <f>'Raw Data'!E445+Bill!$Q$2</f>
        <v>50</v>
      </c>
      <c r="H443" s="43">
        <f>('Raw Data'!F445+Bill!$R$2)</f>
        <v>20</v>
      </c>
      <c r="I443" s="36">
        <f>'Raw Data'!G445/100</f>
        <v>0</v>
      </c>
      <c r="K443" s="37">
        <f>Bill!$Y443</f>
        <v>46001</v>
      </c>
      <c r="L443" s="38">
        <f>Bill!$AA443*('Raw Data'!$E445+$L$2)</f>
        <v>0</v>
      </c>
      <c r="M443" s="38">
        <f>Bill!$AB443*('Raw Data'!$E445+$M$2)</f>
        <v>0</v>
      </c>
      <c r="N443" s="38">
        <f>(('Raw Data'!$F445 * 2)-10)*Bill!$AC443</f>
        <v>0</v>
      </c>
      <c r="O443" s="38">
        <f>('Raw Data'!F445+Bill!$O$2)*Bill!$AD443</f>
        <v>0</v>
      </c>
      <c r="P443" s="38">
        <f>('Raw Data'!F445+Bill!$P$2)*Bill!$AE443</f>
        <v>0</v>
      </c>
      <c r="Q443" s="38">
        <f>Bill!$Z443*('Raw Data'!$E445+$Q$2)</f>
        <v>0</v>
      </c>
      <c r="R443" s="38">
        <f>('Raw Data'!F445+Bill!$R$2)*Bill!$AF443</f>
        <v>0</v>
      </c>
      <c r="S443" s="48">
        <f>('Raw Data'!G445/100)*Bill!$AG443</f>
        <v>0</v>
      </c>
      <c r="T443" s="38">
        <f>SUM(Bill!$L443:$R443)</f>
        <v>0</v>
      </c>
      <c r="U443" s="53"/>
      <c r="V443" s="50"/>
      <c r="W443" s="38">
        <f>Bill!$U443-Bill!$T443</f>
        <v>0</v>
      </c>
      <c r="Y443" s="37">
        <f>'Raw Data'!D445</f>
        <v>46001</v>
      </c>
      <c r="Z443" s="47">
        <v>0.0</v>
      </c>
      <c r="AA443" s="47"/>
      <c r="AB443" s="47"/>
      <c r="AC443" s="47"/>
      <c r="AD443" s="47"/>
      <c r="AE443" s="47"/>
      <c r="AF443" s="47"/>
      <c r="AG443" s="47"/>
    </row>
    <row r="444" ht="15.75" customHeight="1">
      <c r="A444" s="35">
        <f>Bill!$Y444</f>
        <v>46002</v>
      </c>
      <c r="B444" s="43">
        <f>'Raw Data'!E446+Bill!$L$2</f>
        <v>20</v>
      </c>
      <c r="C444" s="43">
        <f>'Raw Data'!E446+Bill!$M$2</f>
        <v>25</v>
      </c>
      <c r="D444" s="43">
        <f>('Raw Data'!$F446*2)-10</f>
        <v>-10</v>
      </c>
      <c r="E444" s="43">
        <f>'Raw Data'!F446+Bill!$O$2</f>
        <v>20</v>
      </c>
      <c r="F444" s="43">
        <f>'Raw Data'!F446+Bill!$P$2</f>
        <v>25</v>
      </c>
      <c r="G444" s="43">
        <f>'Raw Data'!E446+Bill!$Q$2</f>
        <v>50</v>
      </c>
      <c r="H444" s="43">
        <f>('Raw Data'!F446+Bill!$R$2)</f>
        <v>20</v>
      </c>
      <c r="I444" s="36">
        <f>'Raw Data'!G446/100</f>
        <v>0</v>
      </c>
      <c r="K444" s="37">
        <f>Bill!$Y444</f>
        <v>46002</v>
      </c>
      <c r="L444" s="38">
        <f>Bill!$AA444*('Raw Data'!$E446+$L$2)</f>
        <v>0</v>
      </c>
      <c r="M444" s="38">
        <f>Bill!$AB444*('Raw Data'!$E446+$M$2)</f>
        <v>0</v>
      </c>
      <c r="N444" s="38">
        <f>(('Raw Data'!$F446 * 2)-10)*Bill!$AC444</f>
        <v>0</v>
      </c>
      <c r="O444" s="38">
        <f>('Raw Data'!F446+Bill!$O$2)*Bill!$AD444</f>
        <v>0</v>
      </c>
      <c r="P444" s="38">
        <f>('Raw Data'!F446+Bill!$P$2)*Bill!$AE444</f>
        <v>0</v>
      </c>
      <c r="Q444" s="38">
        <f>Bill!$Z444*('Raw Data'!$E446+$Q$2)</f>
        <v>0</v>
      </c>
      <c r="R444" s="38">
        <f>('Raw Data'!F446+Bill!$R$2)*Bill!$AF444</f>
        <v>0</v>
      </c>
      <c r="S444" s="48">
        <f>('Raw Data'!G446/100)*Bill!$AG444</f>
        <v>0</v>
      </c>
      <c r="T444" s="38">
        <f>SUM(Bill!$L444:$R444)</f>
        <v>0</v>
      </c>
      <c r="U444" s="53"/>
      <c r="V444" s="50"/>
      <c r="W444" s="38">
        <f>Bill!$U444-Bill!$T444</f>
        <v>0</v>
      </c>
      <c r="Y444" s="37">
        <f>'Raw Data'!D446</f>
        <v>46002</v>
      </c>
      <c r="Z444" s="47">
        <v>0.0</v>
      </c>
      <c r="AA444" s="47"/>
      <c r="AB444" s="47"/>
      <c r="AC444" s="47"/>
      <c r="AD444" s="47"/>
      <c r="AE444" s="47"/>
      <c r="AF444" s="47"/>
      <c r="AG444" s="47"/>
    </row>
    <row r="445" ht="15.75" customHeight="1">
      <c r="A445" s="35">
        <f>Bill!$Y445</f>
        <v>46003</v>
      </c>
      <c r="B445" s="43">
        <f>'Raw Data'!E447+Bill!$L$2</f>
        <v>20</v>
      </c>
      <c r="C445" s="43">
        <f>'Raw Data'!E447+Bill!$M$2</f>
        <v>25</v>
      </c>
      <c r="D445" s="43">
        <f>('Raw Data'!$F447*2)-10</f>
        <v>-10</v>
      </c>
      <c r="E445" s="43">
        <f>'Raw Data'!F447+Bill!$O$2</f>
        <v>20</v>
      </c>
      <c r="F445" s="43">
        <f>'Raw Data'!F447+Bill!$P$2</f>
        <v>25</v>
      </c>
      <c r="G445" s="43">
        <f>'Raw Data'!E447+Bill!$Q$2</f>
        <v>50</v>
      </c>
      <c r="H445" s="43">
        <f>('Raw Data'!F447+Bill!$R$2)</f>
        <v>20</v>
      </c>
      <c r="I445" s="36">
        <f>'Raw Data'!G447/100</f>
        <v>0</v>
      </c>
      <c r="K445" s="37">
        <f>Bill!$Y445</f>
        <v>46003</v>
      </c>
      <c r="L445" s="38">
        <f>Bill!$AA445*('Raw Data'!$E447+$L$2)</f>
        <v>0</v>
      </c>
      <c r="M445" s="38">
        <f>Bill!$AB445*('Raw Data'!$E447+$M$2)</f>
        <v>0</v>
      </c>
      <c r="N445" s="38">
        <f>(('Raw Data'!$F447 * 2)-10)*Bill!$AC445</f>
        <v>0</v>
      </c>
      <c r="O445" s="38">
        <f>('Raw Data'!F447+Bill!$O$2)*Bill!$AD445</f>
        <v>0</v>
      </c>
      <c r="P445" s="38">
        <f>('Raw Data'!F447+Bill!$P$2)*Bill!$AE445</f>
        <v>0</v>
      </c>
      <c r="Q445" s="38">
        <f>Bill!$Z445*('Raw Data'!$E447+$Q$2)</f>
        <v>0</v>
      </c>
      <c r="R445" s="38">
        <f>('Raw Data'!F447+Bill!$R$2)*Bill!$AF445</f>
        <v>0</v>
      </c>
      <c r="S445" s="48">
        <f>('Raw Data'!G447/100)*Bill!$AG445</f>
        <v>0</v>
      </c>
      <c r="T445" s="38">
        <f>SUM(Bill!$L445:$R445)</f>
        <v>0</v>
      </c>
      <c r="U445" s="53"/>
      <c r="V445" s="50"/>
      <c r="W445" s="38">
        <f>Bill!$U445-Bill!$T445</f>
        <v>0</v>
      </c>
      <c r="Y445" s="37">
        <f>'Raw Data'!D447</f>
        <v>46003</v>
      </c>
      <c r="Z445" s="47">
        <v>0.0</v>
      </c>
      <c r="AA445" s="47"/>
      <c r="AB445" s="47"/>
      <c r="AC445" s="47"/>
      <c r="AD445" s="47"/>
      <c r="AE445" s="47"/>
      <c r="AF445" s="47"/>
      <c r="AG445" s="47"/>
    </row>
    <row r="446" ht="15.75" customHeight="1">
      <c r="A446" s="35">
        <f>Bill!$Y446</f>
        <v>46004</v>
      </c>
      <c r="B446" s="43">
        <f>'Raw Data'!E448+Bill!$L$2</f>
        <v>20</v>
      </c>
      <c r="C446" s="43">
        <f>'Raw Data'!E448+Bill!$M$2</f>
        <v>25</v>
      </c>
      <c r="D446" s="43">
        <f>('Raw Data'!$F448*2)-10</f>
        <v>-10</v>
      </c>
      <c r="E446" s="43">
        <f>'Raw Data'!F448+Bill!$O$2</f>
        <v>20</v>
      </c>
      <c r="F446" s="43">
        <f>'Raw Data'!F448+Bill!$P$2</f>
        <v>25</v>
      </c>
      <c r="G446" s="43">
        <f>'Raw Data'!E448+Bill!$Q$2</f>
        <v>50</v>
      </c>
      <c r="H446" s="43">
        <f>('Raw Data'!F448+Bill!$R$2)</f>
        <v>20</v>
      </c>
      <c r="I446" s="36">
        <f>'Raw Data'!G448/100</f>
        <v>0</v>
      </c>
      <c r="K446" s="37">
        <f>Bill!$Y446</f>
        <v>46004</v>
      </c>
      <c r="L446" s="38">
        <f>Bill!$AA446*('Raw Data'!$E448+$L$2)</f>
        <v>0</v>
      </c>
      <c r="M446" s="38">
        <f>Bill!$AB446*('Raw Data'!$E448+$M$2)</f>
        <v>0</v>
      </c>
      <c r="N446" s="38">
        <f>(('Raw Data'!$F448 * 2)-10)*Bill!$AC446</f>
        <v>0</v>
      </c>
      <c r="O446" s="38">
        <f>('Raw Data'!F448+Bill!$O$2)*Bill!$AD446</f>
        <v>0</v>
      </c>
      <c r="P446" s="38">
        <f>('Raw Data'!F448+Bill!$P$2)*Bill!$AE446</f>
        <v>0</v>
      </c>
      <c r="Q446" s="38">
        <f>Bill!$Z446*('Raw Data'!$E448+$Q$2)</f>
        <v>0</v>
      </c>
      <c r="R446" s="38">
        <f>('Raw Data'!F448+Bill!$R$2)*Bill!$AF446</f>
        <v>0</v>
      </c>
      <c r="S446" s="48">
        <f>('Raw Data'!G448/100)*Bill!$AG446</f>
        <v>0</v>
      </c>
      <c r="T446" s="38">
        <f>SUM(Bill!$L446:$R446)</f>
        <v>0</v>
      </c>
      <c r="U446" s="53"/>
      <c r="V446" s="50"/>
      <c r="W446" s="38">
        <f>Bill!$U446-Bill!$T446</f>
        <v>0</v>
      </c>
      <c r="Y446" s="37">
        <f>'Raw Data'!D448</f>
        <v>46004</v>
      </c>
      <c r="Z446" s="47">
        <v>0.0</v>
      </c>
      <c r="AA446" s="47"/>
      <c r="AB446" s="47"/>
      <c r="AC446" s="47"/>
      <c r="AD446" s="47"/>
      <c r="AE446" s="47"/>
      <c r="AF446" s="47"/>
      <c r="AG446" s="47"/>
    </row>
    <row r="447" ht="15.75" customHeight="1">
      <c r="A447" s="35">
        <f>Bill!$Y447</f>
        <v>46005</v>
      </c>
      <c r="B447" s="43">
        <f>'Raw Data'!E449+Bill!$L$2</f>
        <v>20</v>
      </c>
      <c r="C447" s="43">
        <f>'Raw Data'!E449+Bill!$M$2</f>
        <v>25</v>
      </c>
      <c r="D447" s="43">
        <f>('Raw Data'!$F449*2)-10</f>
        <v>-10</v>
      </c>
      <c r="E447" s="43">
        <f>'Raw Data'!F449+Bill!$O$2</f>
        <v>20</v>
      </c>
      <c r="F447" s="43">
        <f>'Raw Data'!F449+Bill!$P$2</f>
        <v>25</v>
      </c>
      <c r="G447" s="43">
        <f>'Raw Data'!E449+Bill!$Q$2</f>
        <v>50</v>
      </c>
      <c r="H447" s="43">
        <f>('Raw Data'!F449+Bill!$R$2)</f>
        <v>20</v>
      </c>
      <c r="I447" s="36">
        <f>'Raw Data'!G449/100</f>
        <v>0</v>
      </c>
      <c r="K447" s="37">
        <f>Bill!$Y447</f>
        <v>46005</v>
      </c>
      <c r="L447" s="38">
        <f>Bill!$AA447*('Raw Data'!$E449+$L$2)</f>
        <v>0</v>
      </c>
      <c r="M447" s="38">
        <f>Bill!$AB447*('Raw Data'!$E449+$M$2)</f>
        <v>0</v>
      </c>
      <c r="N447" s="38">
        <f>(('Raw Data'!$F449 * 2)-10)*Bill!$AC447</f>
        <v>0</v>
      </c>
      <c r="O447" s="38">
        <f>('Raw Data'!F449+Bill!$O$2)*Bill!$AD447</f>
        <v>0</v>
      </c>
      <c r="P447" s="38">
        <f>('Raw Data'!F449+Bill!$P$2)*Bill!$AE447</f>
        <v>0</v>
      </c>
      <c r="Q447" s="38">
        <f>Bill!$Z447*('Raw Data'!$E449+$Q$2)</f>
        <v>0</v>
      </c>
      <c r="R447" s="38">
        <f>('Raw Data'!F449+Bill!$R$2)*Bill!$AF447</f>
        <v>0</v>
      </c>
      <c r="S447" s="48">
        <f>('Raw Data'!G449/100)*Bill!$AG447</f>
        <v>0</v>
      </c>
      <c r="T447" s="38">
        <f>SUM(Bill!$L447:$R447)</f>
        <v>0</v>
      </c>
      <c r="U447" s="53"/>
      <c r="V447" s="50"/>
      <c r="W447" s="38">
        <f>Bill!$U447-Bill!$T447</f>
        <v>0</v>
      </c>
      <c r="Y447" s="37">
        <f>'Raw Data'!D449</f>
        <v>46005</v>
      </c>
      <c r="Z447" s="47">
        <v>0.0</v>
      </c>
      <c r="AA447" s="47"/>
      <c r="AB447" s="47"/>
      <c r="AC447" s="47"/>
      <c r="AD447" s="47"/>
      <c r="AE447" s="47"/>
      <c r="AF447" s="47"/>
      <c r="AG447" s="47"/>
    </row>
    <row r="448" ht="15.75" customHeight="1">
      <c r="A448" s="35">
        <f>Bill!$Y448</f>
        <v>46006</v>
      </c>
      <c r="B448" s="43">
        <f>'Raw Data'!E450+Bill!$L$2</f>
        <v>20</v>
      </c>
      <c r="C448" s="43">
        <f>'Raw Data'!E450+Bill!$M$2</f>
        <v>25</v>
      </c>
      <c r="D448" s="43">
        <f>('Raw Data'!$F450*2)-10</f>
        <v>-10</v>
      </c>
      <c r="E448" s="43">
        <f>'Raw Data'!F450+Bill!$O$2</f>
        <v>20</v>
      </c>
      <c r="F448" s="43">
        <f>'Raw Data'!F450+Bill!$P$2</f>
        <v>25</v>
      </c>
      <c r="G448" s="43">
        <f>'Raw Data'!E450+Bill!$Q$2</f>
        <v>50</v>
      </c>
      <c r="H448" s="43">
        <f>('Raw Data'!F450+Bill!$R$2)</f>
        <v>20</v>
      </c>
      <c r="I448" s="36">
        <f>'Raw Data'!G450/100</f>
        <v>0</v>
      </c>
      <c r="K448" s="37">
        <f>Bill!$Y448</f>
        <v>46006</v>
      </c>
      <c r="L448" s="38">
        <f>Bill!$AA448*('Raw Data'!$E450+$L$2)</f>
        <v>0</v>
      </c>
      <c r="M448" s="38">
        <f>Bill!$AB448*('Raw Data'!$E450+$M$2)</f>
        <v>0</v>
      </c>
      <c r="N448" s="38">
        <f>(('Raw Data'!$F450 * 2)-10)*Bill!$AC448</f>
        <v>0</v>
      </c>
      <c r="O448" s="38">
        <f>('Raw Data'!F450+Bill!$O$2)*Bill!$AD448</f>
        <v>0</v>
      </c>
      <c r="P448" s="38">
        <f>('Raw Data'!F450+Bill!$P$2)*Bill!$AE448</f>
        <v>0</v>
      </c>
      <c r="Q448" s="38">
        <f>Bill!$Z448*('Raw Data'!$E450+$Q$2)</f>
        <v>0</v>
      </c>
      <c r="R448" s="38">
        <f>('Raw Data'!F450+Bill!$R$2)*Bill!$AF448</f>
        <v>0</v>
      </c>
      <c r="S448" s="48">
        <f>('Raw Data'!G450/100)*Bill!$AG448</f>
        <v>0</v>
      </c>
      <c r="T448" s="38">
        <f>SUM(Bill!$L448:$R448)</f>
        <v>0</v>
      </c>
      <c r="U448" s="53"/>
      <c r="V448" s="50"/>
      <c r="W448" s="38">
        <f>Bill!$U448-Bill!$T448</f>
        <v>0</v>
      </c>
      <c r="Y448" s="37">
        <f>'Raw Data'!D450</f>
        <v>46006</v>
      </c>
      <c r="Z448" s="47">
        <v>0.0</v>
      </c>
      <c r="AA448" s="47"/>
      <c r="AB448" s="47"/>
      <c r="AC448" s="47"/>
      <c r="AD448" s="47"/>
      <c r="AE448" s="47"/>
      <c r="AF448" s="47"/>
      <c r="AG448" s="47"/>
    </row>
    <row r="449" ht="15.75" customHeight="1">
      <c r="A449" s="35">
        <f>Bill!$Y449</f>
        <v>46007</v>
      </c>
      <c r="B449" s="43">
        <f>'Raw Data'!E451+Bill!$L$2</f>
        <v>20</v>
      </c>
      <c r="C449" s="43">
        <f>'Raw Data'!E451+Bill!$M$2</f>
        <v>25</v>
      </c>
      <c r="D449" s="43">
        <f>('Raw Data'!$F451*2)-10</f>
        <v>-10</v>
      </c>
      <c r="E449" s="43">
        <f>'Raw Data'!F451+Bill!$O$2</f>
        <v>20</v>
      </c>
      <c r="F449" s="43">
        <f>'Raw Data'!F451+Bill!$P$2</f>
        <v>25</v>
      </c>
      <c r="G449" s="43">
        <f>'Raw Data'!E451+Bill!$Q$2</f>
        <v>50</v>
      </c>
      <c r="H449" s="43">
        <f>('Raw Data'!F451+Bill!$R$2)</f>
        <v>20</v>
      </c>
      <c r="I449" s="36">
        <f>'Raw Data'!G451/100</f>
        <v>0</v>
      </c>
      <c r="K449" s="37">
        <f>Bill!$Y449</f>
        <v>46007</v>
      </c>
      <c r="L449" s="38">
        <f>Bill!$AA449*('Raw Data'!$E451+$L$2)</f>
        <v>0</v>
      </c>
      <c r="M449" s="38">
        <f>Bill!$AB449*('Raw Data'!$E451+$M$2)</f>
        <v>0</v>
      </c>
      <c r="N449" s="38">
        <f>(('Raw Data'!$F451 * 2)-10)*Bill!$AC449</f>
        <v>0</v>
      </c>
      <c r="O449" s="38">
        <f>('Raw Data'!F451+Bill!$O$2)*Bill!$AD449</f>
        <v>0</v>
      </c>
      <c r="P449" s="38">
        <f>('Raw Data'!F451+Bill!$P$2)*Bill!$AE449</f>
        <v>0</v>
      </c>
      <c r="Q449" s="38">
        <f>Bill!$Z449*('Raw Data'!$E451+$Q$2)</f>
        <v>0</v>
      </c>
      <c r="R449" s="38">
        <f>('Raw Data'!F451+Bill!$R$2)*Bill!$AF449</f>
        <v>0</v>
      </c>
      <c r="S449" s="48">
        <f>('Raw Data'!G451/100)*Bill!$AG449</f>
        <v>0</v>
      </c>
      <c r="T449" s="38">
        <f>SUM(Bill!$L449:$R449)</f>
        <v>0</v>
      </c>
      <c r="U449" s="53"/>
      <c r="V449" s="50"/>
      <c r="W449" s="38">
        <f>Bill!$U449-Bill!$T449</f>
        <v>0</v>
      </c>
      <c r="Y449" s="37">
        <f>'Raw Data'!D451</f>
        <v>46007</v>
      </c>
      <c r="Z449" s="47">
        <v>0.0</v>
      </c>
      <c r="AA449" s="47"/>
      <c r="AB449" s="47"/>
      <c r="AC449" s="47"/>
      <c r="AD449" s="47"/>
      <c r="AE449" s="47"/>
      <c r="AF449" s="47"/>
      <c r="AG449" s="47"/>
    </row>
    <row r="450" ht="15.75" customHeight="1">
      <c r="A450" s="35">
        <f>Bill!$Y450</f>
        <v>46008</v>
      </c>
      <c r="B450" s="43">
        <f>'Raw Data'!E452+Bill!$L$2</f>
        <v>20</v>
      </c>
      <c r="C450" s="43">
        <f>'Raw Data'!E452+Bill!$M$2</f>
        <v>25</v>
      </c>
      <c r="D450" s="43">
        <f>('Raw Data'!$F452*2)-10</f>
        <v>-10</v>
      </c>
      <c r="E450" s="43">
        <f>'Raw Data'!F452+Bill!$O$2</f>
        <v>20</v>
      </c>
      <c r="F450" s="43">
        <f>'Raw Data'!F452+Bill!$P$2</f>
        <v>25</v>
      </c>
      <c r="G450" s="43">
        <f>'Raw Data'!E452+Bill!$Q$2</f>
        <v>50</v>
      </c>
      <c r="H450" s="43">
        <f>('Raw Data'!F452+Bill!$R$2)</f>
        <v>20</v>
      </c>
      <c r="I450" s="36">
        <f>'Raw Data'!G452/100</f>
        <v>0</v>
      </c>
      <c r="K450" s="37">
        <f>Bill!$Y450</f>
        <v>46008</v>
      </c>
      <c r="L450" s="38">
        <f>Bill!$AA450*('Raw Data'!$E452+$L$2)</f>
        <v>0</v>
      </c>
      <c r="M450" s="38">
        <f>Bill!$AB450*('Raw Data'!$E452+$M$2)</f>
        <v>0</v>
      </c>
      <c r="N450" s="38">
        <f>(('Raw Data'!$F452 * 2)-10)*Bill!$AC450</f>
        <v>0</v>
      </c>
      <c r="O450" s="38">
        <f>('Raw Data'!F452+Bill!$O$2)*Bill!$AD450</f>
        <v>0</v>
      </c>
      <c r="P450" s="38">
        <f>('Raw Data'!F452+Bill!$P$2)*Bill!$AE450</f>
        <v>0</v>
      </c>
      <c r="Q450" s="38">
        <f>Bill!$Z450*('Raw Data'!$E452+$Q$2)</f>
        <v>0</v>
      </c>
      <c r="R450" s="38">
        <f>('Raw Data'!F452+Bill!$R$2)*Bill!$AF450</f>
        <v>0</v>
      </c>
      <c r="S450" s="48">
        <f>('Raw Data'!G452/100)*Bill!$AG450</f>
        <v>0</v>
      </c>
      <c r="T450" s="38">
        <f>SUM(Bill!$L450:$R450)</f>
        <v>0</v>
      </c>
      <c r="U450" s="53"/>
      <c r="V450" s="50"/>
      <c r="W450" s="38">
        <f>Bill!$U450-Bill!$T450</f>
        <v>0</v>
      </c>
      <c r="Y450" s="37">
        <f>'Raw Data'!D452</f>
        <v>46008</v>
      </c>
      <c r="Z450" s="47">
        <v>0.0</v>
      </c>
      <c r="AA450" s="47"/>
      <c r="AB450" s="47"/>
      <c r="AC450" s="47"/>
      <c r="AD450" s="47"/>
      <c r="AE450" s="47"/>
      <c r="AF450" s="47"/>
      <c r="AG450" s="47"/>
    </row>
    <row r="451" ht="15.75" customHeight="1">
      <c r="A451" s="35">
        <f>Bill!$Y451</f>
        <v>46009</v>
      </c>
      <c r="B451" s="43">
        <f>'Raw Data'!E453+Bill!$L$2</f>
        <v>20</v>
      </c>
      <c r="C451" s="43">
        <f>'Raw Data'!E453+Bill!$M$2</f>
        <v>25</v>
      </c>
      <c r="D451" s="43">
        <f>('Raw Data'!$F453*2)-10</f>
        <v>-10</v>
      </c>
      <c r="E451" s="43">
        <f>'Raw Data'!F453+Bill!$O$2</f>
        <v>20</v>
      </c>
      <c r="F451" s="43">
        <f>'Raw Data'!F453+Bill!$P$2</f>
        <v>25</v>
      </c>
      <c r="G451" s="43">
        <f>'Raw Data'!E453+Bill!$Q$2</f>
        <v>50</v>
      </c>
      <c r="H451" s="43">
        <f>('Raw Data'!F453+Bill!$R$2)</f>
        <v>20</v>
      </c>
      <c r="I451" s="36">
        <f>'Raw Data'!G453/100</f>
        <v>0</v>
      </c>
      <c r="K451" s="37">
        <f>Bill!$Y451</f>
        <v>46009</v>
      </c>
      <c r="L451" s="38">
        <f>Bill!$AA451*('Raw Data'!$E453+$L$2)</f>
        <v>0</v>
      </c>
      <c r="M451" s="38">
        <f>Bill!$AB451*('Raw Data'!$E453+$M$2)</f>
        <v>0</v>
      </c>
      <c r="N451" s="38">
        <f>(('Raw Data'!$F453 * 2)-10)*Bill!$AC451</f>
        <v>0</v>
      </c>
      <c r="O451" s="38">
        <f>('Raw Data'!F453+Bill!$O$2)*Bill!$AD451</f>
        <v>0</v>
      </c>
      <c r="P451" s="38">
        <f>('Raw Data'!F453+Bill!$P$2)*Bill!$AE451</f>
        <v>0</v>
      </c>
      <c r="Q451" s="38">
        <f>Bill!$Z451*('Raw Data'!$E453+$Q$2)</f>
        <v>0</v>
      </c>
      <c r="R451" s="38">
        <f>('Raw Data'!F453+Bill!$R$2)*Bill!$AF451</f>
        <v>0</v>
      </c>
      <c r="S451" s="48">
        <f>('Raw Data'!G453/100)*Bill!$AG451</f>
        <v>0</v>
      </c>
      <c r="T451" s="38">
        <f>SUM(Bill!$L451:$R451)</f>
        <v>0</v>
      </c>
      <c r="U451" s="53"/>
      <c r="V451" s="50"/>
      <c r="W451" s="38">
        <f>Bill!$U451-Bill!$T451</f>
        <v>0</v>
      </c>
      <c r="Y451" s="37">
        <f>'Raw Data'!D453</f>
        <v>46009</v>
      </c>
      <c r="Z451" s="47">
        <v>0.0</v>
      </c>
      <c r="AA451" s="47"/>
      <c r="AB451" s="47"/>
      <c r="AC451" s="47"/>
      <c r="AD451" s="47"/>
      <c r="AE451" s="47"/>
      <c r="AF451" s="47"/>
      <c r="AG451" s="47"/>
    </row>
    <row r="452" ht="15.75" customHeight="1">
      <c r="A452" s="35">
        <f>Bill!$Y452</f>
        <v>46010</v>
      </c>
      <c r="B452" s="43">
        <f>'Raw Data'!E454+Bill!$L$2</f>
        <v>20</v>
      </c>
      <c r="C452" s="43">
        <f>'Raw Data'!E454+Bill!$M$2</f>
        <v>25</v>
      </c>
      <c r="D452" s="43">
        <f>('Raw Data'!$F454*2)-10</f>
        <v>-10</v>
      </c>
      <c r="E452" s="43">
        <f>'Raw Data'!F454+Bill!$O$2</f>
        <v>20</v>
      </c>
      <c r="F452" s="43">
        <f>'Raw Data'!F454+Bill!$P$2</f>
        <v>25</v>
      </c>
      <c r="G452" s="43">
        <f>'Raw Data'!E454+Bill!$Q$2</f>
        <v>50</v>
      </c>
      <c r="H452" s="43">
        <f>('Raw Data'!F454+Bill!$R$2)</f>
        <v>20</v>
      </c>
      <c r="I452" s="36">
        <f>'Raw Data'!G454/100</f>
        <v>0</v>
      </c>
      <c r="K452" s="37">
        <f>Bill!$Y452</f>
        <v>46010</v>
      </c>
      <c r="L452" s="38">
        <f>Bill!$AA452*('Raw Data'!$E454+$L$2)</f>
        <v>0</v>
      </c>
      <c r="M452" s="38">
        <f>Bill!$AB452*('Raw Data'!$E454+$M$2)</f>
        <v>0</v>
      </c>
      <c r="N452" s="38">
        <f>(('Raw Data'!$F454 * 2)-10)*Bill!$AC452</f>
        <v>0</v>
      </c>
      <c r="O452" s="38">
        <f>('Raw Data'!F454+Bill!$O$2)*Bill!$AD452</f>
        <v>0</v>
      </c>
      <c r="P452" s="38">
        <f>('Raw Data'!F454+Bill!$P$2)*Bill!$AE452</f>
        <v>0</v>
      </c>
      <c r="Q452" s="38">
        <f>Bill!$Z452*('Raw Data'!$E454+$Q$2)</f>
        <v>0</v>
      </c>
      <c r="R452" s="38">
        <f>('Raw Data'!F454+Bill!$R$2)*Bill!$AF452</f>
        <v>0</v>
      </c>
      <c r="S452" s="48">
        <f>('Raw Data'!G454/100)*Bill!$AG452</f>
        <v>0</v>
      </c>
      <c r="T452" s="38">
        <f>SUM(Bill!$L452:$R452)</f>
        <v>0</v>
      </c>
      <c r="U452" s="53"/>
      <c r="V452" s="50"/>
      <c r="W452" s="38">
        <f>Bill!$U452-Bill!$T452</f>
        <v>0</v>
      </c>
      <c r="Y452" s="37">
        <f>'Raw Data'!D454</f>
        <v>46010</v>
      </c>
      <c r="Z452" s="47">
        <v>0.0</v>
      </c>
      <c r="AA452" s="47"/>
      <c r="AB452" s="47"/>
      <c r="AC452" s="47"/>
      <c r="AD452" s="47"/>
      <c r="AE452" s="47"/>
      <c r="AF452" s="47"/>
      <c r="AG452" s="47"/>
    </row>
    <row r="453" ht="15.75" customHeight="1">
      <c r="A453" s="35">
        <f>Bill!$Y453</f>
        <v>46011</v>
      </c>
      <c r="B453" s="43">
        <f>'Raw Data'!E455+Bill!$L$2</f>
        <v>20</v>
      </c>
      <c r="C453" s="43">
        <f>'Raw Data'!E455+Bill!$M$2</f>
        <v>25</v>
      </c>
      <c r="D453" s="43">
        <f>('Raw Data'!$F455*2)-10</f>
        <v>-10</v>
      </c>
      <c r="E453" s="43">
        <f>'Raw Data'!F455+Bill!$O$2</f>
        <v>20</v>
      </c>
      <c r="F453" s="43">
        <f>'Raw Data'!F455+Bill!$P$2</f>
        <v>25</v>
      </c>
      <c r="G453" s="43">
        <f>'Raw Data'!E455+Bill!$Q$2</f>
        <v>50</v>
      </c>
      <c r="H453" s="43">
        <f>('Raw Data'!F455+Bill!$R$2)</f>
        <v>20</v>
      </c>
      <c r="I453" s="36">
        <f>'Raw Data'!G455/100</f>
        <v>0</v>
      </c>
      <c r="K453" s="37">
        <f>Bill!$Y453</f>
        <v>46011</v>
      </c>
      <c r="L453" s="38">
        <f>Bill!$AA453*('Raw Data'!$E455+$L$2)</f>
        <v>0</v>
      </c>
      <c r="M453" s="38">
        <f>Bill!$AB453*('Raw Data'!$E455+$M$2)</f>
        <v>0</v>
      </c>
      <c r="N453" s="38">
        <f>(('Raw Data'!$F455 * 2)-10)*Bill!$AC453</f>
        <v>0</v>
      </c>
      <c r="O453" s="38">
        <f>('Raw Data'!F455+Bill!$O$2)*Bill!$AD453</f>
        <v>0</v>
      </c>
      <c r="P453" s="38">
        <f>('Raw Data'!F455+Bill!$P$2)*Bill!$AE453</f>
        <v>0</v>
      </c>
      <c r="Q453" s="38">
        <f>Bill!$Z453*('Raw Data'!$E455+$Q$2)</f>
        <v>0</v>
      </c>
      <c r="R453" s="38">
        <f>('Raw Data'!F455+Bill!$R$2)*Bill!$AF453</f>
        <v>0</v>
      </c>
      <c r="S453" s="48">
        <f>('Raw Data'!G455/100)*Bill!$AG453</f>
        <v>0</v>
      </c>
      <c r="T453" s="38">
        <f>SUM(Bill!$L453:$R453)</f>
        <v>0</v>
      </c>
      <c r="U453" s="53"/>
      <c r="V453" s="50"/>
      <c r="W453" s="38">
        <f>Bill!$U453-Bill!$T453</f>
        <v>0</v>
      </c>
      <c r="Y453" s="37">
        <f>'Raw Data'!D455</f>
        <v>46011</v>
      </c>
      <c r="Z453" s="47">
        <v>0.0</v>
      </c>
      <c r="AA453" s="47"/>
      <c r="AB453" s="47"/>
      <c r="AC453" s="47"/>
      <c r="AD453" s="47"/>
      <c r="AE453" s="47"/>
      <c r="AF453" s="47"/>
      <c r="AG453" s="47"/>
    </row>
    <row r="454" ht="15.75" customHeight="1">
      <c r="A454" s="35">
        <f>Bill!$Y454</f>
        <v>46012</v>
      </c>
      <c r="B454" s="43">
        <f>'Raw Data'!E456+Bill!$L$2</f>
        <v>20</v>
      </c>
      <c r="C454" s="43">
        <f>'Raw Data'!E456+Bill!$M$2</f>
        <v>25</v>
      </c>
      <c r="D454" s="43">
        <f>('Raw Data'!$F456*2)-10</f>
        <v>-10</v>
      </c>
      <c r="E454" s="43">
        <f>'Raw Data'!F456+Bill!$O$2</f>
        <v>20</v>
      </c>
      <c r="F454" s="43">
        <f>'Raw Data'!F456+Bill!$P$2</f>
        <v>25</v>
      </c>
      <c r="G454" s="43">
        <f>'Raw Data'!E456+Bill!$Q$2</f>
        <v>50</v>
      </c>
      <c r="H454" s="43">
        <f>('Raw Data'!F456+Bill!$R$2)</f>
        <v>20</v>
      </c>
      <c r="I454" s="36">
        <f>'Raw Data'!G456/100</f>
        <v>0</v>
      </c>
      <c r="K454" s="37">
        <f>Bill!$Y454</f>
        <v>46012</v>
      </c>
      <c r="L454" s="38">
        <f>Bill!$AA454*('Raw Data'!$E456+$L$2)</f>
        <v>0</v>
      </c>
      <c r="M454" s="38">
        <f>Bill!$AB454*('Raw Data'!$E456+$M$2)</f>
        <v>0</v>
      </c>
      <c r="N454" s="38">
        <f>(('Raw Data'!$F456 * 2)-10)*Bill!$AC454</f>
        <v>0</v>
      </c>
      <c r="O454" s="38">
        <f>('Raw Data'!F456+Bill!$O$2)*Bill!$AD454</f>
        <v>0</v>
      </c>
      <c r="P454" s="38">
        <f>('Raw Data'!F456+Bill!$P$2)*Bill!$AE454</f>
        <v>0</v>
      </c>
      <c r="Q454" s="38">
        <f>Bill!$Z454*('Raw Data'!$E456+$Q$2)</f>
        <v>0</v>
      </c>
      <c r="R454" s="38">
        <f>('Raw Data'!F456+Bill!$R$2)*Bill!$AF454</f>
        <v>0</v>
      </c>
      <c r="S454" s="48">
        <f>('Raw Data'!G456/100)*Bill!$AG454</f>
        <v>0</v>
      </c>
      <c r="T454" s="38">
        <f>SUM(Bill!$L454:$R454)</f>
        <v>0</v>
      </c>
      <c r="U454" s="53"/>
      <c r="V454" s="50"/>
      <c r="W454" s="38">
        <f>Bill!$U454-Bill!$T454</f>
        <v>0</v>
      </c>
      <c r="Y454" s="37">
        <f>'Raw Data'!D456</f>
        <v>46012</v>
      </c>
      <c r="Z454" s="47">
        <v>0.0</v>
      </c>
      <c r="AA454" s="47"/>
      <c r="AB454" s="47"/>
      <c r="AC454" s="47"/>
      <c r="AD454" s="47"/>
      <c r="AE454" s="47"/>
      <c r="AF454" s="47"/>
      <c r="AG454" s="47"/>
    </row>
    <row r="455" ht="15.75" customHeight="1">
      <c r="A455" s="35">
        <f>Bill!$Y455</f>
        <v>46013</v>
      </c>
      <c r="B455" s="43">
        <f>'Raw Data'!E457+Bill!$L$2</f>
        <v>20</v>
      </c>
      <c r="C455" s="43">
        <f>'Raw Data'!E457+Bill!$M$2</f>
        <v>25</v>
      </c>
      <c r="D455" s="43">
        <f>('Raw Data'!$F457*2)-10</f>
        <v>-10</v>
      </c>
      <c r="E455" s="43">
        <f>'Raw Data'!F457+Bill!$O$2</f>
        <v>20</v>
      </c>
      <c r="F455" s="43">
        <f>'Raw Data'!F457+Bill!$P$2</f>
        <v>25</v>
      </c>
      <c r="G455" s="43">
        <f>'Raw Data'!E457+Bill!$Q$2</f>
        <v>50</v>
      </c>
      <c r="H455" s="43">
        <f>('Raw Data'!F457+Bill!$R$2)</f>
        <v>20</v>
      </c>
      <c r="I455" s="36">
        <f>'Raw Data'!G457/100</f>
        <v>0</v>
      </c>
      <c r="K455" s="37">
        <f>Bill!$Y455</f>
        <v>46013</v>
      </c>
      <c r="L455" s="38">
        <f>Bill!$AA455*('Raw Data'!$E457+$L$2)</f>
        <v>0</v>
      </c>
      <c r="M455" s="38">
        <f>Bill!$AB455*('Raw Data'!$E457+$M$2)</f>
        <v>0</v>
      </c>
      <c r="N455" s="38">
        <f>(('Raw Data'!$F457 * 2)-10)*Bill!$AC455</f>
        <v>0</v>
      </c>
      <c r="O455" s="38">
        <f>('Raw Data'!F457+Bill!$O$2)*Bill!$AD455</f>
        <v>0</v>
      </c>
      <c r="P455" s="38">
        <f>('Raw Data'!F457+Bill!$P$2)*Bill!$AE455</f>
        <v>0</v>
      </c>
      <c r="Q455" s="38">
        <f>Bill!$Z455*('Raw Data'!$E457+$Q$2)</f>
        <v>0</v>
      </c>
      <c r="R455" s="38">
        <f>('Raw Data'!F457+Bill!$R$2)*Bill!$AF455</f>
        <v>0</v>
      </c>
      <c r="S455" s="48">
        <f>('Raw Data'!G457/100)*Bill!$AG455</f>
        <v>0</v>
      </c>
      <c r="T455" s="38">
        <f>SUM(Bill!$L455:$R455)</f>
        <v>0</v>
      </c>
      <c r="U455" s="53"/>
      <c r="V455" s="50"/>
      <c r="W455" s="38">
        <f>Bill!$U455-Bill!$T455</f>
        <v>0</v>
      </c>
      <c r="Y455" s="37">
        <f>'Raw Data'!D457</f>
        <v>46013</v>
      </c>
      <c r="Z455" s="47">
        <v>0.0</v>
      </c>
      <c r="AA455" s="47"/>
      <c r="AB455" s="47"/>
      <c r="AC455" s="47"/>
      <c r="AD455" s="47"/>
      <c r="AE455" s="47"/>
      <c r="AF455" s="47"/>
      <c r="AG455" s="47"/>
    </row>
    <row r="456" ht="15.75" customHeight="1">
      <c r="A456" s="35">
        <f>Bill!$Y456</f>
        <v>46014</v>
      </c>
      <c r="B456" s="43">
        <f>'Raw Data'!E458+Bill!$L$2</f>
        <v>20</v>
      </c>
      <c r="C456" s="43">
        <f>'Raw Data'!E458+Bill!$M$2</f>
        <v>25</v>
      </c>
      <c r="D456" s="43">
        <f>('Raw Data'!$F458*2)-10</f>
        <v>-10</v>
      </c>
      <c r="E456" s="43">
        <f>'Raw Data'!F458+Bill!$O$2</f>
        <v>20</v>
      </c>
      <c r="F456" s="43">
        <f>'Raw Data'!F458+Bill!$P$2</f>
        <v>25</v>
      </c>
      <c r="G456" s="43">
        <f>'Raw Data'!E458+Bill!$Q$2</f>
        <v>50</v>
      </c>
      <c r="H456" s="43">
        <f>('Raw Data'!F458+Bill!$R$2)</f>
        <v>20</v>
      </c>
      <c r="I456" s="36">
        <f>'Raw Data'!G458/100</f>
        <v>0</v>
      </c>
      <c r="K456" s="37">
        <f>Bill!$Y456</f>
        <v>46014</v>
      </c>
      <c r="L456" s="38">
        <f>Bill!$AA456*('Raw Data'!$E458+$L$2)</f>
        <v>0</v>
      </c>
      <c r="M456" s="38">
        <f>Bill!$AB456*('Raw Data'!$E458+$M$2)</f>
        <v>0</v>
      </c>
      <c r="N456" s="38">
        <f>(('Raw Data'!$F458 * 2)-10)*Bill!$AC456</f>
        <v>0</v>
      </c>
      <c r="O456" s="38">
        <f>('Raw Data'!F458+Bill!$O$2)*Bill!$AD456</f>
        <v>0</v>
      </c>
      <c r="P456" s="38">
        <f>('Raw Data'!F458+Bill!$P$2)*Bill!$AE456</f>
        <v>0</v>
      </c>
      <c r="Q456" s="38">
        <f>Bill!$Z456*('Raw Data'!$E458+$Q$2)</f>
        <v>0</v>
      </c>
      <c r="R456" s="38">
        <f>('Raw Data'!F458+Bill!$R$2)*Bill!$AF456</f>
        <v>0</v>
      </c>
      <c r="S456" s="48">
        <f>('Raw Data'!G458/100)*Bill!$AG456</f>
        <v>0</v>
      </c>
      <c r="T456" s="38">
        <f>SUM(Bill!$L456:$R456)</f>
        <v>0</v>
      </c>
      <c r="U456" s="53"/>
      <c r="V456" s="50"/>
      <c r="W456" s="38">
        <f>Bill!$U456-Bill!$T456</f>
        <v>0</v>
      </c>
      <c r="Y456" s="37">
        <f>'Raw Data'!D458</f>
        <v>46014</v>
      </c>
      <c r="Z456" s="47">
        <v>0.0</v>
      </c>
      <c r="AA456" s="47"/>
      <c r="AB456" s="47"/>
      <c r="AC456" s="47"/>
      <c r="AD456" s="47"/>
      <c r="AE456" s="47"/>
      <c r="AF456" s="47"/>
      <c r="AG456" s="47"/>
    </row>
    <row r="457" ht="15.75" customHeight="1">
      <c r="A457" s="35">
        <f>Bill!$Y457</f>
        <v>46015</v>
      </c>
      <c r="B457" s="43">
        <f>'Raw Data'!E459+Bill!$L$2</f>
        <v>20</v>
      </c>
      <c r="C457" s="43">
        <f>'Raw Data'!E459+Bill!$M$2</f>
        <v>25</v>
      </c>
      <c r="D457" s="43">
        <f>('Raw Data'!$F459*2)-10</f>
        <v>-10</v>
      </c>
      <c r="E457" s="43">
        <f>'Raw Data'!F459+Bill!$O$2</f>
        <v>20</v>
      </c>
      <c r="F457" s="43">
        <f>'Raw Data'!F459+Bill!$P$2</f>
        <v>25</v>
      </c>
      <c r="G457" s="43">
        <f>'Raw Data'!E459+Bill!$Q$2</f>
        <v>50</v>
      </c>
      <c r="H457" s="43">
        <f>('Raw Data'!F459+Bill!$R$2)</f>
        <v>20</v>
      </c>
      <c r="I457" s="36">
        <f>'Raw Data'!G459/100</f>
        <v>0</v>
      </c>
      <c r="K457" s="37">
        <f>Bill!$Y457</f>
        <v>46015</v>
      </c>
      <c r="L457" s="38">
        <f>Bill!$AA457*('Raw Data'!$E459+$L$2)</f>
        <v>0</v>
      </c>
      <c r="M457" s="38">
        <f>Bill!$AB457*('Raw Data'!$E459+$M$2)</f>
        <v>0</v>
      </c>
      <c r="N457" s="38">
        <f>(('Raw Data'!$F459 * 2)-10)*Bill!$AC457</f>
        <v>0</v>
      </c>
      <c r="O457" s="38">
        <f>('Raw Data'!F459+Bill!$O$2)*Bill!$AD457</f>
        <v>0</v>
      </c>
      <c r="P457" s="38">
        <f>('Raw Data'!F459+Bill!$P$2)*Bill!$AE457</f>
        <v>0</v>
      </c>
      <c r="Q457" s="38">
        <f>Bill!$Z457*('Raw Data'!$E459+$Q$2)</f>
        <v>0</v>
      </c>
      <c r="R457" s="38">
        <f>('Raw Data'!F459+Bill!$R$2)*Bill!$AF457</f>
        <v>0</v>
      </c>
      <c r="S457" s="48">
        <f>('Raw Data'!G459/100)*Bill!$AG457</f>
        <v>0</v>
      </c>
      <c r="T457" s="38">
        <f>SUM(Bill!$L457:$R457)</f>
        <v>0</v>
      </c>
      <c r="U457" s="53"/>
      <c r="V457" s="50"/>
      <c r="W457" s="38">
        <f>Bill!$U457-Bill!$T457</f>
        <v>0</v>
      </c>
      <c r="Y457" s="37">
        <f>'Raw Data'!D459</f>
        <v>46015</v>
      </c>
      <c r="Z457" s="47">
        <v>0.0</v>
      </c>
      <c r="AA457" s="47"/>
      <c r="AB457" s="47"/>
      <c r="AC457" s="47"/>
      <c r="AD457" s="47"/>
      <c r="AE457" s="47"/>
      <c r="AF457" s="47"/>
      <c r="AG457" s="47"/>
    </row>
    <row r="458" ht="15.75" customHeight="1">
      <c r="A458" s="35">
        <f>Bill!$Y458</f>
        <v>46016</v>
      </c>
      <c r="B458" s="43">
        <f>'Raw Data'!E460+Bill!$L$2</f>
        <v>20</v>
      </c>
      <c r="C458" s="43">
        <f>'Raw Data'!E460+Bill!$M$2</f>
        <v>25</v>
      </c>
      <c r="D458" s="43">
        <f>('Raw Data'!$F460*2)-10</f>
        <v>-10</v>
      </c>
      <c r="E458" s="43">
        <f>'Raw Data'!F460+Bill!$O$2</f>
        <v>20</v>
      </c>
      <c r="F458" s="43">
        <f>'Raw Data'!F460+Bill!$P$2</f>
        <v>25</v>
      </c>
      <c r="G458" s="43">
        <f>'Raw Data'!E460+Bill!$Q$2</f>
        <v>50</v>
      </c>
      <c r="H458" s="43">
        <f>('Raw Data'!F460+Bill!$R$2)</f>
        <v>20</v>
      </c>
      <c r="I458" s="36">
        <f>'Raw Data'!G460/100</f>
        <v>0</v>
      </c>
      <c r="K458" s="37">
        <f>Bill!$Y458</f>
        <v>46016</v>
      </c>
      <c r="L458" s="38">
        <f>Bill!$AA458*('Raw Data'!$E460+$L$2)</f>
        <v>0</v>
      </c>
      <c r="M458" s="38">
        <f>Bill!$AB458*('Raw Data'!$E460+$M$2)</f>
        <v>0</v>
      </c>
      <c r="N458" s="38">
        <f>(('Raw Data'!$F460 * 2)-10)*Bill!$AC458</f>
        <v>0</v>
      </c>
      <c r="O458" s="38">
        <f>('Raw Data'!F460+Bill!$O$2)*Bill!$AD458</f>
        <v>0</v>
      </c>
      <c r="P458" s="38">
        <f>('Raw Data'!F460+Bill!$P$2)*Bill!$AE458</f>
        <v>0</v>
      </c>
      <c r="Q458" s="38">
        <f>Bill!$Z458*('Raw Data'!$E460+$Q$2)</f>
        <v>0</v>
      </c>
      <c r="R458" s="38">
        <f>('Raw Data'!F460+Bill!$R$2)*Bill!$AF458</f>
        <v>0</v>
      </c>
      <c r="S458" s="48">
        <f>('Raw Data'!G460/100)*Bill!$AG458</f>
        <v>0</v>
      </c>
      <c r="T458" s="38">
        <f>SUM(Bill!$L458:$R458)</f>
        <v>0</v>
      </c>
      <c r="U458" s="53"/>
      <c r="V458" s="50"/>
      <c r="W458" s="38">
        <f>Bill!$U458-Bill!$T458</f>
        <v>0</v>
      </c>
      <c r="Y458" s="37">
        <f>'Raw Data'!D460</f>
        <v>46016</v>
      </c>
      <c r="Z458" s="47">
        <v>0.0</v>
      </c>
      <c r="AA458" s="47"/>
      <c r="AB458" s="47"/>
      <c r="AC458" s="47"/>
      <c r="AD458" s="47"/>
      <c r="AE458" s="47"/>
      <c r="AF458" s="47"/>
      <c r="AG458" s="47"/>
    </row>
    <row r="459" ht="15.75" customHeight="1">
      <c r="A459" s="35">
        <f>Bill!$Y459</f>
        <v>46017</v>
      </c>
      <c r="B459" s="43">
        <f>'Raw Data'!E461+Bill!$L$2</f>
        <v>20</v>
      </c>
      <c r="C459" s="43">
        <f>'Raw Data'!E461+Bill!$M$2</f>
        <v>25</v>
      </c>
      <c r="D459" s="43">
        <f>('Raw Data'!$F461*2)-10</f>
        <v>-10</v>
      </c>
      <c r="E459" s="43">
        <f>'Raw Data'!F461+Bill!$O$2</f>
        <v>20</v>
      </c>
      <c r="F459" s="43">
        <f>'Raw Data'!F461+Bill!$P$2</f>
        <v>25</v>
      </c>
      <c r="G459" s="43">
        <f>'Raw Data'!E461+Bill!$Q$2</f>
        <v>50</v>
      </c>
      <c r="H459" s="43">
        <f>('Raw Data'!F461+Bill!$R$2)</f>
        <v>20</v>
      </c>
      <c r="I459" s="36">
        <f>'Raw Data'!G461/100</f>
        <v>0</v>
      </c>
      <c r="K459" s="37">
        <f>Bill!$Y459</f>
        <v>46017</v>
      </c>
      <c r="L459" s="38">
        <f>Bill!$AA459*('Raw Data'!$E461+$L$2)</f>
        <v>0</v>
      </c>
      <c r="M459" s="38">
        <f>Bill!$AB459*('Raw Data'!$E461+$M$2)</f>
        <v>0</v>
      </c>
      <c r="N459" s="38">
        <f>(('Raw Data'!$F461 * 2)-10)*Bill!$AC459</f>
        <v>0</v>
      </c>
      <c r="O459" s="38">
        <f>('Raw Data'!F461+Bill!$O$2)*Bill!$AD459</f>
        <v>0</v>
      </c>
      <c r="P459" s="38">
        <f>('Raw Data'!F461+Bill!$P$2)*Bill!$AE459</f>
        <v>0</v>
      </c>
      <c r="Q459" s="38">
        <f>Bill!$Z459*('Raw Data'!$E461+$Q$2)</f>
        <v>0</v>
      </c>
      <c r="R459" s="38">
        <f>('Raw Data'!F461+Bill!$R$2)*Bill!$AF459</f>
        <v>0</v>
      </c>
      <c r="S459" s="48">
        <f>('Raw Data'!G461/100)*Bill!$AG459</f>
        <v>0</v>
      </c>
      <c r="T459" s="38">
        <f>SUM(Bill!$L459:$R459)</f>
        <v>0</v>
      </c>
      <c r="U459" s="53"/>
      <c r="V459" s="50"/>
      <c r="W459" s="38">
        <f>Bill!$U459-Bill!$T459</f>
        <v>0</v>
      </c>
      <c r="Y459" s="37">
        <f>'Raw Data'!D461</f>
        <v>46017</v>
      </c>
      <c r="Z459" s="47">
        <v>0.0</v>
      </c>
      <c r="AA459" s="47"/>
      <c r="AB459" s="47"/>
      <c r="AC459" s="47"/>
      <c r="AD459" s="47"/>
      <c r="AE459" s="47"/>
      <c r="AF459" s="47"/>
      <c r="AG459" s="47"/>
    </row>
    <row r="460" ht="15.75" customHeight="1">
      <c r="A460" s="35">
        <f>Bill!$Y460</f>
        <v>46018</v>
      </c>
      <c r="B460" s="43">
        <f>'Raw Data'!E462+Bill!$L$2</f>
        <v>20</v>
      </c>
      <c r="C460" s="43">
        <f>'Raw Data'!E462+Bill!$M$2</f>
        <v>25</v>
      </c>
      <c r="D460" s="43">
        <f>('Raw Data'!$F462*2)-10</f>
        <v>-10</v>
      </c>
      <c r="E460" s="43">
        <f>'Raw Data'!F462+Bill!$O$2</f>
        <v>20</v>
      </c>
      <c r="F460" s="43">
        <f>'Raw Data'!F462+Bill!$P$2</f>
        <v>25</v>
      </c>
      <c r="G460" s="43">
        <f>'Raw Data'!E462+Bill!$Q$2</f>
        <v>50</v>
      </c>
      <c r="H460" s="43">
        <f>('Raw Data'!F462+Bill!$R$2)</f>
        <v>20</v>
      </c>
      <c r="I460" s="36">
        <f>'Raw Data'!G462/100</f>
        <v>0</v>
      </c>
      <c r="K460" s="37">
        <f>Bill!$Y460</f>
        <v>46018</v>
      </c>
      <c r="L460" s="38">
        <f>Bill!$AA460*('Raw Data'!$E462+$L$2)</f>
        <v>0</v>
      </c>
      <c r="M460" s="38">
        <f>Bill!$AB460*('Raw Data'!$E462+$M$2)</f>
        <v>0</v>
      </c>
      <c r="N460" s="38">
        <f>(('Raw Data'!$F462 * 2)-10)*Bill!$AC460</f>
        <v>0</v>
      </c>
      <c r="O460" s="38">
        <f>('Raw Data'!F462+Bill!$O$2)*Bill!$AD460</f>
        <v>0</v>
      </c>
      <c r="P460" s="38">
        <f>('Raw Data'!F462+Bill!$P$2)*Bill!$AE460</f>
        <v>0</v>
      </c>
      <c r="Q460" s="38">
        <f>Bill!$Z460*('Raw Data'!$E462+$Q$2)</f>
        <v>0</v>
      </c>
      <c r="R460" s="38">
        <f>('Raw Data'!F462+Bill!$R$2)*Bill!$AF460</f>
        <v>0</v>
      </c>
      <c r="S460" s="48">
        <f>('Raw Data'!G462/100)*Bill!$AG460</f>
        <v>0</v>
      </c>
      <c r="T460" s="38">
        <f>SUM(Bill!$L460:$R460)</f>
        <v>0</v>
      </c>
      <c r="U460" s="53"/>
      <c r="V460" s="50"/>
      <c r="W460" s="38">
        <f>Bill!$U460-Bill!$T460</f>
        <v>0</v>
      </c>
      <c r="Y460" s="37">
        <f>'Raw Data'!D462</f>
        <v>46018</v>
      </c>
      <c r="Z460" s="47">
        <v>0.0</v>
      </c>
      <c r="AA460" s="47"/>
      <c r="AB460" s="47"/>
      <c r="AC460" s="47"/>
      <c r="AD460" s="47"/>
      <c r="AE460" s="47"/>
      <c r="AF460" s="47"/>
      <c r="AG460" s="47"/>
    </row>
    <row r="461" ht="15.75" customHeight="1">
      <c r="A461" s="35">
        <f>Bill!$Y461</f>
        <v>46019</v>
      </c>
      <c r="B461" s="43">
        <f>'Raw Data'!E463+Bill!$L$2</f>
        <v>20</v>
      </c>
      <c r="C461" s="43">
        <f>'Raw Data'!E463+Bill!$M$2</f>
        <v>25</v>
      </c>
      <c r="D461" s="43">
        <f>('Raw Data'!$F463*2)-10</f>
        <v>-10</v>
      </c>
      <c r="E461" s="43">
        <f>'Raw Data'!F463+Bill!$O$2</f>
        <v>20</v>
      </c>
      <c r="F461" s="43">
        <f>'Raw Data'!F463+Bill!$P$2</f>
        <v>25</v>
      </c>
      <c r="G461" s="43">
        <f>'Raw Data'!E463+Bill!$Q$2</f>
        <v>50</v>
      </c>
      <c r="H461" s="43">
        <f>('Raw Data'!F463+Bill!$R$2)</f>
        <v>20</v>
      </c>
      <c r="I461" s="36">
        <f>'Raw Data'!G463/100</f>
        <v>0</v>
      </c>
      <c r="K461" s="37">
        <f>Bill!$Y461</f>
        <v>46019</v>
      </c>
      <c r="L461" s="38">
        <f>Bill!$AA461*('Raw Data'!$E463+$L$2)</f>
        <v>0</v>
      </c>
      <c r="M461" s="38">
        <f>Bill!$AB461*('Raw Data'!$E463+$M$2)</f>
        <v>0</v>
      </c>
      <c r="N461" s="38">
        <f>(('Raw Data'!$F463 * 2)-10)*Bill!$AC461</f>
        <v>0</v>
      </c>
      <c r="O461" s="38">
        <f>('Raw Data'!F463+Bill!$O$2)*Bill!$AD461</f>
        <v>0</v>
      </c>
      <c r="P461" s="38">
        <f>('Raw Data'!F463+Bill!$P$2)*Bill!$AE461</f>
        <v>0</v>
      </c>
      <c r="Q461" s="38">
        <f>Bill!$Z461*('Raw Data'!$E463+$Q$2)</f>
        <v>0</v>
      </c>
      <c r="R461" s="38">
        <f>('Raw Data'!F463+Bill!$R$2)*Bill!$AF461</f>
        <v>0</v>
      </c>
      <c r="S461" s="48">
        <f>('Raw Data'!G463/100)*Bill!$AG461</f>
        <v>0</v>
      </c>
      <c r="T461" s="38">
        <f>SUM(Bill!$L461:$R461)</f>
        <v>0</v>
      </c>
      <c r="U461" s="53"/>
      <c r="V461" s="50"/>
      <c r="W461" s="38">
        <f>Bill!$U461-Bill!$T461</f>
        <v>0</v>
      </c>
      <c r="Y461" s="37">
        <f>'Raw Data'!D463</f>
        <v>46019</v>
      </c>
      <c r="Z461" s="47">
        <v>0.0</v>
      </c>
      <c r="AA461" s="47"/>
      <c r="AB461" s="47"/>
      <c r="AC461" s="47"/>
      <c r="AD461" s="47"/>
      <c r="AE461" s="47"/>
      <c r="AF461" s="47"/>
      <c r="AG461" s="47"/>
    </row>
    <row r="462" ht="15.75" customHeight="1">
      <c r="A462" s="35">
        <f>Bill!$Y462</f>
        <v>46020</v>
      </c>
      <c r="B462" s="43">
        <f>'Raw Data'!E464+Bill!$L$2</f>
        <v>20</v>
      </c>
      <c r="C462" s="43">
        <f>'Raw Data'!E464+Bill!$M$2</f>
        <v>25</v>
      </c>
      <c r="D462" s="43">
        <f>('Raw Data'!$F464*2)-10</f>
        <v>-10</v>
      </c>
      <c r="E462" s="43">
        <f>'Raw Data'!F464+Bill!$O$2</f>
        <v>20</v>
      </c>
      <c r="F462" s="43">
        <f>'Raw Data'!F464+Bill!$P$2</f>
        <v>25</v>
      </c>
      <c r="G462" s="43">
        <f>'Raw Data'!E464+Bill!$Q$2</f>
        <v>50</v>
      </c>
      <c r="H462" s="43">
        <f>('Raw Data'!F464+Bill!$R$2)</f>
        <v>20</v>
      </c>
      <c r="I462" s="36">
        <f>'Raw Data'!G464/100</f>
        <v>0</v>
      </c>
      <c r="K462" s="37">
        <f>Bill!$Y462</f>
        <v>46020</v>
      </c>
      <c r="L462" s="38">
        <f>Bill!$AA462*('Raw Data'!$E464+$L$2)</f>
        <v>0</v>
      </c>
      <c r="M462" s="38">
        <f>Bill!$AB462*('Raw Data'!$E464+$M$2)</f>
        <v>0</v>
      </c>
      <c r="N462" s="38">
        <f>(('Raw Data'!$F464 * 2)-10)*Bill!$AC462</f>
        <v>0</v>
      </c>
      <c r="O462" s="38">
        <f>('Raw Data'!F464+Bill!$O$2)*Bill!$AD462</f>
        <v>0</v>
      </c>
      <c r="P462" s="38">
        <f>('Raw Data'!F464+Bill!$P$2)*Bill!$AE462</f>
        <v>0</v>
      </c>
      <c r="Q462" s="38">
        <f>Bill!$Z462*('Raw Data'!$E464+$Q$2)</f>
        <v>0</v>
      </c>
      <c r="R462" s="38">
        <f>('Raw Data'!F464+Bill!$R$2)*Bill!$AF462</f>
        <v>0</v>
      </c>
      <c r="S462" s="48">
        <f>('Raw Data'!G464/100)*Bill!$AG462</f>
        <v>0</v>
      </c>
      <c r="T462" s="38">
        <f>SUM(Bill!$L462:$R462)</f>
        <v>0</v>
      </c>
      <c r="U462" s="53"/>
      <c r="V462" s="50"/>
      <c r="W462" s="38">
        <f>Bill!$U462-Bill!$T462</f>
        <v>0</v>
      </c>
      <c r="Y462" s="37">
        <f>'Raw Data'!D464</f>
        <v>46020</v>
      </c>
      <c r="Z462" s="47">
        <v>0.0</v>
      </c>
      <c r="AA462" s="47"/>
      <c r="AB462" s="47"/>
      <c r="AC462" s="47"/>
      <c r="AD462" s="47"/>
      <c r="AE462" s="47"/>
      <c r="AF462" s="47"/>
      <c r="AG462" s="47"/>
    </row>
    <row r="463" ht="15.75" customHeight="1">
      <c r="A463" s="35">
        <f>Bill!$Y463</f>
        <v>46021</v>
      </c>
      <c r="B463" s="43">
        <f>'Raw Data'!E465+Bill!$L$2</f>
        <v>20</v>
      </c>
      <c r="C463" s="43">
        <f>'Raw Data'!E465+Bill!$M$2</f>
        <v>25</v>
      </c>
      <c r="D463" s="43">
        <f>('Raw Data'!$F465*2)-10</f>
        <v>-10</v>
      </c>
      <c r="E463" s="43">
        <f>'Raw Data'!F465+Bill!$O$2</f>
        <v>20</v>
      </c>
      <c r="F463" s="43">
        <f>'Raw Data'!F465+Bill!$P$2</f>
        <v>25</v>
      </c>
      <c r="G463" s="43">
        <f>'Raw Data'!E465+Bill!$Q$2</f>
        <v>50</v>
      </c>
      <c r="H463" s="43">
        <f>('Raw Data'!F465+Bill!$R$2)</f>
        <v>20</v>
      </c>
      <c r="I463" s="36">
        <f>'Raw Data'!G465/100</f>
        <v>0</v>
      </c>
      <c r="K463" s="37">
        <f>Bill!$Y463</f>
        <v>46021</v>
      </c>
      <c r="L463" s="38">
        <f>Bill!$AA463*('Raw Data'!$E465+$L$2)</f>
        <v>0</v>
      </c>
      <c r="M463" s="38">
        <f>Bill!$AB463*('Raw Data'!$E465+$M$2)</f>
        <v>0</v>
      </c>
      <c r="N463" s="38">
        <f>(('Raw Data'!$F465 * 2)-10)*Bill!$AC463</f>
        <v>0</v>
      </c>
      <c r="O463" s="38">
        <f>('Raw Data'!F465+Bill!$O$2)*Bill!$AD463</f>
        <v>0</v>
      </c>
      <c r="P463" s="38">
        <f>('Raw Data'!F465+Bill!$P$2)*Bill!$AE463</f>
        <v>0</v>
      </c>
      <c r="Q463" s="38">
        <f>Bill!$Z463*('Raw Data'!$E465+$Q$2)</f>
        <v>0</v>
      </c>
      <c r="R463" s="38">
        <f>('Raw Data'!F465+Bill!$R$2)*Bill!$AF463</f>
        <v>0</v>
      </c>
      <c r="S463" s="48">
        <f>('Raw Data'!G465/100)*Bill!$AG463</f>
        <v>0</v>
      </c>
      <c r="T463" s="38">
        <f>SUM(Bill!$L463:$R463)</f>
        <v>0</v>
      </c>
      <c r="U463" s="53"/>
      <c r="V463" s="50"/>
      <c r="W463" s="38">
        <f>Bill!$U463-Bill!$T463</f>
        <v>0</v>
      </c>
      <c r="Y463" s="37">
        <f>'Raw Data'!D465</f>
        <v>46021</v>
      </c>
      <c r="Z463" s="47">
        <v>0.0</v>
      </c>
      <c r="AA463" s="47"/>
      <c r="AB463" s="47"/>
      <c r="AC463" s="47"/>
      <c r="AD463" s="47"/>
      <c r="AE463" s="47"/>
      <c r="AF463" s="47"/>
      <c r="AG463" s="47"/>
    </row>
    <row r="464" ht="15.75" customHeight="1">
      <c r="A464" s="35">
        <f>Bill!$Y464</f>
        <v>46022</v>
      </c>
      <c r="B464" s="43">
        <f>'Raw Data'!E466+Bill!$L$2</f>
        <v>20</v>
      </c>
      <c r="C464" s="43">
        <f>'Raw Data'!E466+Bill!$M$2</f>
        <v>25</v>
      </c>
      <c r="D464" s="43">
        <f>('Raw Data'!$F466*2)-10</f>
        <v>-10</v>
      </c>
      <c r="E464" s="43">
        <f>'Raw Data'!F466+Bill!$O$2</f>
        <v>20</v>
      </c>
      <c r="F464" s="43">
        <f>'Raw Data'!F466+Bill!$P$2</f>
        <v>25</v>
      </c>
      <c r="G464" s="43">
        <f>'Raw Data'!E466+Bill!$Q$2</f>
        <v>50</v>
      </c>
      <c r="H464" s="43">
        <f>('Raw Data'!F466+Bill!$R$2)</f>
        <v>20</v>
      </c>
      <c r="I464" s="36">
        <f>'Raw Data'!G466/100</f>
        <v>0</v>
      </c>
      <c r="K464" s="37">
        <f>Bill!$Y464</f>
        <v>46022</v>
      </c>
      <c r="L464" s="38">
        <f>Bill!$AA464*('Raw Data'!$E466+$L$2)</f>
        <v>0</v>
      </c>
      <c r="M464" s="38">
        <f>Bill!$AB464*('Raw Data'!$E466+$M$2)</f>
        <v>0</v>
      </c>
      <c r="N464" s="38">
        <f>(('Raw Data'!$F466 * 2)-10)*Bill!$AC464</f>
        <v>0</v>
      </c>
      <c r="O464" s="38">
        <f>('Raw Data'!F466+Bill!$O$2)*Bill!$AD464</f>
        <v>0</v>
      </c>
      <c r="P464" s="38">
        <f>('Raw Data'!F466+Bill!$P$2)*Bill!$AE464</f>
        <v>0</v>
      </c>
      <c r="Q464" s="38">
        <f>Bill!$Z464*('Raw Data'!$E466+$Q$2)</f>
        <v>0</v>
      </c>
      <c r="R464" s="38">
        <f>('Raw Data'!F466+Bill!$R$2)*Bill!$AF464</f>
        <v>0</v>
      </c>
      <c r="S464" s="48">
        <f>('Raw Data'!G466/100)*Bill!$AG464</f>
        <v>0</v>
      </c>
      <c r="T464" s="38">
        <f>SUM(Bill!$L464:$R464)</f>
        <v>0</v>
      </c>
      <c r="U464" s="53"/>
      <c r="V464" s="50"/>
      <c r="W464" s="38">
        <f>Bill!$U464-Bill!$T464</f>
        <v>0</v>
      </c>
      <c r="Y464" s="37">
        <f>'Raw Data'!D466</f>
        <v>46022</v>
      </c>
      <c r="Z464" s="47">
        <v>0.0</v>
      </c>
      <c r="AA464" s="47"/>
      <c r="AB464" s="47"/>
      <c r="AC464" s="47"/>
      <c r="AD464" s="47"/>
      <c r="AE464" s="47"/>
      <c r="AF464" s="47"/>
      <c r="AG464" s="47"/>
    </row>
    <row r="465" ht="15.75" customHeight="1">
      <c r="A465" s="35">
        <f>Bill!$Y465</f>
        <v>46023</v>
      </c>
      <c r="B465" s="43">
        <f>'Raw Data'!E467+Bill!$L$2</f>
        <v>20</v>
      </c>
      <c r="C465" s="43">
        <f>'Raw Data'!E467+Bill!$M$2</f>
        <v>25</v>
      </c>
      <c r="D465" s="43">
        <f>('Raw Data'!$F467*2)-10</f>
        <v>-10</v>
      </c>
      <c r="E465" s="43">
        <f>'Raw Data'!F467+Bill!$O$2</f>
        <v>20</v>
      </c>
      <c r="F465" s="43">
        <f>'Raw Data'!F467+Bill!$P$2</f>
        <v>25</v>
      </c>
      <c r="G465" s="43">
        <f>'Raw Data'!E467+Bill!$Q$2</f>
        <v>50</v>
      </c>
      <c r="H465" s="43">
        <f>('Raw Data'!F467+Bill!$R$2)</f>
        <v>20</v>
      </c>
      <c r="I465" s="36">
        <f>'Raw Data'!G467/100</f>
        <v>0</v>
      </c>
      <c r="K465" s="37">
        <f>Bill!$Y465</f>
        <v>46023</v>
      </c>
      <c r="L465" s="38">
        <f>Bill!$AA465*('Raw Data'!$E467+$L$2)</f>
        <v>0</v>
      </c>
      <c r="M465" s="38">
        <f>Bill!$AB465*('Raw Data'!$E467+$M$2)</f>
        <v>0</v>
      </c>
      <c r="N465" s="38">
        <f>(('Raw Data'!$F467 * 2)-10)*Bill!$AC465</f>
        <v>0</v>
      </c>
      <c r="O465" s="38">
        <f>('Raw Data'!F467+Bill!$O$2)*Bill!$AD465</f>
        <v>0</v>
      </c>
      <c r="P465" s="38">
        <f>('Raw Data'!F467+Bill!$P$2)*Bill!$AE465</f>
        <v>0</v>
      </c>
      <c r="Q465" s="38">
        <f>Bill!$Z465*('Raw Data'!$E467+$Q$2)</f>
        <v>0</v>
      </c>
      <c r="R465" s="38">
        <f>('Raw Data'!F467+Bill!$R$2)*Bill!$AF465</f>
        <v>0</v>
      </c>
      <c r="S465" s="48">
        <f>('Raw Data'!G467/100)*Bill!$AG465</f>
        <v>0</v>
      </c>
      <c r="T465" s="38">
        <f>SUM(Bill!$L465:$R465)</f>
        <v>0</v>
      </c>
      <c r="U465" s="53"/>
      <c r="V465" s="50"/>
      <c r="W465" s="38">
        <f>Bill!$U465-Bill!$T465</f>
        <v>0</v>
      </c>
      <c r="Y465" s="37">
        <f>'Raw Data'!D467</f>
        <v>46023</v>
      </c>
      <c r="Z465" s="47">
        <v>0.0</v>
      </c>
      <c r="AA465" s="47"/>
      <c r="AB465" s="47"/>
      <c r="AC465" s="47"/>
      <c r="AD465" s="47"/>
      <c r="AE465" s="47"/>
      <c r="AF465" s="47"/>
      <c r="AG465" s="47"/>
    </row>
    <row r="466" ht="15.75" customHeight="1">
      <c r="A466" s="35">
        <f>Bill!$Y466</f>
        <v>46024</v>
      </c>
      <c r="B466" s="43">
        <f>'Raw Data'!E468+Bill!$L$2</f>
        <v>20</v>
      </c>
      <c r="C466" s="43">
        <f>'Raw Data'!E468+Bill!$M$2</f>
        <v>25</v>
      </c>
      <c r="D466" s="43">
        <f>('Raw Data'!$F468*2)-10</f>
        <v>-10</v>
      </c>
      <c r="E466" s="43">
        <f>'Raw Data'!F468+Bill!$O$2</f>
        <v>20</v>
      </c>
      <c r="F466" s="43">
        <f>'Raw Data'!F468+Bill!$P$2</f>
        <v>25</v>
      </c>
      <c r="G466" s="43">
        <f>'Raw Data'!E468+Bill!$Q$2</f>
        <v>50</v>
      </c>
      <c r="H466" s="43">
        <f>('Raw Data'!F468+Bill!$R$2)</f>
        <v>20</v>
      </c>
      <c r="I466" s="36">
        <f>'Raw Data'!G468/100</f>
        <v>0</v>
      </c>
      <c r="K466" s="37">
        <f>Bill!$Y466</f>
        <v>46024</v>
      </c>
      <c r="L466" s="38">
        <f>Bill!$AA466*('Raw Data'!$E468+$L$2)</f>
        <v>0</v>
      </c>
      <c r="M466" s="38">
        <f>Bill!$AB466*('Raw Data'!$E468+$M$2)</f>
        <v>0</v>
      </c>
      <c r="N466" s="38">
        <f>(('Raw Data'!$F468 * 2)-10)*Bill!$AC466</f>
        <v>0</v>
      </c>
      <c r="O466" s="38">
        <f>('Raw Data'!F468+Bill!$O$2)*Bill!$AD466</f>
        <v>0</v>
      </c>
      <c r="P466" s="38">
        <f>('Raw Data'!F468+Bill!$P$2)*Bill!$AE466</f>
        <v>0</v>
      </c>
      <c r="Q466" s="38">
        <f>Bill!$Z466*('Raw Data'!$E468+$Q$2)</f>
        <v>0</v>
      </c>
      <c r="R466" s="38">
        <f>('Raw Data'!F468+Bill!$R$2)*Bill!$AF466</f>
        <v>0</v>
      </c>
      <c r="S466" s="48">
        <f>('Raw Data'!G468/100)*Bill!$AG466</f>
        <v>0</v>
      </c>
      <c r="T466" s="38">
        <f>SUM(Bill!$L466:$R466)</f>
        <v>0</v>
      </c>
      <c r="U466" s="53"/>
      <c r="V466" s="50"/>
      <c r="W466" s="38">
        <f>Bill!$U466-Bill!$T466</f>
        <v>0</v>
      </c>
      <c r="Y466" s="37">
        <f>'Raw Data'!D468</f>
        <v>46024</v>
      </c>
      <c r="Z466" s="47">
        <v>0.0</v>
      </c>
      <c r="AA466" s="47"/>
      <c r="AB466" s="47"/>
      <c r="AC466" s="47"/>
      <c r="AD466" s="47"/>
      <c r="AE466" s="47"/>
      <c r="AF466" s="47"/>
      <c r="AG466" s="47"/>
    </row>
    <row r="467" ht="15.75" customHeight="1">
      <c r="A467" s="35">
        <f>Bill!$Y467</f>
        <v>46025</v>
      </c>
      <c r="B467" s="43">
        <f>'Raw Data'!E469+Bill!$L$2</f>
        <v>20</v>
      </c>
      <c r="C467" s="43">
        <f>'Raw Data'!E469+Bill!$M$2</f>
        <v>25</v>
      </c>
      <c r="D467" s="43">
        <f>('Raw Data'!$F469*2)-10</f>
        <v>-10</v>
      </c>
      <c r="E467" s="43">
        <f>'Raw Data'!F469+Bill!$O$2</f>
        <v>20</v>
      </c>
      <c r="F467" s="43">
        <f>'Raw Data'!F469+Bill!$P$2</f>
        <v>25</v>
      </c>
      <c r="G467" s="43">
        <f>'Raw Data'!E469+Bill!$Q$2</f>
        <v>50</v>
      </c>
      <c r="H467" s="43">
        <f>('Raw Data'!F469+Bill!$R$2)</f>
        <v>20</v>
      </c>
      <c r="I467" s="36">
        <f>'Raw Data'!G469/100</f>
        <v>0</v>
      </c>
      <c r="K467" s="37">
        <f>Bill!$Y467</f>
        <v>46025</v>
      </c>
      <c r="L467" s="38">
        <f>Bill!$AA467*('Raw Data'!$E469+$L$2)</f>
        <v>0</v>
      </c>
      <c r="M467" s="38">
        <f>Bill!$AB467*('Raw Data'!$E469+$M$2)</f>
        <v>0</v>
      </c>
      <c r="N467" s="38">
        <f>(('Raw Data'!$F469 * 2)-10)*Bill!$AC467</f>
        <v>0</v>
      </c>
      <c r="O467" s="38">
        <f>('Raw Data'!F469+Bill!$O$2)*Bill!$AD467</f>
        <v>0</v>
      </c>
      <c r="P467" s="38">
        <f>('Raw Data'!F469+Bill!$P$2)*Bill!$AE467</f>
        <v>0</v>
      </c>
      <c r="Q467" s="38">
        <f>Bill!$Z467*('Raw Data'!$E469+$Q$2)</f>
        <v>0</v>
      </c>
      <c r="R467" s="38">
        <f>('Raw Data'!F469+Bill!$R$2)*Bill!$AF467</f>
        <v>0</v>
      </c>
      <c r="S467" s="48">
        <f>('Raw Data'!G469/100)*Bill!$AG467</f>
        <v>0</v>
      </c>
      <c r="T467" s="38">
        <f>SUM(Bill!$L467:$R467)</f>
        <v>0</v>
      </c>
      <c r="U467" s="53"/>
      <c r="V467" s="50"/>
      <c r="W467" s="38">
        <f>Bill!$U467-Bill!$T467</f>
        <v>0</v>
      </c>
      <c r="Y467" s="37">
        <f>'Raw Data'!D469</f>
        <v>46025</v>
      </c>
      <c r="Z467" s="47">
        <v>0.0</v>
      </c>
      <c r="AA467" s="47"/>
      <c r="AB467" s="47"/>
      <c r="AC467" s="47"/>
      <c r="AD467" s="47"/>
      <c r="AE467" s="47"/>
      <c r="AF467" s="47"/>
      <c r="AG467" s="47"/>
    </row>
    <row r="468" ht="15.75" customHeight="1">
      <c r="A468" s="35">
        <f>Bill!$Y468</f>
        <v>46026</v>
      </c>
      <c r="B468" s="43">
        <f>'Raw Data'!E470+Bill!$L$2</f>
        <v>20</v>
      </c>
      <c r="C468" s="43">
        <f>'Raw Data'!E470+Bill!$M$2</f>
        <v>25</v>
      </c>
      <c r="D468" s="43">
        <f>('Raw Data'!$F470*2)-10</f>
        <v>-10</v>
      </c>
      <c r="E468" s="43">
        <f>'Raw Data'!F470+Bill!$O$2</f>
        <v>20</v>
      </c>
      <c r="F468" s="43">
        <f>'Raw Data'!F470+Bill!$P$2</f>
        <v>25</v>
      </c>
      <c r="G468" s="43">
        <f>'Raw Data'!E470+Bill!$Q$2</f>
        <v>50</v>
      </c>
      <c r="H468" s="43">
        <f>('Raw Data'!F470+Bill!$R$2)</f>
        <v>20</v>
      </c>
      <c r="I468" s="36">
        <f>'Raw Data'!G470/100</f>
        <v>0</v>
      </c>
      <c r="K468" s="37">
        <f>Bill!$Y468</f>
        <v>46026</v>
      </c>
      <c r="L468" s="38">
        <f>Bill!$AA468*('Raw Data'!$E470+$L$2)</f>
        <v>0</v>
      </c>
      <c r="M468" s="38">
        <f>Bill!$AB468*('Raw Data'!$E470+$M$2)</f>
        <v>0</v>
      </c>
      <c r="N468" s="38">
        <f>(('Raw Data'!$F470 * 2)-10)*Bill!$AC468</f>
        <v>0</v>
      </c>
      <c r="O468" s="38">
        <f>('Raw Data'!F470+Bill!$O$2)*Bill!$AD468</f>
        <v>0</v>
      </c>
      <c r="P468" s="38">
        <f>('Raw Data'!F470+Bill!$P$2)*Bill!$AE468</f>
        <v>0</v>
      </c>
      <c r="Q468" s="38">
        <f>Bill!$Z468*('Raw Data'!$E470+$Q$2)</f>
        <v>0</v>
      </c>
      <c r="R468" s="38">
        <f>('Raw Data'!F470+Bill!$R$2)*Bill!$AF468</f>
        <v>0</v>
      </c>
      <c r="S468" s="48">
        <f>('Raw Data'!G470/100)*Bill!$AG468</f>
        <v>0</v>
      </c>
      <c r="T468" s="38">
        <f>SUM(Bill!$L468:$R468)</f>
        <v>0</v>
      </c>
      <c r="U468" s="53"/>
      <c r="V468" s="50"/>
      <c r="W468" s="38">
        <f>Bill!$U468-Bill!$T468</f>
        <v>0</v>
      </c>
      <c r="Y468" s="37">
        <f>'Raw Data'!D470</f>
        <v>46026</v>
      </c>
      <c r="Z468" s="47">
        <v>0.0</v>
      </c>
      <c r="AA468" s="47"/>
      <c r="AB468" s="47"/>
      <c r="AC468" s="47"/>
      <c r="AD468" s="47"/>
      <c r="AE468" s="47"/>
      <c r="AF468" s="47"/>
      <c r="AG468" s="47"/>
    </row>
    <row r="469" ht="15.75" customHeight="1">
      <c r="A469" s="35">
        <f>Bill!$Y469</f>
        <v>46027</v>
      </c>
      <c r="B469" s="43">
        <f>'Raw Data'!E471+Bill!$L$2</f>
        <v>20</v>
      </c>
      <c r="C469" s="43">
        <f>'Raw Data'!E471+Bill!$M$2</f>
        <v>25</v>
      </c>
      <c r="D469" s="43">
        <f>('Raw Data'!$F471*2)-10</f>
        <v>-10</v>
      </c>
      <c r="E469" s="43">
        <f>'Raw Data'!F471+Bill!$O$2</f>
        <v>20</v>
      </c>
      <c r="F469" s="43">
        <f>'Raw Data'!F471+Bill!$P$2</f>
        <v>25</v>
      </c>
      <c r="G469" s="43">
        <f>'Raw Data'!E471+Bill!$Q$2</f>
        <v>50</v>
      </c>
      <c r="H469" s="43">
        <f>('Raw Data'!F471+Bill!$R$2)</f>
        <v>20</v>
      </c>
      <c r="I469" s="36">
        <f>'Raw Data'!G471/100</f>
        <v>0</v>
      </c>
      <c r="K469" s="37">
        <f>Bill!$Y469</f>
        <v>46027</v>
      </c>
      <c r="L469" s="38">
        <f>Bill!$AA469*('Raw Data'!$E471+$L$2)</f>
        <v>0</v>
      </c>
      <c r="M469" s="38">
        <f>Bill!$AB469*('Raw Data'!$E471+$M$2)</f>
        <v>0</v>
      </c>
      <c r="N469" s="38">
        <f>(('Raw Data'!$F471 * 2)-10)*Bill!$AC469</f>
        <v>0</v>
      </c>
      <c r="O469" s="38">
        <f>('Raw Data'!F471+Bill!$O$2)*Bill!$AD469</f>
        <v>0</v>
      </c>
      <c r="P469" s="38">
        <f>('Raw Data'!F471+Bill!$P$2)*Bill!$AE469</f>
        <v>0</v>
      </c>
      <c r="Q469" s="38">
        <f>Bill!$Z469*('Raw Data'!$E471+$Q$2)</f>
        <v>0</v>
      </c>
      <c r="R469" s="38">
        <f>('Raw Data'!F471+Bill!$R$2)*Bill!$AF469</f>
        <v>0</v>
      </c>
      <c r="S469" s="48">
        <f>('Raw Data'!G471/100)*Bill!$AG469</f>
        <v>0</v>
      </c>
      <c r="T469" s="38">
        <f>SUM(Bill!$L469:$R469)</f>
        <v>0</v>
      </c>
      <c r="U469" s="53"/>
      <c r="V469" s="50"/>
      <c r="W469" s="38">
        <f>Bill!$U469-Bill!$T469</f>
        <v>0</v>
      </c>
      <c r="Y469" s="37">
        <f>'Raw Data'!D471</f>
        <v>46027</v>
      </c>
      <c r="Z469" s="47">
        <v>0.0</v>
      </c>
      <c r="AA469" s="47"/>
      <c r="AB469" s="47"/>
      <c r="AC469" s="47"/>
      <c r="AD469" s="47"/>
      <c r="AE469" s="47"/>
      <c r="AF469" s="47"/>
      <c r="AG469" s="47"/>
    </row>
    <row r="470" ht="15.75" customHeight="1">
      <c r="A470" s="35">
        <f>Bill!$Y470</f>
        <v>46028</v>
      </c>
      <c r="B470" s="43">
        <f>'Raw Data'!E472+Bill!$L$2</f>
        <v>20</v>
      </c>
      <c r="C470" s="43">
        <f>'Raw Data'!E472+Bill!$M$2</f>
        <v>25</v>
      </c>
      <c r="D470" s="43">
        <f>('Raw Data'!$F472*2)-10</f>
        <v>-10</v>
      </c>
      <c r="E470" s="43">
        <f>'Raw Data'!F472+Bill!$O$2</f>
        <v>20</v>
      </c>
      <c r="F470" s="43">
        <f>'Raw Data'!F472+Bill!$P$2</f>
        <v>25</v>
      </c>
      <c r="G470" s="43">
        <f>'Raw Data'!E472+Bill!$Q$2</f>
        <v>50</v>
      </c>
      <c r="H470" s="43">
        <f>('Raw Data'!F472+Bill!$R$2)</f>
        <v>20</v>
      </c>
      <c r="I470" s="36">
        <f>'Raw Data'!G472/100</f>
        <v>0</v>
      </c>
      <c r="K470" s="37">
        <f>Bill!$Y470</f>
        <v>46028</v>
      </c>
      <c r="L470" s="38">
        <f>Bill!$AA470*('Raw Data'!$E472+$L$2)</f>
        <v>0</v>
      </c>
      <c r="M470" s="38">
        <f>Bill!$AB470*('Raw Data'!$E472+$M$2)</f>
        <v>0</v>
      </c>
      <c r="N470" s="38">
        <f>(('Raw Data'!$F472 * 2)-10)*Bill!$AC470</f>
        <v>0</v>
      </c>
      <c r="O470" s="38">
        <f>('Raw Data'!F472+Bill!$O$2)*Bill!$AD470</f>
        <v>0</v>
      </c>
      <c r="P470" s="38">
        <f>('Raw Data'!F472+Bill!$P$2)*Bill!$AE470</f>
        <v>0</v>
      </c>
      <c r="Q470" s="38">
        <f>Bill!$Z470*('Raw Data'!$E472+$Q$2)</f>
        <v>0</v>
      </c>
      <c r="R470" s="38">
        <f>('Raw Data'!F472+Bill!$R$2)*Bill!$AF470</f>
        <v>0</v>
      </c>
      <c r="S470" s="48">
        <f>('Raw Data'!G472/100)*Bill!$AG470</f>
        <v>0</v>
      </c>
      <c r="T470" s="38">
        <f>SUM(Bill!$L470:$R470)</f>
        <v>0</v>
      </c>
      <c r="U470" s="53"/>
      <c r="V470" s="50"/>
      <c r="W470" s="38">
        <f>Bill!$U470-Bill!$T470</f>
        <v>0</v>
      </c>
      <c r="Y470" s="37">
        <f>'Raw Data'!D472</f>
        <v>46028</v>
      </c>
      <c r="Z470" s="47">
        <v>0.0</v>
      </c>
      <c r="AA470" s="47"/>
      <c r="AB470" s="47"/>
      <c r="AC470" s="47"/>
      <c r="AD470" s="47"/>
      <c r="AE470" s="47"/>
      <c r="AF470" s="47"/>
      <c r="AG470" s="47"/>
    </row>
    <row r="471" ht="15.75" customHeight="1">
      <c r="A471" s="35">
        <f>Bill!$Y471</f>
        <v>46029</v>
      </c>
      <c r="B471" s="43">
        <f>'Raw Data'!E473+Bill!$L$2</f>
        <v>20</v>
      </c>
      <c r="C471" s="43">
        <f>'Raw Data'!E473+Bill!$M$2</f>
        <v>25</v>
      </c>
      <c r="D471" s="43">
        <f>('Raw Data'!$F473*2)-10</f>
        <v>-10</v>
      </c>
      <c r="E471" s="43">
        <f>'Raw Data'!F473+Bill!$O$2</f>
        <v>20</v>
      </c>
      <c r="F471" s="43">
        <f>'Raw Data'!F473+Bill!$P$2</f>
        <v>25</v>
      </c>
      <c r="G471" s="43">
        <f>'Raw Data'!E473+Bill!$Q$2</f>
        <v>50</v>
      </c>
      <c r="H471" s="43">
        <f>('Raw Data'!F473+Bill!$R$2)</f>
        <v>20</v>
      </c>
      <c r="I471" s="36">
        <f>'Raw Data'!G473/100</f>
        <v>0</v>
      </c>
      <c r="K471" s="37">
        <f>Bill!$Y471</f>
        <v>46029</v>
      </c>
      <c r="L471" s="38">
        <f>Bill!$AA471*('Raw Data'!$E473+$L$2)</f>
        <v>0</v>
      </c>
      <c r="M471" s="38">
        <f>Bill!$AB471*('Raw Data'!$E473+$M$2)</f>
        <v>0</v>
      </c>
      <c r="N471" s="38">
        <f>(('Raw Data'!$F473 * 2)-10)*Bill!$AC471</f>
        <v>0</v>
      </c>
      <c r="O471" s="38">
        <f>('Raw Data'!F473+Bill!$O$2)*Bill!$AD471</f>
        <v>0</v>
      </c>
      <c r="P471" s="38">
        <f>('Raw Data'!F473+Bill!$P$2)*Bill!$AE471</f>
        <v>0</v>
      </c>
      <c r="Q471" s="38">
        <f>Bill!$Z471*('Raw Data'!$E473+$Q$2)</f>
        <v>0</v>
      </c>
      <c r="R471" s="38">
        <f>('Raw Data'!F473+Bill!$R$2)*Bill!$AF471</f>
        <v>0</v>
      </c>
      <c r="S471" s="48">
        <f>('Raw Data'!G473/100)*Bill!$AG471</f>
        <v>0</v>
      </c>
      <c r="T471" s="38">
        <f>SUM(Bill!$L471:$R471)</f>
        <v>0</v>
      </c>
      <c r="U471" s="53"/>
      <c r="V471" s="50"/>
      <c r="W471" s="38">
        <f>Bill!$U471-Bill!$T471</f>
        <v>0</v>
      </c>
      <c r="Y471" s="37">
        <f>'Raw Data'!D473</f>
        <v>46029</v>
      </c>
      <c r="Z471" s="47">
        <v>0.0</v>
      </c>
      <c r="AA471" s="47"/>
      <c r="AB471" s="47"/>
      <c r="AC471" s="47"/>
      <c r="AD471" s="47"/>
      <c r="AE471" s="47"/>
      <c r="AF471" s="47"/>
      <c r="AG471" s="47"/>
    </row>
    <row r="472" ht="15.75" customHeight="1">
      <c r="A472" s="35">
        <f>Bill!$Y472</f>
        <v>46030</v>
      </c>
      <c r="B472" s="43">
        <f>'Raw Data'!E474+Bill!$L$2</f>
        <v>20</v>
      </c>
      <c r="C472" s="43">
        <f>'Raw Data'!E474+Bill!$M$2</f>
        <v>25</v>
      </c>
      <c r="D472" s="43">
        <f>('Raw Data'!$F474*2)-10</f>
        <v>-10</v>
      </c>
      <c r="E472" s="43">
        <f>'Raw Data'!F474+Bill!$O$2</f>
        <v>20</v>
      </c>
      <c r="F472" s="43">
        <f>'Raw Data'!F474+Bill!$P$2</f>
        <v>25</v>
      </c>
      <c r="G472" s="43">
        <f>'Raw Data'!E474+Bill!$Q$2</f>
        <v>50</v>
      </c>
      <c r="H472" s="43">
        <f>('Raw Data'!F474+Bill!$R$2)</f>
        <v>20</v>
      </c>
      <c r="I472" s="36">
        <f>'Raw Data'!G474/100</f>
        <v>0</v>
      </c>
      <c r="K472" s="37">
        <f>Bill!$Y472</f>
        <v>46030</v>
      </c>
      <c r="L472" s="38">
        <f>Bill!$AA472*('Raw Data'!$E474+$L$2)</f>
        <v>0</v>
      </c>
      <c r="M472" s="38">
        <f>Bill!$AB472*('Raw Data'!$E474+$M$2)</f>
        <v>0</v>
      </c>
      <c r="N472" s="38">
        <f>(('Raw Data'!$F474 * 2)-10)*Bill!$AC472</f>
        <v>0</v>
      </c>
      <c r="O472" s="38">
        <f>('Raw Data'!F474+Bill!$O$2)*Bill!$AD472</f>
        <v>0</v>
      </c>
      <c r="P472" s="38">
        <f>('Raw Data'!F474+Bill!$P$2)*Bill!$AE472</f>
        <v>0</v>
      </c>
      <c r="Q472" s="38">
        <f>Bill!$Z472*('Raw Data'!$E474+$Q$2)</f>
        <v>0</v>
      </c>
      <c r="R472" s="38">
        <f>('Raw Data'!F474+Bill!$R$2)*Bill!$AF472</f>
        <v>0</v>
      </c>
      <c r="S472" s="48">
        <f>('Raw Data'!G474/100)*Bill!$AG472</f>
        <v>0</v>
      </c>
      <c r="T472" s="38">
        <f>SUM(Bill!$L472:$R472)</f>
        <v>0</v>
      </c>
      <c r="U472" s="53"/>
      <c r="V472" s="50"/>
      <c r="W472" s="38">
        <f>Bill!$U472-Bill!$T472</f>
        <v>0</v>
      </c>
      <c r="Y472" s="37">
        <f>'Raw Data'!D474</f>
        <v>46030</v>
      </c>
      <c r="Z472" s="47">
        <v>0.0</v>
      </c>
      <c r="AA472" s="47"/>
      <c r="AB472" s="47"/>
      <c r="AC472" s="47"/>
      <c r="AD472" s="47"/>
      <c r="AE472" s="47"/>
      <c r="AF472" s="47"/>
      <c r="AG472" s="47"/>
    </row>
    <row r="473" ht="15.75" customHeight="1">
      <c r="A473" s="35">
        <f>Bill!$Y473</f>
        <v>46031</v>
      </c>
      <c r="B473" s="43">
        <f>'Raw Data'!E475+Bill!$L$2</f>
        <v>20</v>
      </c>
      <c r="C473" s="43">
        <f>'Raw Data'!E475+Bill!$M$2</f>
        <v>25</v>
      </c>
      <c r="D473" s="43">
        <f>('Raw Data'!$F475*2)-10</f>
        <v>-10</v>
      </c>
      <c r="E473" s="43">
        <f>'Raw Data'!F475+Bill!$O$2</f>
        <v>20</v>
      </c>
      <c r="F473" s="43">
        <f>'Raw Data'!F475+Bill!$P$2</f>
        <v>25</v>
      </c>
      <c r="G473" s="43">
        <f>'Raw Data'!E475+Bill!$Q$2</f>
        <v>50</v>
      </c>
      <c r="H473" s="43">
        <f>('Raw Data'!F475+Bill!$R$2)</f>
        <v>20</v>
      </c>
      <c r="I473" s="36">
        <f>'Raw Data'!G475/100</f>
        <v>0</v>
      </c>
      <c r="K473" s="37">
        <f>Bill!$Y473</f>
        <v>46031</v>
      </c>
      <c r="L473" s="38">
        <f>Bill!$AA473*('Raw Data'!$E475+$L$2)</f>
        <v>0</v>
      </c>
      <c r="M473" s="38">
        <f>Bill!$AB473*('Raw Data'!$E475+$M$2)</f>
        <v>0</v>
      </c>
      <c r="N473" s="38">
        <f>(('Raw Data'!$F475 * 2)-10)*Bill!$AC473</f>
        <v>0</v>
      </c>
      <c r="O473" s="38">
        <f>('Raw Data'!F475+Bill!$O$2)*Bill!$AD473</f>
        <v>0</v>
      </c>
      <c r="P473" s="38">
        <f>('Raw Data'!F475+Bill!$P$2)*Bill!$AE473</f>
        <v>0</v>
      </c>
      <c r="Q473" s="38">
        <f>Bill!$Z473*('Raw Data'!$E475+$Q$2)</f>
        <v>0</v>
      </c>
      <c r="R473" s="38">
        <f>('Raw Data'!F475+Bill!$R$2)*Bill!$AF473</f>
        <v>0</v>
      </c>
      <c r="S473" s="48">
        <f>('Raw Data'!G475/100)*Bill!$AG473</f>
        <v>0</v>
      </c>
      <c r="T473" s="38">
        <f>SUM(Bill!$L473:$R473)</f>
        <v>0</v>
      </c>
      <c r="U473" s="53"/>
      <c r="V473" s="50"/>
      <c r="W473" s="38">
        <f>Bill!$U473-Bill!$T473</f>
        <v>0</v>
      </c>
      <c r="Y473" s="37">
        <f>'Raw Data'!D475</f>
        <v>46031</v>
      </c>
      <c r="Z473" s="47">
        <v>0.0</v>
      </c>
      <c r="AA473" s="47"/>
      <c r="AB473" s="47"/>
      <c r="AC473" s="47"/>
      <c r="AD473" s="47"/>
      <c r="AE473" s="47"/>
      <c r="AF473" s="47"/>
      <c r="AG473" s="47"/>
    </row>
    <row r="474" ht="15.75" customHeight="1">
      <c r="A474" s="35">
        <f>Bill!$Y474</f>
        <v>46032</v>
      </c>
      <c r="B474" s="43">
        <f>'Raw Data'!E476+Bill!$L$2</f>
        <v>20</v>
      </c>
      <c r="C474" s="43">
        <f>'Raw Data'!E476+Bill!$M$2</f>
        <v>25</v>
      </c>
      <c r="D474" s="43">
        <f>('Raw Data'!$F476*2)-10</f>
        <v>-10</v>
      </c>
      <c r="E474" s="43">
        <f>'Raw Data'!F476+Bill!$O$2</f>
        <v>20</v>
      </c>
      <c r="F474" s="43">
        <f>'Raw Data'!F476+Bill!$P$2</f>
        <v>25</v>
      </c>
      <c r="G474" s="43">
        <f>'Raw Data'!E476+Bill!$Q$2</f>
        <v>50</v>
      </c>
      <c r="H474" s="43">
        <f>('Raw Data'!F476+Bill!$R$2)</f>
        <v>20</v>
      </c>
      <c r="I474" s="36">
        <f>'Raw Data'!G476/100</f>
        <v>0</v>
      </c>
      <c r="K474" s="37">
        <f>Bill!$Y474</f>
        <v>46032</v>
      </c>
      <c r="L474" s="38">
        <f>Bill!$AA474*('Raw Data'!$E476+$L$2)</f>
        <v>0</v>
      </c>
      <c r="M474" s="38">
        <f>Bill!$AB474*('Raw Data'!$E476+$M$2)</f>
        <v>0</v>
      </c>
      <c r="N474" s="38">
        <f>(('Raw Data'!$F476 * 2)-10)*Bill!$AC474</f>
        <v>0</v>
      </c>
      <c r="O474" s="38">
        <f>('Raw Data'!F476+Bill!$O$2)*Bill!$AD474</f>
        <v>0</v>
      </c>
      <c r="P474" s="38">
        <f>('Raw Data'!F476+Bill!$P$2)*Bill!$AE474</f>
        <v>0</v>
      </c>
      <c r="Q474" s="38">
        <f>Bill!$Z474*('Raw Data'!$E476+$Q$2)</f>
        <v>0</v>
      </c>
      <c r="R474" s="38">
        <f>('Raw Data'!F476+Bill!$R$2)*Bill!$AF474</f>
        <v>0</v>
      </c>
      <c r="S474" s="48">
        <f>('Raw Data'!G476/100)*Bill!$AG474</f>
        <v>0</v>
      </c>
      <c r="T474" s="38">
        <f>SUM(Bill!$L474:$R474)</f>
        <v>0</v>
      </c>
      <c r="U474" s="53"/>
      <c r="V474" s="50"/>
      <c r="W474" s="38">
        <f>Bill!$U474-Bill!$T474</f>
        <v>0</v>
      </c>
      <c r="Y474" s="37">
        <f>'Raw Data'!D476</f>
        <v>46032</v>
      </c>
      <c r="Z474" s="47">
        <v>0.0</v>
      </c>
      <c r="AA474" s="47"/>
      <c r="AB474" s="47"/>
      <c r="AC474" s="47"/>
      <c r="AD474" s="47"/>
      <c r="AE474" s="47"/>
      <c r="AF474" s="47"/>
      <c r="AG474" s="47"/>
    </row>
    <row r="475" ht="15.75" customHeight="1">
      <c r="A475" s="35">
        <f>Bill!$Y475</f>
        <v>46033</v>
      </c>
      <c r="B475" s="43">
        <f>'Raw Data'!E477+Bill!$L$2</f>
        <v>20</v>
      </c>
      <c r="C475" s="43">
        <f>'Raw Data'!E477+Bill!$M$2</f>
        <v>25</v>
      </c>
      <c r="D475" s="43">
        <f>('Raw Data'!$F477*2)-10</f>
        <v>-10</v>
      </c>
      <c r="E475" s="43">
        <f>'Raw Data'!F477+Bill!$O$2</f>
        <v>20</v>
      </c>
      <c r="F475" s="43">
        <f>'Raw Data'!F477+Bill!$P$2</f>
        <v>25</v>
      </c>
      <c r="G475" s="43">
        <f>'Raw Data'!E477+Bill!$Q$2</f>
        <v>50</v>
      </c>
      <c r="H475" s="43">
        <f>('Raw Data'!F477+Bill!$R$2)</f>
        <v>20</v>
      </c>
      <c r="I475" s="36">
        <f>'Raw Data'!G477/100</f>
        <v>0</v>
      </c>
      <c r="K475" s="37">
        <f>Bill!$Y475</f>
        <v>46033</v>
      </c>
      <c r="L475" s="38">
        <f>Bill!$AA475*('Raw Data'!$E477+$L$2)</f>
        <v>0</v>
      </c>
      <c r="M475" s="38">
        <f>Bill!$AB475*('Raw Data'!$E477+$M$2)</f>
        <v>0</v>
      </c>
      <c r="N475" s="38">
        <f>(('Raw Data'!$F477 * 2)-10)*Bill!$AC475</f>
        <v>0</v>
      </c>
      <c r="O475" s="38">
        <f>('Raw Data'!F477+Bill!$O$2)*Bill!$AD475</f>
        <v>0</v>
      </c>
      <c r="P475" s="38">
        <f>('Raw Data'!F477+Bill!$P$2)*Bill!$AE475</f>
        <v>0</v>
      </c>
      <c r="Q475" s="38">
        <f>Bill!$Z475*('Raw Data'!$E477+$Q$2)</f>
        <v>0</v>
      </c>
      <c r="R475" s="38">
        <f>('Raw Data'!F477+Bill!$R$2)*Bill!$AF475</f>
        <v>0</v>
      </c>
      <c r="S475" s="48">
        <f>('Raw Data'!G477/100)*Bill!$AG475</f>
        <v>0</v>
      </c>
      <c r="T475" s="38">
        <f>SUM(Bill!$L475:$R475)</f>
        <v>0</v>
      </c>
      <c r="U475" s="53"/>
      <c r="V475" s="50"/>
      <c r="W475" s="38">
        <f>Bill!$U475-Bill!$T475</f>
        <v>0</v>
      </c>
      <c r="Y475" s="37">
        <f>'Raw Data'!D477</f>
        <v>46033</v>
      </c>
      <c r="Z475" s="47">
        <v>0.0</v>
      </c>
      <c r="AA475" s="47"/>
      <c r="AB475" s="47"/>
      <c r="AC475" s="47"/>
      <c r="AD475" s="47"/>
      <c r="AE475" s="47"/>
      <c r="AF475" s="47"/>
      <c r="AG475" s="47"/>
    </row>
    <row r="476" ht="15.75" customHeight="1">
      <c r="A476" s="35">
        <f>Bill!$Y476</f>
        <v>46034</v>
      </c>
      <c r="B476" s="43">
        <f>'Raw Data'!E478+Bill!$L$2</f>
        <v>20</v>
      </c>
      <c r="C476" s="43">
        <f>'Raw Data'!E478+Bill!$M$2</f>
        <v>25</v>
      </c>
      <c r="D476" s="43">
        <f>('Raw Data'!$F478*2)-10</f>
        <v>-10</v>
      </c>
      <c r="E476" s="43">
        <f>'Raw Data'!F478+Bill!$O$2</f>
        <v>20</v>
      </c>
      <c r="F476" s="43">
        <f>'Raw Data'!F478+Bill!$P$2</f>
        <v>25</v>
      </c>
      <c r="G476" s="43">
        <f>'Raw Data'!E478+Bill!$Q$2</f>
        <v>50</v>
      </c>
      <c r="H476" s="43">
        <f>('Raw Data'!F478+Bill!$R$2)</f>
        <v>20</v>
      </c>
      <c r="I476" s="36">
        <f>'Raw Data'!G478/100</f>
        <v>0</v>
      </c>
      <c r="K476" s="37">
        <f>Bill!$Y476</f>
        <v>46034</v>
      </c>
      <c r="L476" s="38">
        <f>Bill!$AA476*('Raw Data'!$E478+$L$2)</f>
        <v>0</v>
      </c>
      <c r="M476" s="38">
        <f>Bill!$AB476*('Raw Data'!$E478+$M$2)</f>
        <v>0</v>
      </c>
      <c r="N476" s="38">
        <f>(('Raw Data'!$F478 * 2)-10)*Bill!$AC476</f>
        <v>0</v>
      </c>
      <c r="O476" s="38">
        <f>('Raw Data'!F478+Bill!$O$2)*Bill!$AD476</f>
        <v>0</v>
      </c>
      <c r="P476" s="38">
        <f>('Raw Data'!F478+Bill!$P$2)*Bill!$AE476</f>
        <v>0</v>
      </c>
      <c r="Q476" s="38">
        <f>Bill!$Z476*('Raw Data'!$E478+$Q$2)</f>
        <v>0</v>
      </c>
      <c r="R476" s="38">
        <f>('Raw Data'!F478+Bill!$R$2)*Bill!$AF476</f>
        <v>0</v>
      </c>
      <c r="S476" s="48">
        <f>('Raw Data'!G478/100)*Bill!$AG476</f>
        <v>0</v>
      </c>
      <c r="T476" s="38">
        <f>SUM(Bill!$L476:$R476)</f>
        <v>0</v>
      </c>
      <c r="U476" s="53"/>
      <c r="V476" s="50"/>
      <c r="W476" s="38">
        <f>Bill!$U476-Bill!$T476</f>
        <v>0</v>
      </c>
      <c r="Y476" s="37">
        <f>'Raw Data'!D478</f>
        <v>46034</v>
      </c>
      <c r="Z476" s="47">
        <v>0.0</v>
      </c>
      <c r="AA476" s="47"/>
      <c r="AB476" s="47"/>
      <c r="AC476" s="47"/>
      <c r="AD476" s="47"/>
      <c r="AE476" s="47"/>
      <c r="AF476" s="47"/>
      <c r="AG476" s="47"/>
    </row>
    <row r="477" ht="15.75" customHeight="1">
      <c r="A477" s="35">
        <f>Bill!$Y477</f>
        <v>46035</v>
      </c>
      <c r="B477" s="43">
        <f>'Raw Data'!E479+Bill!$L$2</f>
        <v>20</v>
      </c>
      <c r="C477" s="43">
        <f>'Raw Data'!E479+Bill!$M$2</f>
        <v>25</v>
      </c>
      <c r="D477" s="43">
        <f>('Raw Data'!$F479*2)-10</f>
        <v>-10</v>
      </c>
      <c r="E477" s="43">
        <f>'Raw Data'!F479+Bill!$O$2</f>
        <v>20</v>
      </c>
      <c r="F477" s="43">
        <f>'Raw Data'!F479+Bill!$P$2</f>
        <v>25</v>
      </c>
      <c r="G477" s="43">
        <f>'Raw Data'!E479+Bill!$Q$2</f>
        <v>50</v>
      </c>
      <c r="H477" s="43">
        <f>('Raw Data'!F479+Bill!$R$2)</f>
        <v>20</v>
      </c>
      <c r="I477" s="36">
        <f>'Raw Data'!G479/100</f>
        <v>0</v>
      </c>
      <c r="K477" s="37">
        <f>Bill!$Y477</f>
        <v>46035</v>
      </c>
      <c r="L477" s="38">
        <f>Bill!$AA477*('Raw Data'!$E479+$L$2)</f>
        <v>0</v>
      </c>
      <c r="M477" s="38">
        <f>Bill!$AB477*('Raw Data'!$E479+$M$2)</f>
        <v>0</v>
      </c>
      <c r="N477" s="38">
        <f>(('Raw Data'!$F479 * 2)-10)*Bill!$AC477</f>
        <v>0</v>
      </c>
      <c r="O477" s="38">
        <f>('Raw Data'!F479+Bill!$O$2)*Bill!$AD477</f>
        <v>0</v>
      </c>
      <c r="P477" s="38">
        <f>('Raw Data'!F479+Bill!$P$2)*Bill!$AE477</f>
        <v>0</v>
      </c>
      <c r="Q477" s="38">
        <f>Bill!$Z477*('Raw Data'!$E479+$Q$2)</f>
        <v>0</v>
      </c>
      <c r="R477" s="38">
        <f>('Raw Data'!F479+Bill!$R$2)*Bill!$AF477</f>
        <v>0</v>
      </c>
      <c r="S477" s="48">
        <f>('Raw Data'!G479/100)*Bill!$AG477</f>
        <v>0</v>
      </c>
      <c r="T477" s="38">
        <f>SUM(Bill!$L477:$R477)</f>
        <v>0</v>
      </c>
      <c r="U477" s="53"/>
      <c r="V477" s="50"/>
      <c r="W477" s="38">
        <f>Bill!$U477-Bill!$T477</f>
        <v>0</v>
      </c>
      <c r="Y477" s="37">
        <f>'Raw Data'!D479</f>
        <v>46035</v>
      </c>
      <c r="Z477" s="47">
        <v>0.0</v>
      </c>
      <c r="AA477" s="47"/>
      <c r="AB477" s="47"/>
      <c r="AC477" s="47"/>
      <c r="AD477" s="47"/>
      <c r="AE477" s="47"/>
      <c r="AF477" s="47"/>
      <c r="AG477" s="47"/>
    </row>
    <row r="478" ht="15.75" customHeight="1">
      <c r="A478" s="35">
        <f>Bill!$Y478</f>
        <v>46036</v>
      </c>
      <c r="B478" s="43">
        <f>'Raw Data'!E480+Bill!$L$2</f>
        <v>20</v>
      </c>
      <c r="C478" s="43">
        <f>'Raw Data'!E480+Bill!$M$2</f>
        <v>25</v>
      </c>
      <c r="D478" s="43">
        <f>('Raw Data'!$F480*2)-10</f>
        <v>-10</v>
      </c>
      <c r="E478" s="43">
        <f>'Raw Data'!F480+Bill!$O$2</f>
        <v>20</v>
      </c>
      <c r="F478" s="43">
        <f>'Raw Data'!F480+Bill!$P$2</f>
        <v>25</v>
      </c>
      <c r="G478" s="43">
        <f>'Raw Data'!E480+Bill!$Q$2</f>
        <v>50</v>
      </c>
      <c r="H478" s="43">
        <f>('Raw Data'!F480+Bill!$R$2)</f>
        <v>20</v>
      </c>
      <c r="I478" s="36">
        <f>'Raw Data'!G480/100</f>
        <v>0</v>
      </c>
      <c r="K478" s="37">
        <f>Bill!$Y478</f>
        <v>46036</v>
      </c>
      <c r="L478" s="38">
        <f>Bill!$AA478*('Raw Data'!$E480+$L$2)</f>
        <v>0</v>
      </c>
      <c r="M478" s="38">
        <f>Bill!$AB478*('Raw Data'!$E480+$M$2)</f>
        <v>0</v>
      </c>
      <c r="N478" s="38">
        <f>(('Raw Data'!$F480 * 2)-10)*Bill!$AC478</f>
        <v>0</v>
      </c>
      <c r="O478" s="38">
        <f>('Raw Data'!F480+Bill!$O$2)*Bill!$AD478</f>
        <v>0</v>
      </c>
      <c r="P478" s="38">
        <f>('Raw Data'!F480+Bill!$P$2)*Bill!$AE478</f>
        <v>0</v>
      </c>
      <c r="Q478" s="38">
        <f>Bill!$Z478*('Raw Data'!$E480+$Q$2)</f>
        <v>0</v>
      </c>
      <c r="R478" s="38">
        <f>('Raw Data'!F480+Bill!$R$2)*Bill!$AF478</f>
        <v>0</v>
      </c>
      <c r="S478" s="48">
        <f>('Raw Data'!G480/100)*Bill!$AG478</f>
        <v>0</v>
      </c>
      <c r="T478" s="38">
        <f>SUM(Bill!$L478:$R478)</f>
        <v>0</v>
      </c>
      <c r="U478" s="53"/>
      <c r="V478" s="50"/>
      <c r="W478" s="38">
        <f>Bill!$U478-Bill!$T478</f>
        <v>0</v>
      </c>
      <c r="Y478" s="37">
        <f>'Raw Data'!D480</f>
        <v>46036</v>
      </c>
      <c r="Z478" s="47">
        <v>0.0</v>
      </c>
      <c r="AA478" s="47"/>
      <c r="AB478" s="47"/>
      <c r="AC478" s="47"/>
      <c r="AD478" s="47"/>
      <c r="AE478" s="47"/>
      <c r="AF478" s="47"/>
      <c r="AG478" s="47"/>
    </row>
    <row r="479" ht="15.75" customHeight="1">
      <c r="A479" s="35">
        <f>Bill!$Y479</f>
        <v>46037</v>
      </c>
      <c r="B479" s="43">
        <f>'Raw Data'!E481+Bill!$L$2</f>
        <v>20</v>
      </c>
      <c r="C479" s="43">
        <f>'Raw Data'!E481+Bill!$M$2</f>
        <v>25</v>
      </c>
      <c r="D479" s="43">
        <f>('Raw Data'!$F481*2)-10</f>
        <v>-10</v>
      </c>
      <c r="E479" s="43">
        <f>'Raw Data'!F481+Bill!$O$2</f>
        <v>20</v>
      </c>
      <c r="F479" s="43">
        <f>'Raw Data'!F481+Bill!$P$2</f>
        <v>25</v>
      </c>
      <c r="G479" s="43">
        <f>'Raw Data'!E481+Bill!$Q$2</f>
        <v>50</v>
      </c>
      <c r="H479" s="43">
        <f>('Raw Data'!F481+Bill!$R$2)</f>
        <v>20</v>
      </c>
      <c r="I479" s="36">
        <f>'Raw Data'!G481/100</f>
        <v>0</v>
      </c>
      <c r="K479" s="37">
        <f>Bill!$Y479</f>
        <v>46037</v>
      </c>
      <c r="L479" s="38">
        <f>Bill!$AA479*('Raw Data'!$E481+$L$2)</f>
        <v>0</v>
      </c>
      <c r="M479" s="38">
        <f>Bill!$AB479*('Raw Data'!$E481+$M$2)</f>
        <v>0</v>
      </c>
      <c r="N479" s="38">
        <f>(('Raw Data'!$F481 * 2)-10)*Bill!$AC479</f>
        <v>0</v>
      </c>
      <c r="O479" s="38">
        <f>('Raw Data'!F481+Bill!$O$2)*Bill!$AD479</f>
        <v>0</v>
      </c>
      <c r="P479" s="38">
        <f>('Raw Data'!F481+Bill!$P$2)*Bill!$AE479</f>
        <v>0</v>
      </c>
      <c r="Q479" s="38">
        <f>Bill!$Z479*('Raw Data'!$E481+$Q$2)</f>
        <v>0</v>
      </c>
      <c r="R479" s="38">
        <f>('Raw Data'!F481+Bill!$R$2)*Bill!$AF479</f>
        <v>0</v>
      </c>
      <c r="S479" s="48">
        <f>('Raw Data'!G481/100)*Bill!$AG479</f>
        <v>0</v>
      </c>
      <c r="T479" s="38">
        <f>SUM(Bill!$L479:$R479)</f>
        <v>0</v>
      </c>
      <c r="U479" s="53"/>
      <c r="V479" s="50"/>
      <c r="W479" s="38">
        <f>Bill!$U479-Bill!$T479</f>
        <v>0</v>
      </c>
      <c r="Y479" s="37">
        <f>'Raw Data'!D481</f>
        <v>46037</v>
      </c>
      <c r="Z479" s="47">
        <v>0.0</v>
      </c>
      <c r="AA479" s="47"/>
      <c r="AB479" s="47"/>
      <c r="AC479" s="47"/>
      <c r="AD479" s="47"/>
      <c r="AE479" s="47"/>
      <c r="AF479" s="47"/>
      <c r="AG479" s="47"/>
    </row>
    <row r="480" ht="15.75" customHeight="1">
      <c r="A480" s="35">
        <f>Bill!$Y480</f>
        <v>46038</v>
      </c>
      <c r="B480" s="43">
        <f>'Raw Data'!E482+Bill!$L$2</f>
        <v>20</v>
      </c>
      <c r="C480" s="43">
        <f>'Raw Data'!E482+Bill!$M$2</f>
        <v>25</v>
      </c>
      <c r="D480" s="43">
        <f>('Raw Data'!$F482*2)-10</f>
        <v>-10</v>
      </c>
      <c r="E480" s="43">
        <f>'Raw Data'!F482+Bill!$O$2</f>
        <v>20</v>
      </c>
      <c r="F480" s="43">
        <f>'Raw Data'!F482+Bill!$P$2</f>
        <v>25</v>
      </c>
      <c r="G480" s="43">
        <f>'Raw Data'!E482+Bill!$Q$2</f>
        <v>50</v>
      </c>
      <c r="H480" s="43">
        <f>('Raw Data'!F482+Bill!$R$2)</f>
        <v>20</v>
      </c>
      <c r="I480" s="36">
        <f>'Raw Data'!G482/100</f>
        <v>0</v>
      </c>
      <c r="K480" s="37">
        <f>Bill!$Y480</f>
        <v>46038</v>
      </c>
      <c r="L480" s="38">
        <f>Bill!$AA480*('Raw Data'!$E482+$L$2)</f>
        <v>0</v>
      </c>
      <c r="M480" s="38">
        <f>Bill!$AB480*('Raw Data'!$E482+$M$2)</f>
        <v>0</v>
      </c>
      <c r="N480" s="38">
        <f>(('Raw Data'!$F482 * 2)-10)*Bill!$AC480</f>
        <v>0</v>
      </c>
      <c r="O480" s="38">
        <f>('Raw Data'!F482+Bill!$O$2)*Bill!$AD480</f>
        <v>0</v>
      </c>
      <c r="P480" s="38">
        <f>('Raw Data'!F482+Bill!$P$2)*Bill!$AE480</f>
        <v>0</v>
      </c>
      <c r="Q480" s="38">
        <f>Bill!$Z480*('Raw Data'!$E482+$Q$2)</f>
        <v>0</v>
      </c>
      <c r="R480" s="38">
        <f>('Raw Data'!F482+Bill!$R$2)*Bill!$AF480</f>
        <v>0</v>
      </c>
      <c r="S480" s="48">
        <f>('Raw Data'!G482/100)*Bill!$AG480</f>
        <v>0</v>
      </c>
      <c r="T480" s="38">
        <f>SUM(Bill!$L480:$R480)</f>
        <v>0</v>
      </c>
      <c r="U480" s="53"/>
      <c r="V480" s="50"/>
      <c r="W480" s="38">
        <f>Bill!$U480-Bill!$T480</f>
        <v>0</v>
      </c>
      <c r="Y480" s="37">
        <f>'Raw Data'!D482</f>
        <v>46038</v>
      </c>
      <c r="Z480" s="47">
        <v>0.0</v>
      </c>
      <c r="AA480" s="47"/>
      <c r="AB480" s="47"/>
      <c r="AC480" s="47"/>
      <c r="AD480" s="47"/>
      <c r="AE480" s="47"/>
      <c r="AF480" s="47"/>
      <c r="AG480" s="47"/>
    </row>
    <row r="481" ht="15.75" customHeight="1">
      <c r="A481" s="35">
        <f>Bill!$Y481</f>
        <v>46039</v>
      </c>
      <c r="B481" s="43">
        <f>'Raw Data'!E483+Bill!$L$2</f>
        <v>20</v>
      </c>
      <c r="C481" s="43">
        <f>'Raw Data'!E483+Bill!$M$2</f>
        <v>25</v>
      </c>
      <c r="D481" s="43">
        <f>('Raw Data'!$F483*2)-10</f>
        <v>-10</v>
      </c>
      <c r="E481" s="43">
        <f>'Raw Data'!F483+Bill!$O$2</f>
        <v>20</v>
      </c>
      <c r="F481" s="43">
        <f>'Raw Data'!F483+Bill!$P$2</f>
        <v>25</v>
      </c>
      <c r="G481" s="43">
        <f>'Raw Data'!E483+Bill!$Q$2</f>
        <v>50</v>
      </c>
      <c r="H481" s="43">
        <f>('Raw Data'!F483+Bill!$R$2)</f>
        <v>20</v>
      </c>
      <c r="I481" s="36">
        <f>'Raw Data'!G483/100</f>
        <v>0</v>
      </c>
      <c r="K481" s="37">
        <f>Bill!$Y481</f>
        <v>46039</v>
      </c>
      <c r="L481" s="38">
        <f>Bill!$AA481*('Raw Data'!$E483+$L$2)</f>
        <v>0</v>
      </c>
      <c r="M481" s="38">
        <f>Bill!$AB481*('Raw Data'!$E483+$M$2)</f>
        <v>0</v>
      </c>
      <c r="N481" s="38">
        <f>(('Raw Data'!$F483 * 2)-10)*Bill!$AC481</f>
        <v>0</v>
      </c>
      <c r="O481" s="38">
        <f>('Raw Data'!F483+Bill!$O$2)*Bill!$AD481</f>
        <v>0</v>
      </c>
      <c r="P481" s="38">
        <f>('Raw Data'!F483+Bill!$P$2)*Bill!$AE481</f>
        <v>0</v>
      </c>
      <c r="Q481" s="38">
        <f>Bill!$Z481*('Raw Data'!$E483+$Q$2)</f>
        <v>0</v>
      </c>
      <c r="R481" s="38">
        <f>('Raw Data'!F483+Bill!$R$2)*Bill!$AF481</f>
        <v>0</v>
      </c>
      <c r="S481" s="48">
        <f>('Raw Data'!G483/100)*Bill!$AG481</f>
        <v>0</v>
      </c>
      <c r="T481" s="38">
        <f>SUM(Bill!$L481:$R481)</f>
        <v>0</v>
      </c>
      <c r="U481" s="53"/>
      <c r="V481" s="50"/>
      <c r="W481" s="38">
        <f>Bill!$U481-Bill!$T481</f>
        <v>0</v>
      </c>
      <c r="Y481" s="37">
        <f>'Raw Data'!D483</f>
        <v>46039</v>
      </c>
      <c r="Z481" s="47">
        <v>0.0</v>
      </c>
      <c r="AA481" s="47"/>
      <c r="AB481" s="47"/>
      <c r="AC481" s="47"/>
      <c r="AD481" s="47"/>
      <c r="AE481" s="47"/>
      <c r="AF481" s="47"/>
      <c r="AG481" s="47"/>
    </row>
    <row r="482" ht="15.75" customHeight="1">
      <c r="A482" s="35">
        <f>Bill!$Y482</f>
        <v>46040</v>
      </c>
      <c r="B482" s="43">
        <f>'Raw Data'!E484+Bill!$L$2</f>
        <v>20</v>
      </c>
      <c r="C482" s="43">
        <f>'Raw Data'!E484+Bill!$M$2</f>
        <v>25</v>
      </c>
      <c r="D482" s="43">
        <f>('Raw Data'!$F484*2)-10</f>
        <v>-10</v>
      </c>
      <c r="E482" s="43">
        <f>'Raw Data'!F484+Bill!$O$2</f>
        <v>20</v>
      </c>
      <c r="F482" s="43">
        <f>'Raw Data'!F484+Bill!$P$2</f>
        <v>25</v>
      </c>
      <c r="G482" s="43">
        <f>'Raw Data'!E484+Bill!$Q$2</f>
        <v>50</v>
      </c>
      <c r="H482" s="43">
        <f>('Raw Data'!F484+Bill!$R$2)</f>
        <v>20</v>
      </c>
      <c r="I482" s="36">
        <f>'Raw Data'!G484/100</f>
        <v>0</v>
      </c>
      <c r="K482" s="37">
        <f>Bill!$Y482</f>
        <v>46040</v>
      </c>
      <c r="L482" s="38">
        <f>Bill!$AA482*('Raw Data'!$E484+$L$2)</f>
        <v>0</v>
      </c>
      <c r="M482" s="38">
        <f>Bill!$AB482*('Raw Data'!$E484+$M$2)</f>
        <v>0</v>
      </c>
      <c r="N482" s="38">
        <f>(('Raw Data'!$F484 * 2)-10)*Bill!$AC482</f>
        <v>0</v>
      </c>
      <c r="O482" s="38">
        <f>('Raw Data'!F484+Bill!$O$2)*Bill!$AD482</f>
        <v>0</v>
      </c>
      <c r="P482" s="38">
        <f>('Raw Data'!F484+Bill!$P$2)*Bill!$AE482</f>
        <v>0</v>
      </c>
      <c r="Q482" s="38">
        <f>Bill!$Z482*('Raw Data'!$E484+$Q$2)</f>
        <v>0</v>
      </c>
      <c r="R482" s="38">
        <f>('Raw Data'!F484+Bill!$R$2)*Bill!$AF482</f>
        <v>0</v>
      </c>
      <c r="S482" s="48">
        <f>('Raw Data'!G484/100)*Bill!$AG482</f>
        <v>0</v>
      </c>
      <c r="T482" s="38">
        <f>SUM(Bill!$L482:$R482)</f>
        <v>0</v>
      </c>
      <c r="U482" s="53"/>
      <c r="V482" s="50"/>
      <c r="W482" s="38">
        <f>Bill!$U482-Bill!$T482</f>
        <v>0</v>
      </c>
      <c r="Y482" s="37">
        <f>'Raw Data'!D484</f>
        <v>46040</v>
      </c>
      <c r="Z482" s="47">
        <v>0.0</v>
      </c>
      <c r="AA482" s="47"/>
      <c r="AB482" s="47"/>
      <c r="AC482" s="47"/>
      <c r="AD482" s="47"/>
      <c r="AE482" s="47"/>
      <c r="AF482" s="47"/>
      <c r="AG482" s="47"/>
    </row>
    <row r="483" ht="15.75" customHeight="1">
      <c r="A483" s="35">
        <f>Bill!$Y483</f>
        <v>46041</v>
      </c>
      <c r="B483" s="43">
        <f>'Raw Data'!E485+Bill!$L$2</f>
        <v>20</v>
      </c>
      <c r="C483" s="43">
        <f>'Raw Data'!E485+Bill!$M$2</f>
        <v>25</v>
      </c>
      <c r="D483" s="43">
        <f>('Raw Data'!$F485*2)-10</f>
        <v>-10</v>
      </c>
      <c r="E483" s="43">
        <f>'Raw Data'!F485+Bill!$O$2</f>
        <v>20</v>
      </c>
      <c r="F483" s="43">
        <f>'Raw Data'!F485+Bill!$P$2</f>
        <v>25</v>
      </c>
      <c r="G483" s="43">
        <f>'Raw Data'!E485+Bill!$Q$2</f>
        <v>50</v>
      </c>
      <c r="H483" s="43">
        <f>('Raw Data'!F485+Bill!$R$2)</f>
        <v>20</v>
      </c>
      <c r="I483" s="36">
        <f>'Raw Data'!G485/100</f>
        <v>0</v>
      </c>
      <c r="K483" s="37">
        <f>Bill!$Y483</f>
        <v>46041</v>
      </c>
      <c r="L483" s="38">
        <f>Bill!$AA483*('Raw Data'!$E485+$L$2)</f>
        <v>0</v>
      </c>
      <c r="M483" s="38">
        <f>Bill!$AB483*('Raw Data'!$E485+$M$2)</f>
        <v>0</v>
      </c>
      <c r="N483" s="38">
        <f>(('Raw Data'!$F485 * 2)-10)*Bill!$AC483</f>
        <v>0</v>
      </c>
      <c r="O483" s="38">
        <f>('Raw Data'!F485+Bill!$O$2)*Bill!$AD483</f>
        <v>0</v>
      </c>
      <c r="P483" s="38">
        <f>('Raw Data'!F485+Bill!$P$2)*Bill!$AE483</f>
        <v>0</v>
      </c>
      <c r="Q483" s="38">
        <f>Bill!$Z483*('Raw Data'!$E485+$Q$2)</f>
        <v>0</v>
      </c>
      <c r="R483" s="38">
        <f>('Raw Data'!F485+Bill!$R$2)*Bill!$AF483</f>
        <v>0</v>
      </c>
      <c r="S483" s="48">
        <f>('Raw Data'!G485/100)*Bill!$AG483</f>
        <v>0</v>
      </c>
      <c r="T483" s="38">
        <f>SUM(Bill!$L483:$R483)</f>
        <v>0</v>
      </c>
      <c r="U483" s="53"/>
      <c r="V483" s="50"/>
      <c r="W483" s="38">
        <f>Bill!$U483-Bill!$T483</f>
        <v>0</v>
      </c>
      <c r="Y483" s="37">
        <f>'Raw Data'!D485</f>
        <v>46041</v>
      </c>
      <c r="Z483" s="47">
        <v>0.0</v>
      </c>
      <c r="AA483" s="47"/>
      <c r="AB483" s="47"/>
      <c r="AC483" s="47"/>
      <c r="AD483" s="47"/>
      <c r="AE483" s="47"/>
      <c r="AF483" s="47"/>
      <c r="AG483" s="47"/>
    </row>
    <row r="484" ht="15.75" customHeight="1">
      <c r="A484" s="35">
        <f>Bill!$Y484</f>
        <v>46042</v>
      </c>
      <c r="B484" s="43">
        <f>'Raw Data'!E486+Bill!$L$2</f>
        <v>20</v>
      </c>
      <c r="C484" s="43">
        <f>'Raw Data'!E486+Bill!$M$2</f>
        <v>25</v>
      </c>
      <c r="D484" s="43">
        <f>('Raw Data'!$F486*2)-10</f>
        <v>-10</v>
      </c>
      <c r="E484" s="43">
        <f>'Raw Data'!F486+Bill!$O$2</f>
        <v>20</v>
      </c>
      <c r="F484" s="43">
        <f>'Raw Data'!F486+Bill!$P$2</f>
        <v>25</v>
      </c>
      <c r="G484" s="43">
        <f>'Raw Data'!E486+Bill!$Q$2</f>
        <v>50</v>
      </c>
      <c r="H484" s="43">
        <f>('Raw Data'!F486+Bill!$R$2)</f>
        <v>20</v>
      </c>
      <c r="I484" s="36">
        <f>'Raw Data'!G486/100</f>
        <v>0</v>
      </c>
      <c r="K484" s="37">
        <f>Bill!$Y484</f>
        <v>46042</v>
      </c>
      <c r="L484" s="38">
        <f>Bill!$AA484*('Raw Data'!$E486+$L$2)</f>
        <v>0</v>
      </c>
      <c r="M484" s="38">
        <f>Bill!$AB484*('Raw Data'!$E486+$M$2)</f>
        <v>0</v>
      </c>
      <c r="N484" s="38">
        <f>(('Raw Data'!$F486 * 2)-10)*Bill!$AC484</f>
        <v>0</v>
      </c>
      <c r="O484" s="38">
        <f>('Raw Data'!F486+Bill!$O$2)*Bill!$AD484</f>
        <v>0</v>
      </c>
      <c r="P484" s="38">
        <f>('Raw Data'!F486+Bill!$P$2)*Bill!$AE484</f>
        <v>0</v>
      </c>
      <c r="Q484" s="38">
        <f>Bill!$Z484*('Raw Data'!$E486+$Q$2)</f>
        <v>0</v>
      </c>
      <c r="R484" s="38">
        <f>('Raw Data'!F486+Bill!$R$2)*Bill!$AF484</f>
        <v>0</v>
      </c>
      <c r="S484" s="48">
        <f>('Raw Data'!G486/100)*Bill!$AG484</f>
        <v>0</v>
      </c>
      <c r="T484" s="38">
        <f>SUM(Bill!$L484:$R484)</f>
        <v>0</v>
      </c>
      <c r="U484" s="53"/>
      <c r="V484" s="50"/>
      <c r="W484" s="38">
        <f>Bill!$U484-Bill!$T484</f>
        <v>0</v>
      </c>
      <c r="Y484" s="37">
        <f>'Raw Data'!D486</f>
        <v>46042</v>
      </c>
      <c r="Z484" s="47">
        <v>0.0</v>
      </c>
      <c r="AA484" s="47"/>
      <c r="AB484" s="47"/>
      <c r="AC484" s="47"/>
      <c r="AD484" s="47"/>
      <c r="AE484" s="47"/>
      <c r="AF484" s="47"/>
      <c r="AG484" s="47"/>
    </row>
    <row r="485" ht="15.75" customHeight="1">
      <c r="A485" s="35">
        <f>Bill!$Y485</f>
        <v>46043</v>
      </c>
      <c r="B485" s="43">
        <f>'Raw Data'!E487+Bill!$L$2</f>
        <v>20</v>
      </c>
      <c r="C485" s="43">
        <f>'Raw Data'!E487+Bill!$M$2</f>
        <v>25</v>
      </c>
      <c r="D485" s="43">
        <f>('Raw Data'!$F487*2)-10</f>
        <v>-10</v>
      </c>
      <c r="E485" s="43">
        <f>'Raw Data'!F487+Bill!$O$2</f>
        <v>20</v>
      </c>
      <c r="F485" s="43">
        <f>'Raw Data'!F487+Bill!$P$2</f>
        <v>25</v>
      </c>
      <c r="G485" s="43">
        <f>'Raw Data'!E487+Bill!$Q$2</f>
        <v>50</v>
      </c>
      <c r="H485" s="43">
        <f>('Raw Data'!F487+Bill!$R$2)</f>
        <v>20</v>
      </c>
      <c r="I485" s="36">
        <f>'Raw Data'!G487/100</f>
        <v>0</v>
      </c>
      <c r="K485" s="37">
        <f>Bill!$Y485</f>
        <v>46043</v>
      </c>
      <c r="L485" s="38">
        <f>Bill!$AA485*('Raw Data'!$E487+$L$2)</f>
        <v>0</v>
      </c>
      <c r="M485" s="38">
        <f>Bill!$AB485*('Raw Data'!$E487+$M$2)</f>
        <v>0</v>
      </c>
      <c r="N485" s="38">
        <f>(('Raw Data'!$F487 * 2)-10)*Bill!$AC485</f>
        <v>0</v>
      </c>
      <c r="O485" s="38">
        <f>('Raw Data'!F487+Bill!$O$2)*Bill!$AD485</f>
        <v>0</v>
      </c>
      <c r="P485" s="38">
        <f>('Raw Data'!F487+Bill!$P$2)*Bill!$AE485</f>
        <v>0</v>
      </c>
      <c r="Q485" s="38">
        <f>Bill!$Z485*('Raw Data'!$E487+$Q$2)</f>
        <v>0</v>
      </c>
      <c r="R485" s="38">
        <f>('Raw Data'!F487+Bill!$R$2)*Bill!$AF485</f>
        <v>0</v>
      </c>
      <c r="S485" s="48">
        <f>('Raw Data'!G487/100)*Bill!$AG485</f>
        <v>0</v>
      </c>
      <c r="T485" s="38">
        <f>SUM(Bill!$L485:$R485)</f>
        <v>0</v>
      </c>
      <c r="U485" s="53"/>
      <c r="V485" s="50"/>
      <c r="W485" s="38">
        <f>Bill!$U485-Bill!$T485</f>
        <v>0</v>
      </c>
      <c r="Y485" s="37">
        <f>'Raw Data'!D487</f>
        <v>46043</v>
      </c>
      <c r="Z485" s="47">
        <v>0.0</v>
      </c>
      <c r="AA485" s="47"/>
      <c r="AB485" s="47"/>
      <c r="AC485" s="47"/>
      <c r="AD485" s="47"/>
      <c r="AE485" s="47"/>
      <c r="AF485" s="47"/>
      <c r="AG485" s="47"/>
    </row>
    <row r="486" ht="15.75" customHeight="1">
      <c r="A486" s="35">
        <f>Bill!$Y486</f>
        <v>46044</v>
      </c>
      <c r="B486" s="43">
        <f>'Raw Data'!E488+Bill!$L$2</f>
        <v>20</v>
      </c>
      <c r="C486" s="43">
        <f>'Raw Data'!E488+Bill!$M$2</f>
        <v>25</v>
      </c>
      <c r="D486" s="43">
        <f>('Raw Data'!$F488*2)-10</f>
        <v>-10</v>
      </c>
      <c r="E486" s="43">
        <f>'Raw Data'!F488+Bill!$O$2</f>
        <v>20</v>
      </c>
      <c r="F486" s="43">
        <f>'Raw Data'!F488+Bill!$P$2</f>
        <v>25</v>
      </c>
      <c r="G486" s="43">
        <f>'Raw Data'!E488+Bill!$Q$2</f>
        <v>50</v>
      </c>
      <c r="H486" s="43">
        <f>('Raw Data'!F488+Bill!$R$2)</f>
        <v>20</v>
      </c>
      <c r="I486" s="36">
        <f>'Raw Data'!G488/100</f>
        <v>0</v>
      </c>
      <c r="K486" s="37">
        <f>Bill!$Y486</f>
        <v>46044</v>
      </c>
      <c r="L486" s="38">
        <f>Bill!$AA486*('Raw Data'!$E488+$L$2)</f>
        <v>0</v>
      </c>
      <c r="M486" s="38">
        <f>Bill!$AB486*('Raw Data'!$E488+$M$2)</f>
        <v>0</v>
      </c>
      <c r="N486" s="38">
        <f>(('Raw Data'!$F488 * 2)-10)*Bill!$AC486</f>
        <v>0</v>
      </c>
      <c r="O486" s="38">
        <f>('Raw Data'!F488+Bill!$O$2)*Bill!$AD486</f>
        <v>0</v>
      </c>
      <c r="P486" s="38">
        <f>('Raw Data'!F488+Bill!$P$2)*Bill!$AE486</f>
        <v>0</v>
      </c>
      <c r="Q486" s="38">
        <f>Bill!$Z486*('Raw Data'!$E488+$Q$2)</f>
        <v>0</v>
      </c>
      <c r="R486" s="38">
        <f>('Raw Data'!F488+Bill!$R$2)*Bill!$AF486</f>
        <v>0</v>
      </c>
      <c r="S486" s="48">
        <f>('Raw Data'!G488/100)*Bill!$AG486</f>
        <v>0</v>
      </c>
      <c r="T486" s="38">
        <f>SUM(Bill!$L486:$R486)</f>
        <v>0</v>
      </c>
      <c r="U486" s="53"/>
      <c r="V486" s="50"/>
      <c r="W486" s="38">
        <f>Bill!$U486-Bill!$T486</f>
        <v>0</v>
      </c>
      <c r="Y486" s="37">
        <f>'Raw Data'!D488</f>
        <v>46044</v>
      </c>
      <c r="Z486" s="47">
        <v>0.0</v>
      </c>
      <c r="AA486" s="47"/>
      <c r="AB486" s="47"/>
      <c r="AC486" s="47"/>
      <c r="AD486" s="47"/>
      <c r="AE486" s="47"/>
      <c r="AF486" s="47"/>
      <c r="AG486" s="47"/>
    </row>
    <row r="487" ht="15.75" customHeight="1">
      <c r="A487" s="35">
        <f>Bill!$Y487</f>
        <v>46045</v>
      </c>
      <c r="B487" s="43">
        <f>'Raw Data'!E489+Bill!$L$2</f>
        <v>20</v>
      </c>
      <c r="C487" s="43">
        <f>'Raw Data'!E489+Bill!$M$2</f>
        <v>25</v>
      </c>
      <c r="D487" s="43">
        <f>('Raw Data'!$F489*2)-10</f>
        <v>-10</v>
      </c>
      <c r="E487" s="43">
        <f>'Raw Data'!F489+Bill!$O$2</f>
        <v>20</v>
      </c>
      <c r="F487" s="43">
        <f>'Raw Data'!F489+Bill!$P$2</f>
        <v>25</v>
      </c>
      <c r="G487" s="43">
        <f>'Raw Data'!E489+Bill!$Q$2</f>
        <v>50</v>
      </c>
      <c r="H487" s="43">
        <f>('Raw Data'!F489+Bill!$R$2)</f>
        <v>20</v>
      </c>
      <c r="I487" s="36">
        <f>'Raw Data'!G489/100</f>
        <v>0</v>
      </c>
      <c r="K487" s="37">
        <f>Bill!$Y487</f>
        <v>46045</v>
      </c>
      <c r="L487" s="38">
        <f>Bill!$AA487*('Raw Data'!$E489+$L$2)</f>
        <v>0</v>
      </c>
      <c r="M487" s="38">
        <f>Bill!$AB487*('Raw Data'!$E489+$M$2)</f>
        <v>0</v>
      </c>
      <c r="N487" s="38">
        <f>(('Raw Data'!$F489 * 2)-10)*Bill!$AC487</f>
        <v>0</v>
      </c>
      <c r="O487" s="38">
        <f>('Raw Data'!F489+Bill!$O$2)*Bill!$AD487</f>
        <v>0</v>
      </c>
      <c r="P487" s="38">
        <f>('Raw Data'!F489+Bill!$P$2)*Bill!$AE487</f>
        <v>0</v>
      </c>
      <c r="Q487" s="38">
        <f>Bill!$Z487*('Raw Data'!$E489+$Q$2)</f>
        <v>0</v>
      </c>
      <c r="R487" s="38">
        <f>('Raw Data'!F489+Bill!$R$2)*Bill!$AF487</f>
        <v>0</v>
      </c>
      <c r="S487" s="48">
        <f>('Raw Data'!G489/100)*Bill!$AG487</f>
        <v>0</v>
      </c>
      <c r="T487" s="38">
        <f>SUM(Bill!$L487:$R487)</f>
        <v>0</v>
      </c>
      <c r="U487" s="53"/>
      <c r="V487" s="50"/>
      <c r="W487" s="38">
        <f>Bill!$U487-Bill!$T487</f>
        <v>0</v>
      </c>
      <c r="Y487" s="37">
        <f>'Raw Data'!D489</f>
        <v>46045</v>
      </c>
      <c r="Z487" s="47">
        <v>0.0</v>
      </c>
      <c r="AA487" s="47"/>
      <c r="AB487" s="47"/>
      <c r="AC487" s="47"/>
      <c r="AD487" s="47"/>
      <c r="AE487" s="47"/>
      <c r="AF487" s="47"/>
      <c r="AG487" s="47"/>
    </row>
    <row r="488" ht="15.75" customHeight="1">
      <c r="A488" s="35">
        <f>Bill!$Y488</f>
        <v>46046</v>
      </c>
      <c r="B488" s="43">
        <f>'Raw Data'!E490+Bill!$L$2</f>
        <v>20</v>
      </c>
      <c r="C488" s="43">
        <f>'Raw Data'!E490+Bill!$M$2</f>
        <v>25</v>
      </c>
      <c r="D488" s="43">
        <f>('Raw Data'!$F490*2)-10</f>
        <v>-10</v>
      </c>
      <c r="E488" s="43">
        <f>'Raw Data'!F490+Bill!$O$2</f>
        <v>20</v>
      </c>
      <c r="F488" s="43">
        <f>'Raw Data'!F490+Bill!$P$2</f>
        <v>25</v>
      </c>
      <c r="G488" s="43">
        <f>'Raw Data'!E490+Bill!$Q$2</f>
        <v>50</v>
      </c>
      <c r="H488" s="43">
        <f>('Raw Data'!F490+Bill!$R$2)</f>
        <v>20</v>
      </c>
      <c r="I488" s="36">
        <f>'Raw Data'!G490/100</f>
        <v>0</v>
      </c>
      <c r="K488" s="37">
        <f>Bill!$Y488</f>
        <v>46046</v>
      </c>
      <c r="L488" s="38">
        <f>Bill!$AA488*('Raw Data'!$E490+$L$2)</f>
        <v>0</v>
      </c>
      <c r="M488" s="38">
        <f>Bill!$AB488*('Raw Data'!$E490+$M$2)</f>
        <v>0</v>
      </c>
      <c r="N488" s="38">
        <f>(('Raw Data'!$F490 * 2)-10)*Bill!$AC488</f>
        <v>0</v>
      </c>
      <c r="O488" s="38">
        <f>('Raw Data'!F490+Bill!$O$2)*Bill!$AD488</f>
        <v>0</v>
      </c>
      <c r="P488" s="38">
        <f>('Raw Data'!F490+Bill!$P$2)*Bill!$AE488</f>
        <v>0</v>
      </c>
      <c r="Q488" s="38">
        <f>Bill!$Z488*('Raw Data'!$E490+$Q$2)</f>
        <v>0</v>
      </c>
      <c r="R488" s="38">
        <f>('Raw Data'!F490+Bill!$R$2)*Bill!$AF488</f>
        <v>0</v>
      </c>
      <c r="S488" s="48">
        <f>('Raw Data'!G490/100)*Bill!$AG488</f>
        <v>0</v>
      </c>
      <c r="T488" s="38">
        <f>SUM(Bill!$L488:$R488)</f>
        <v>0</v>
      </c>
      <c r="U488" s="53"/>
      <c r="V488" s="50"/>
      <c r="W488" s="38">
        <f>Bill!$U488-Bill!$T488</f>
        <v>0</v>
      </c>
      <c r="Y488" s="37">
        <f>'Raw Data'!D490</f>
        <v>46046</v>
      </c>
      <c r="Z488" s="47">
        <v>0.0</v>
      </c>
      <c r="AA488" s="47"/>
      <c r="AB488" s="47"/>
      <c r="AC488" s="47"/>
      <c r="AD488" s="47"/>
      <c r="AE488" s="47"/>
      <c r="AF488" s="47"/>
      <c r="AG488" s="47"/>
    </row>
    <row r="489" ht="15.75" customHeight="1">
      <c r="A489" s="35">
        <f>Bill!$Y489</f>
        <v>46047</v>
      </c>
      <c r="B489" s="43">
        <f>'Raw Data'!E491+Bill!$L$2</f>
        <v>20</v>
      </c>
      <c r="C489" s="43">
        <f>'Raw Data'!E491+Bill!$M$2</f>
        <v>25</v>
      </c>
      <c r="D489" s="43">
        <f>('Raw Data'!$F491*2)-10</f>
        <v>-10</v>
      </c>
      <c r="E489" s="43">
        <f>'Raw Data'!F491+Bill!$O$2</f>
        <v>20</v>
      </c>
      <c r="F489" s="43">
        <f>'Raw Data'!F491+Bill!$P$2</f>
        <v>25</v>
      </c>
      <c r="G489" s="43">
        <f>'Raw Data'!E491+Bill!$Q$2</f>
        <v>50</v>
      </c>
      <c r="H489" s="43">
        <f>('Raw Data'!F491+Bill!$R$2)</f>
        <v>20</v>
      </c>
      <c r="I489" s="36">
        <f>'Raw Data'!G491/100</f>
        <v>0</v>
      </c>
      <c r="K489" s="37">
        <f>Bill!$Y489</f>
        <v>46047</v>
      </c>
      <c r="L489" s="38">
        <f>Bill!$AA489*('Raw Data'!$E491+$L$2)</f>
        <v>0</v>
      </c>
      <c r="M489" s="38">
        <f>Bill!$AB489*('Raw Data'!$E491+$M$2)</f>
        <v>0</v>
      </c>
      <c r="N489" s="38">
        <f>(('Raw Data'!$F491 * 2)-10)*Bill!$AC489</f>
        <v>0</v>
      </c>
      <c r="O489" s="38">
        <f>('Raw Data'!F491+Bill!$O$2)*Bill!$AD489</f>
        <v>0</v>
      </c>
      <c r="P489" s="38">
        <f>('Raw Data'!F491+Bill!$P$2)*Bill!$AE489</f>
        <v>0</v>
      </c>
      <c r="Q489" s="38">
        <f>Bill!$Z489*('Raw Data'!$E491+$Q$2)</f>
        <v>0</v>
      </c>
      <c r="R489" s="38">
        <f>('Raw Data'!F491+Bill!$R$2)*Bill!$AF489</f>
        <v>0</v>
      </c>
      <c r="S489" s="48">
        <f>('Raw Data'!G491/100)*Bill!$AG489</f>
        <v>0</v>
      </c>
      <c r="T489" s="38">
        <f>SUM(Bill!$L489:$R489)</f>
        <v>0</v>
      </c>
      <c r="U489" s="53"/>
      <c r="V489" s="50"/>
      <c r="W489" s="38">
        <f>Bill!$U489-Bill!$T489</f>
        <v>0</v>
      </c>
      <c r="Y489" s="37">
        <f>'Raw Data'!D491</f>
        <v>46047</v>
      </c>
      <c r="Z489" s="47">
        <v>0.0</v>
      </c>
      <c r="AA489" s="47"/>
      <c r="AB489" s="47"/>
      <c r="AC489" s="47"/>
      <c r="AD489" s="47"/>
      <c r="AE489" s="47"/>
      <c r="AF489" s="47"/>
      <c r="AG489" s="47"/>
    </row>
    <row r="490" ht="15.75" customHeight="1">
      <c r="A490" s="35">
        <f>Bill!$Y490</f>
        <v>46048</v>
      </c>
      <c r="B490" s="43">
        <f>'Raw Data'!E492+Bill!$L$2</f>
        <v>20</v>
      </c>
      <c r="C490" s="43">
        <f>'Raw Data'!E492+Bill!$M$2</f>
        <v>25</v>
      </c>
      <c r="D490" s="43">
        <f>('Raw Data'!$F492*2)-10</f>
        <v>-10</v>
      </c>
      <c r="E490" s="43">
        <f>'Raw Data'!F492+Bill!$O$2</f>
        <v>20</v>
      </c>
      <c r="F490" s="43">
        <f>'Raw Data'!F492+Bill!$P$2</f>
        <v>25</v>
      </c>
      <c r="G490" s="43">
        <f>'Raw Data'!E492+Bill!$Q$2</f>
        <v>50</v>
      </c>
      <c r="H490" s="43">
        <f>('Raw Data'!F492+Bill!$R$2)</f>
        <v>20</v>
      </c>
      <c r="I490" s="36">
        <f>'Raw Data'!G492/100</f>
        <v>0</v>
      </c>
      <c r="K490" s="37">
        <f>Bill!$Y490</f>
        <v>46048</v>
      </c>
      <c r="L490" s="38">
        <f>Bill!$AA490*('Raw Data'!$E492+$L$2)</f>
        <v>0</v>
      </c>
      <c r="M490" s="38">
        <f>Bill!$AB490*('Raw Data'!$E492+$M$2)</f>
        <v>0</v>
      </c>
      <c r="N490" s="38">
        <f>(('Raw Data'!$F492 * 2)-10)*Bill!$AC490</f>
        <v>0</v>
      </c>
      <c r="O490" s="38">
        <f>('Raw Data'!F492+Bill!$O$2)*Bill!$AD490</f>
        <v>0</v>
      </c>
      <c r="P490" s="38">
        <f>('Raw Data'!F492+Bill!$P$2)*Bill!$AE490</f>
        <v>0</v>
      </c>
      <c r="Q490" s="38">
        <f>Bill!$Z490*('Raw Data'!$E492+$Q$2)</f>
        <v>0</v>
      </c>
      <c r="R490" s="38">
        <f>('Raw Data'!F492+Bill!$R$2)*Bill!$AF490</f>
        <v>0</v>
      </c>
      <c r="S490" s="48">
        <f>('Raw Data'!G492/100)*Bill!$AG490</f>
        <v>0</v>
      </c>
      <c r="T490" s="38">
        <f>SUM(Bill!$L490:$R490)</f>
        <v>0</v>
      </c>
      <c r="U490" s="53"/>
      <c r="V490" s="50"/>
      <c r="W490" s="38">
        <f>Bill!$U490-Bill!$T490</f>
        <v>0</v>
      </c>
      <c r="Y490" s="37">
        <f>'Raw Data'!D492</f>
        <v>46048</v>
      </c>
      <c r="Z490" s="47">
        <v>0.0</v>
      </c>
      <c r="AA490" s="47"/>
      <c r="AB490" s="47"/>
      <c r="AC490" s="47"/>
      <c r="AD490" s="47"/>
      <c r="AE490" s="47"/>
      <c r="AF490" s="47"/>
      <c r="AG490" s="47"/>
    </row>
    <row r="491" ht="15.75" customHeight="1">
      <c r="A491" s="35">
        <f>Bill!$Y491</f>
        <v>46049</v>
      </c>
      <c r="B491" s="43">
        <f>'Raw Data'!E493+Bill!$L$2</f>
        <v>20</v>
      </c>
      <c r="C491" s="43">
        <f>'Raw Data'!E493+Bill!$M$2</f>
        <v>25</v>
      </c>
      <c r="D491" s="43">
        <f>('Raw Data'!$F493*2)-10</f>
        <v>-10</v>
      </c>
      <c r="E491" s="43">
        <f>'Raw Data'!F493+Bill!$O$2</f>
        <v>20</v>
      </c>
      <c r="F491" s="43">
        <f>'Raw Data'!F493+Bill!$P$2</f>
        <v>25</v>
      </c>
      <c r="G491" s="43">
        <f>'Raw Data'!E493+Bill!$Q$2</f>
        <v>50</v>
      </c>
      <c r="H491" s="43">
        <f>('Raw Data'!F493+Bill!$R$2)</f>
        <v>20</v>
      </c>
      <c r="I491" s="36">
        <f>'Raw Data'!G493/100</f>
        <v>0</v>
      </c>
      <c r="K491" s="37">
        <f>Bill!$Y491</f>
        <v>46049</v>
      </c>
      <c r="L491" s="38">
        <f>Bill!$AA491*('Raw Data'!$E493+$L$2)</f>
        <v>0</v>
      </c>
      <c r="M491" s="38">
        <f>Bill!$AB491*('Raw Data'!$E493+$M$2)</f>
        <v>0</v>
      </c>
      <c r="N491" s="38">
        <f>(('Raw Data'!$F493 * 2)-10)*Bill!$AC491</f>
        <v>0</v>
      </c>
      <c r="O491" s="38">
        <f>('Raw Data'!F493+Bill!$O$2)*Bill!$AD491</f>
        <v>0</v>
      </c>
      <c r="P491" s="38">
        <f>('Raw Data'!F493+Bill!$P$2)*Bill!$AE491</f>
        <v>0</v>
      </c>
      <c r="Q491" s="38">
        <f>Bill!$Z491*('Raw Data'!$E493+$Q$2)</f>
        <v>0</v>
      </c>
      <c r="R491" s="38">
        <f>('Raw Data'!F493+Bill!$R$2)*Bill!$AF491</f>
        <v>0</v>
      </c>
      <c r="S491" s="48">
        <f>('Raw Data'!G493/100)*Bill!$AG491</f>
        <v>0</v>
      </c>
      <c r="T491" s="38">
        <f>SUM(Bill!$L491:$R491)</f>
        <v>0</v>
      </c>
      <c r="U491" s="53"/>
      <c r="V491" s="50"/>
      <c r="W491" s="38">
        <f>Bill!$U491-Bill!$T491</f>
        <v>0</v>
      </c>
      <c r="Y491" s="37">
        <f>'Raw Data'!D493</f>
        <v>46049</v>
      </c>
      <c r="Z491" s="47">
        <v>0.0</v>
      </c>
      <c r="AA491" s="47"/>
      <c r="AB491" s="47"/>
      <c r="AC491" s="47"/>
      <c r="AD491" s="47"/>
      <c r="AE491" s="47"/>
      <c r="AF491" s="47"/>
      <c r="AG491" s="47"/>
    </row>
    <row r="492" ht="15.75" customHeight="1">
      <c r="A492" s="35">
        <f>Bill!$Y492</f>
        <v>46050</v>
      </c>
      <c r="B492" s="43">
        <f>'Raw Data'!E494+Bill!$L$2</f>
        <v>20</v>
      </c>
      <c r="C492" s="43">
        <f>'Raw Data'!E494+Bill!$M$2</f>
        <v>25</v>
      </c>
      <c r="D492" s="43">
        <f>('Raw Data'!$F494*2)-10</f>
        <v>-10</v>
      </c>
      <c r="E492" s="43">
        <f>'Raw Data'!F494+Bill!$O$2</f>
        <v>20</v>
      </c>
      <c r="F492" s="43">
        <f>'Raw Data'!F494+Bill!$P$2</f>
        <v>25</v>
      </c>
      <c r="G492" s="43">
        <f>'Raw Data'!E494+Bill!$Q$2</f>
        <v>50</v>
      </c>
      <c r="H492" s="43">
        <f>('Raw Data'!F494+Bill!$R$2)</f>
        <v>20</v>
      </c>
      <c r="I492" s="36">
        <f>'Raw Data'!G494/100</f>
        <v>0</v>
      </c>
      <c r="K492" s="37">
        <f>Bill!$Y492</f>
        <v>46050</v>
      </c>
      <c r="L492" s="38">
        <f>Bill!$AA492*('Raw Data'!$E494+$L$2)</f>
        <v>0</v>
      </c>
      <c r="M492" s="38">
        <f>Bill!$AB492*('Raw Data'!$E494+$M$2)</f>
        <v>0</v>
      </c>
      <c r="N492" s="38">
        <f>(('Raw Data'!$F494 * 2)-10)*Bill!$AC492</f>
        <v>0</v>
      </c>
      <c r="O492" s="38">
        <f>('Raw Data'!F494+Bill!$O$2)*Bill!$AD492</f>
        <v>0</v>
      </c>
      <c r="P492" s="38">
        <f>('Raw Data'!F494+Bill!$P$2)*Bill!$AE492</f>
        <v>0</v>
      </c>
      <c r="Q492" s="38">
        <f>Bill!$Z492*('Raw Data'!$E494+$Q$2)</f>
        <v>0</v>
      </c>
      <c r="R492" s="38">
        <f>('Raw Data'!F494+Bill!$R$2)*Bill!$AF492</f>
        <v>0</v>
      </c>
      <c r="S492" s="48">
        <f>('Raw Data'!G494/100)*Bill!$AG492</f>
        <v>0</v>
      </c>
      <c r="T492" s="38">
        <f>SUM(Bill!$L492:$R492)</f>
        <v>0</v>
      </c>
      <c r="U492" s="53"/>
      <c r="V492" s="50"/>
      <c r="W492" s="38">
        <f>Bill!$U492-Bill!$T492</f>
        <v>0</v>
      </c>
      <c r="Y492" s="37">
        <f>'Raw Data'!D494</f>
        <v>46050</v>
      </c>
      <c r="Z492" s="47">
        <v>0.0</v>
      </c>
      <c r="AA492" s="47"/>
      <c r="AB492" s="47"/>
      <c r="AC492" s="47"/>
      <c r="AD492" s="47"/>
      <c r="AE492" s="47"/>
      <c r="AF492" s="47"/>
      <c r="AG492" s="47"/>
    </row>
    <row r="493" ht="15.75" customHeight="1">
      <c r="A493" s="35">
        <f>Bill!$Y493</f>
        <v>46051</v>
      </c>
      <c r="B493" s="43">
        <f>'Raw Data'!E495+Bill!$L$2</f>
        <v>20</v>
      </c>
      <c r="C493" s="43">
        <f>'Raw Data'!E495+Bill!$M$2</f>
        <v>25</v>
      </c>
      <c r="D493" s="43">
        <f>('Raw Data'!$F495*2)-10</f>
        <v>-10</v>
      </c>
      <c r="E493" s="43">
        <f>'Raw Data'!F495+Bill!$O$2</f>
        <v>20</v>
      </c>
      <c r="F493" s="43">
        <f>'Raw Data'!F495+Bill!$P$2</f>
        <v>25</v>
      </c>
      <c r="G493" s="43">
        <f>'Raw Data'!E495+Bill!$Q$2</f>
        <v>50</v>
      </c>
      <c r="H493" s="43">
        <f>('Raw Data'!F495+Bill!$R$2)</f>
        <v>20</v>
      </c>
      <c r="I493" s="36">
        <f>'Raw Data'!G495/100</f>
        <v>0</v>
      </c>
      <c r="K493" s="37">
        <f>Bill!$Y493</f>
        <v>46051</v>
      </c>
      <c r="L493" s="38">
        <f>Bill!$AA493*('Raw Data'!$E495+$L$2)</f>
        <v>0</v>
      </c>
      <c r="M493" s="38">
        <f>Bill!$AB493*('Raw Data'!$E495+$M$2)</f>
        <v>0</v>
      </c>
      <c r="N493" s="38">
        <f>(('Raw Data'!$F495 * 2)-10)*Bill!$AC493</f>
        <v>0</v>
      </c>
      <c r="O493" s="38">
        <f>('Raw Data'!F495+Bill!$O$2)*Bill!$AD493</f>
        <v>0</v>
      </c>
      <c r="P493" s="38">
        <f>('Raw Data'!F495+Bill!$P$2)*Bill!$AE493</f>
        <v>0</v>
      </c>
      <c r="Q493" s="38">
        <f>Bill!$Z493*('Raw Data'!$E495+$Q$2)</f>
        <v>0</v>
      </c>
      <c r="R493" s="38">
        <f>('Raw Data'!F495+Bill!$R$2)*Bill!$AF493</f>
        <v>0</v>
      </c>
      <c r="S493" s="48">
        <f>('Raw Data'!G495/100)*Bill!$AG493</f>
        <v>0</v>
      </c>
      <c r="T493" s="38">
        <f>SUM(Bill!$L493:$R493)</f>
        <v>0</v>
      </c>
      <c r="U493" s="53"/>
      <c r="V493" s="50"/>
      <c r="W493" s="38">
        <f>Bill!$U493-Bill!$T493</f>
        <v>0</v>
      </c>
      <c r="Y493" s="37">
        <f>'Raw Data'!D495</f>
        <v>46051</v>
      </c>
      <c r="Z493" s="47">
        <v>0.0</v>
      </c>
      <c r="AA493" s="47"/>
      <c r="AB493" s="47"/>
      <c r="AC493" s="47"/>
      <c r="AD493" s="47"/>
      <c r="AE493" s="47"/>
      <c r="AF493" s="47"/>
      <c r="AG493" s="47"/>
    </row>
    <row r="494" ht="15.75" customHeight="1">
      <c r="A494" s="35">
        <f>Bill!$Y494</f>
        <v>46052</v>
      </c>
      <c r="B494" s="43">
        <f>'Raw Data'!E496+Bill!$L$2</f>
        <v>20</v>
      </c>
      <c r="C494" s="43">
        <f>'Raw Data'!E496+Bill!$M$2</f>
        <v>25</v>
      </c>
      <c r="D494" s="43">
        <f>('Raw Data'!$F496*2)-10</f>
        <v>-10</v>
      </c>
      <c r="E494" s="43">
        <f>'Raw Data'!F496+Bill!$O$2</f>
        <v>20</v>
      </c>
      <c r="F494" s="43">
        <f>'Raw Data'!F496+Bill!$P$2</f>
        <v>25</v>
      </c>
      <c r="G494" s="43">
        <f>'Raw Data'!E496+Bill!$Q$2</f>
        <v>50</v>
      </c>
      <c r="H494" s="43">
        <f>('Raw Data'!F496+Bill!$R$2)</f>
        <v>20</v>
      </c>
      <c r="I494" s="36">
        <f>'Raw Data'!G496/100</f>
        <v>0</v>
      </c>
      <c r="K494" s="37">
        <f>Bill!$Y494</f>
        <v>46052</v>
      </c>
      <c r="L494" s="38">
        <f>Bill!$AA494*('Raw Data'!$E496+$L$2)</f>
        <v>0</v>
      </c>
      <c r="M494" s="38">
        <f>Bill!$AB494*('Raw Data'!$E496+$M$2)</f>
        <v>0</v>
      </c>
      <c r="N494" s="38">
        <f>(('Raw Data'!$F496 * 2)-10)*Bill!$AC494</f>
        <v>0</v>
      </c>
      <c r="O494" s="38">
        <f>('Raw Data'!F496+Bill!$O$2)*Bill!$AD494</f>
        <v>0</v>
      </c>
      <c r="P494" s="38">
        <f>('Raw Data'!F496+Bill!$P$2)*Bill!$AE494</f>
        <v>0</v>
      </c>
      <c r="Q494" s="38">
        <f>Bill!$Z494*('Raw Data'!$E496+$Q$2)</f>
        <v>0</v>
      </c>
      <c r="R494" s="38">
        <f>('Raw Data'!F496+Bill!$R$2)*Bill!$AF494</f>
        <v>0</v>
      </c>
      <c r="S494" s="48">
        <f>('Raw Data'!G496/100)*Bill!$AG494</f>
        <v>0</v>
      </c>
      <c r="T494" s="38">
        <f>SUM(Bill!$L494:$R494)</f>
        <v>0</v>
      </c>
      <c r="U494" s="53"/>
      <c r="V494" s="50"/>
      <c r="W494" s="38">
        <f>Bill!$U494-Bill!$T494</f>
        <v>0</v>
      </c>
      <c r="Y494" s="37">
        <f>'Raw Data'!D496</f>
        <v>46052</v>
      </c>
      <c r="Z494" s="47">
        <v>0.0</v>
      </c>
      <c r="AA494" s="47"/>
      <c r="AB494" s="47"/>
      <c r="AC494" s="47"/>
      <c r="AD494" s="47"/>
      <c r="AE494" s="47"/>
      <c r="AF494" s="47"/>
      <c r="AG494" s="47"/>
    </row>
    <row r="495" ht="15.75" customHeight="1">
      <c r="A495" s="35">
        <f>Bill!$Y495</f>
        <v>46053</v>
      </c>
      <c r="B495" s="43">
        <f>'Raw Data'!E497+Bill!$L$2</f>
        <v>20</v>
      </c>
      <c r="C495" s="43">
        <f>'Raw Data'!E497+Bill!$M$2</f>
        <v>25</v>
      </c>
      <c r="D495" s="43">
        <f>('Raw Data'!$F497*2)-10</f>
        <v>-10</v>
      </c>
      <c r="E495" s="43">
        <f>'Raw Data'!F497+Bill!$O$2</f>
        <v>20</v>
      </c>
      <c r="F495" s="43">
        <f>'Raw Data'!F497+Bill!$P$2</f>
        <v>25</v>
      </c>
      <c r="G495" s="43">
        <f>'Raw Data'!E497+Bill!$Q$2</f>
        <v>50</v>
      </c>
      <c r="H495" s="43">
        <f>('Raw Data'!F497+Bill!$R$2)</f>
        <v>20</v>
      </c>
      <c r="I495" s="36">
        <f>'Raw Data'!G497/100</f>
        <v>0</v>
      </c>
      <c r="K495" s="37">
        <f>Bill!$Y495</f>
        <v>46053</v>
      </c>
      <c r="L495" s="38">
        <f>Bill!$AA495*('Raw Data'!$E497+$L$2)</f>
        <v>0</v>
      </c>
      <c r="M495" s="38">
        <f>Bill!$AB495*('Raw Data'!$E497+$M$2)</f>
        <v>0</v>
      </c>
      <c r="N495" s="38">
        <f>(('Raw Data'!$F497 * 2)-10)*Bill!$AC495</f>
        <v>0</v>
      </c>
      <c r="O495" s="38">
        <f>('Raw Data'!F497+Bill!$O$2)*Bill!$AD495</f>
        <v>0</v>
      </c>
      <c r="P495" s="38">
        <f>('Raw Data'!F497+Bill!$P$2)*Bill!$AE495</f>
        <v>0</v>
      </c>
      <c r="Q495" s="38">
        <f>Bill!$Z495*('Raw Data'!$E497+$Q$2)</f>
        <v>0</v>
      </c>
      <c r="R495" s="38">
        <f>('Raw Data'!F497+Bill!$R$2)*Bill!$AF495</f>
        <v>0</v>
      </c>
      <c r="S495" s="48">
        <f>('Raw Data'!G497/100)*Bill!$AG495</f>
        <v>0</v>
      </c>
      <c r="T495" s="38">
        <f>SUM(Bill!$L495:$R495)</f>
        <v>0</v>
      </c>
      <c r="U495" s="53"/>
      <c r="V495" s="50"/>
      <c r="W495" s="38">
        <f>Bill!$U495-Bill!$T495</f>
        <v>0</v>
      </c>
      <c r="Y495" s="37">
        <f>'Raw Data'!D497</f>
        <v>46053</v>
      </c>
      <c r="Z495" s="47">
        <v>0.0</v>
      </c>
      <c r="AA495" s="47"/>
      <c r="AB495" s="47"/>
      <c r="AC495" s="47"/>
      <c r="AD495" s="47"/>
      <c r="AE495" s="47"/>
      <c r="AF495" s="47"/>
      <c r="AG495" s="47"/>
    </row>
    <row r="496" ht="15.75" customHeight="1">
      <c r="A496" s="35">
        <f>Bill!$Y496</f>
        <v>46054</v>
      </c>
      <c r="B496" s="43">
        <f>'Raw Data'!E498+Bill!$L$2</f>
        <v>20</v>
      </c>
      <c r="C496" s="43">
        <f>'Raw Data'!E498+Bill!$M$2</f>
        <v>25</v>
      </c>
      <c r="D496" s="43">
        <f>('Raw Data'!$F498*2)-10</f>
        <v>-10</v>
      </c>
      <c r="E496" s="43">
        <f>'Raw Data'!F498+Bill!$O$2</f>
        <v>20</v>
      </c>
      <c r="F496" s="43">
        <f>'Raw Data'!F498+Bill!$P$2</f>
        <v>25</v>
      </c>
      <c r="G496" s="43">
        <f>'Raw Data'!E498+Bill!$Q$2</f>
        <v>50</v>
      </c>
      <c r="H496" s="43">
        <f>('Raw Data'!F498+Bill!$R$2)</f>
        <v>20</v>
      </c>
      <c r="I496" s="36">
        <f>'Raw Data'!G498/100</f>
        <v>0</v>
      </c>
      <c r="K496" s="37">
        <f>Bill!$Y496</f>
        <v>46054</v>
      </c>
      <c r="L496" s="38">
        <f>Bill!$AA496*('Raw Data'!$E498+$L$2)</f>
        <v>0</v>
      </c>
      <c r="M496" s="38">
        <f>Bill!$AB496*('Raw Data'!$E498+$M$2)</f>
        <v>0</v>
      </c>
      <c r="N496" s="38">
        <f>(('Raw Data'!$F498 * 2)-10)*Bill!$AC496</f>
        <v>0</v>
      </c>
      <c r="O496" s="38">
        <f>('Raw Data'!F498+Bill!$O$2)*Bill!$AD496</f>
        <v>0</v>
      </c>
      <c r="P496" s="38">
        <f>('Raw Data'!F498+Bill!$P$2)*Bill!$AE496</f>
        <v>0</v>
      </c>
      <c r="Q496" s="38">
        <f>Bill!$Z496*('Raw Data'!$E498+$Q$2)</f>
        <v>0</v>
      </c>
      <c r="R496" s="38">
        <f>('Raw Data'!F498+Bill!$R$2)*Bill!$AF496</f>
        <v>0</v>
      </c>
      <c r="S496" s="48">
        <f>('Raw Data'!G498/100)*Bill!$AG496</f>
        <v>0</v>
      </c>
      <c r="T496" s="38">
        <f>SUM(Bill!$L496:$R496)</f>
        <v>0</v>
      </c>
      <c r="U496" s="53"/>
      <c r="V496" s="50"/>
      <c r="W496" s="38">
        <f>Bill!$U496-Bill!$T496</f>
        <v>0</v>
      </c>
      <c r="Y496" s="37">
        <f>'Raw Data'!D498</f>
        <v>46054</v>
      </c>
      <c r="Z496" s="47">
        <v>0.0</v>
      </c>
      <c r="AA496" s="47"/>
      <c r="AB496" s="47"/>
      <c r="AC496" s="47"/>
      <c r="AD496" s="47"/>
      <c r="AE496" s="47"/>
      <c r="AF496" s="47"/>
      <c r="AG496" s="47"/>
    </row>
    <row r="497" ht="15.75" customHeight="1">
      <c r="A497" s="35">
        <f>Bill!$Y497</f>
        <v>46055</v>
      </c>
      <c r="B497" s="43">
        <f>'Raw Data'!E499+Bill!$L$2</f>
        <v>20</v>
      </c>
      <c r="C497" s="43">
        <f>'Raw Data'!E499+Bill!$M$2</f>
        <v>25</v>
      </c>
      <c r="D497" s="43">
        <f>('Raw Data'!$F499*2)-10</f>
        <v>-10</v>
      </c>
      <c r="E497" s="43">
        <f>'Raw Data'!F499+Bill!$O$2</f>
        <v>20</v>
      </c>
      <c r="F497" s="43">
        <f>'Raw Data'!F499+Bill!$P$2</f>
        <v>25</v>
      </c>
      <c r="G497" s="43">
        <f>'Raw Data'!E499+Bill!$Q$2</f>
        <v>50</v>
      </c>
      <c r="H497" s="43">
        <f>('Raw Data'!F499+Bill!$R$2)</f>
        <v>20</v>
      </c>
      <c r="I497" s="36">
        <f>'Raw Data'!G499/100</f>
        <v>0</v>
      </c>
      <c r="K497" s="37">
        <f>Bill!$Y497</f>
        <v>46055</v>
      </c>
      <c r="L497" s="38">
        <f>Bill!$AA497*('Raw Data'!$E499+$L$2)</f>
        <v>0</v>
      </c>
      <c r="M497" s="38">
        <f>Bill!$AB497*('Raw Data'!$E499+$M$2)</f>
        <v>0</v>
      </c>
      <c r="N497" s="38">
        <f>(('Raw Data'!$F499 * 2)-10)*Bill!$AC497</f>
        <v>0</v>
      </c>
      <c r="O497" s="38">
        <f>('Raw Data'!F499+Bill!$O$2)*Bill!$AD497</f>
        <v>0</v>
      </c>
      <c r="P497" s="38">
        <f>('Raw Data'!F499+Bill!$P$2)*Bill!$AE497</f>
        <v>0</v>
      </c>
      <c r="Q497" s="38">
        <f>Bill!$Z497*('Raw Data'!$E499+$Q$2)</f>
        <v>0</v>
      </c>
      <c r="R497" s="38">
        <f>('Raw Data'!F499+Bill!$R$2)*Bill!$AF497</f>
        <v>0</v>
      </c>
      <c r="S497" s="48">
        <f>('Raw Data'!G499/100)*Bill!$AG497</f>
        <v>0</v>
      </c>
      <c r="T497" s="38">
        <f>SUM(Bill!$L497:$R497)</f>
        <v>0</v>
      </c>
      <c r="U497" s="53"/>
      <c r="V497" s="50"/>
      <c r="W497" s="38">
        <f>Bill!$U497-Bill!$T497</f>
        <v>0</v>
      </c>
      <c r="Y497" s="37">
        <f>'Raw Data'!D499</f>
        <v>46055</v>
      </c>
      <c r="Z497" s="47">
        <v>0.0</v>
      </c>
      <c r="AA497" s="47"/>
      <c r="AB497" s="47"/>
      <c r="AC497" s="47"/>
      <c r="AD497" s="47"/>
      <c r="AE497" s="47"/>
      <c r="AF497" s="47"/>
      <c r="AG497" s="47"/>
    </row>
    <row r="498" ht="15.75" customHeight="1">
      <c r="A498" s="35">
        <f>Bill!$Y498</f>
        <v>46056</v>
      </c>
      <c r="B498" s="43">
        <f>'Raw Data'!E500+Bill!$L$2</f>
        <v>20</v>
      </c>
      <c r="C498" s="43">
        <f>'Raw Data'!E500+Bill!$M$2</f>
        <v>25</v>
      </c>
      <c r="D498" s="43">
        <f>('Raw Data'!$F500*2)-10</f>
        <v>-10</v>
      </c>
      <c r="E498" s="43">
        <f>'Raw Data'!F500+Bill!$O$2</f>
        <v>20</v>
      </c>
      <c r="F498" s="43">
        <f>'Raw Data'!F500+Bill!$P$2</f>
        <v>25</v>
      </c>
      <c r="G498" s="43">
        <f>'Raw Data'!E500+Bill!$Q$2</f>
        <v>50</v>
      </c>
      <c r="H498" s="43">
        <f>('Raw Data'!F500+Bill!$R$2)</f>
        <v>20</v>
      </c>
      <c r="I498" s="36">
        <f>'Raw Data'!G500/100</f>
        <v>0</v>
      </c>
      <c r="K498" s="37">
        <f>Bill!$Y498</f>
        <v>46056</v>
      </c>
      <c r="L498" s="38">
        <f>Bill!$AA498*('Raw Data'!$E500+$L$2)</f>
        <v>0</v>
      </c>
      <c r="M498" s="38">
        <f>Bill!$AB498*('Raw Data'!$E500+$M$2)</f>
        <v>0</v>
      </c>
      <c r="N498" s="38">
        <f>(('Raw Data'!$F500 * 2)-10)*Bill!$AC498</f>
        <v>0</v>
      </c>
      <c r="O498" s="38">
        <f>('Raw Data'!F500+Bill!$O$2)*Bill!$AD498</f>
        <v>0</v>
      </c>
      <c r="P498" s="38">
        <f>('Raw Data'!F500+Bill!$P$2)*Bill!$AE498</f>
        <v>0</v>
      </c>
      <c r="Q498" s="38">
        <f>Bill!$Z498*('Raw Data'!$E500+$Q$2)</f>
        <v>0</v>
      </c>
      <c r="R498" s="38">
        <f>('Raw Data'!F500+Bill!$R$2)*Bill!$AF498</f>
        <v>0</v>
      </c>
      <c r="S498" s="48">
        <f>('Raw Data'!G500/100)*Bill!$AG498</f>
        <v>0</v>
      </c>
      <c r="T498" s="38">
        <f>SUM(Bill!$L498:$R498)</f>
        <v>0</v>
      </c>
      <c r="U498" s="53"/>
      <c r="V498" s="50"/>
      <c r="W498" s="38">
        <f>Bill!$U498-Bill!$T498</f>
        <v>0</v>
      </c>
      <c r="Y498" s="37">
        <f>'Raw Data'!D500</f>
        <v>46056</v>
      </c>
      <c r="Z498" s="47">
        <v>0.0</v>
      </c>
      <c r="AA498" s="47"/>
      <c r="AB498" s="47"/>
      <c r="AC498" s="47"/>
      <c r="AD498" s="47"/>
      <c r="AE498" s="47"/>
      <c r="AF498" s="47"/>
      <c r="AG498" s="47"/>
    </row>
    <row r="499" ht="15.75" customHeight="1">
      <c r="A499" s="35">
        <f>Bill!$Y499</f>
        <v>46057</v>
      </c>
      <c r="B499" s="43">
        <f>'Raw Data'!E501+Bill!$L$2</f>
        <v>20</v>
      </c>
      <c r="C499" s="43">
        <f>'Raw Data'!E501+Bill!$M$2</f>
        <v>25</v>
      </c>
      <c r="D499" s="43">
        <f>('Raw Data'!$F501*2)-10</f>
        <v>-10</v>
      </c>
      <c r="E499" s="43">
        <f>'Raw Data'!F501+Bill!$O$2</f>
        <v>20</v>
      </c>
      <c r="F499" s="43">
        <f>'Raw Data'!F501+Bill!$P$2</f>
        <v>25</v>
      </c>
      <c r="G499" s="43">
        <f>'Raw Data'!E501+Bill!$Q$2</f>
        <v>50</v>
      </c>
      <c r="H499" s="43">
        <f>('Raw Data'!F501+Bill!$R$2)</f>
        <v>20</v>
      </c>
      <c r="I499" s="36">
        <f>'Raw Data'!G501/100</f>
        <v>0</v>
      </c>
      <c r="K499" s="37">
        <f>Bill!$Y499</f>
        <v>46057</v>
      </c>
      <c r="L499" s="38">
        <f>Bill!$AA499*('Raw Data'!$E501+$L$2)</f>
        <v>0</v>
      </c>
      <c r="M499" s="38">
        <f>Bill!$AB499*('Raw Data'!$E501+$M$2)</f>
        <v>0</v>
      </c>
      <c r="N499" s="38">
        <f>(('Raw Data'!$F501 * 2)-10)*Bill!$AC499</f>
        <v>0</v>
      </c>
      <c r="O499" s="38">
        <f>('Raw Data'!F501+Bill!$O$2)*Bill!$AD499</f>
        <v>0</v>
      </c>
      <c r="P499" s="38">
        <f>('Raw Data'!F501+Bill!$P$2)*Bill!$AE499</f>
        <v>0</v>
      </c>
      <c r="Q499" s="38">
        <f>Bill!$Z499*('Raw Data'!$E501+$Q$2)</f>
        <v>0</v>
      </c>
      <c r="R499" s="38">
        <f>('Raw Data'!F501+Bill!$R$2)*Bill!$AF499</f>
        <v>0</v>
      </c>
      <c r="S499" s="48">
        <f>('Raw Data'!G501/100)*Bill!$AG499</f>
        <v>0</v>
      </c>
      <c r="T499" s="38">
        <f>SUM(Bill!$L499:$R499)</f>
        <v>0</v>
      </c>
      <c r="U499" s="53"/>
      <c r="V499" s="50"/>
      <c r="W499" s="38">
        <f>Bill!$U499-Bill!$T499</f>
        <v>0</v>
      </c>
      <c r="Y499" s="37">
        <f>'Raw Data'!D501</f>
        <v>46057</v>
      </c>
      <c r="Z499" s="47">
        <v>0.0</v>
      </c>
      <c r="AA499" s="47"/>
      <c r="AB499" s="47"/>
      <c r="AC499" s="47"/>
      <c r="AD499" s="47"/>
      <c r="AE499" s="47"/>
      <c r="AF499" s="47"/>
      <c r="AG499" s="47"/>
    </row>
    <row r="500" ht="15.75" customHeight="1">
      <c r="A500" s="35">
        <f>Bill!$Y500</f>
        <v>46058</v>
      </c>
      <c r="B500" s="43">
        <f>'Raw Data'!E502+Bill!$L$2</f>
        <v>20</v>
      </c>
      <c r="C500" s="43">
        <f>'Raw Data'!E502+Bill!$M$2</f>
        <v>25</v>
      </c>
      <c r="D500" s="43">
        <f>('Raw Data'!$F502*2)-10</f>
        <v>-10</v>
      </c>
      <c r="E500" s="43">
        <f>'Raw Data'!F502+Bill!$O$2</f>
        <v>20</v>
      </c>
      <c r="F500" s="43">
        <f>'Raw Data'!F502+Bill!$P$2</f>
        <v>25</v>
      </c>
      <c r="G500" s="43">
        <f>'Raw Data'!E502+Bill!$Q$2</f>
        <v>50</v>
      </c>
      <c r="H500" s="43">
        <f>('Raw Data'!F502+Bill!$R$2)</f>
        <v>20</v>
      </c>
      <c r="I500" s="36">
        <f>'Raw Data'!G502/100</f>
        <v>0</v>
      </c>
      <c r="K500" s="37">
        <f>Bill!$Y500</f>
        <v>46058</v>
      </c>
      <c r="L500" s="38">
        <f>Bill!$AA500*('Raw Data'!$E502+$L$2)</f>
        <v>0</v>
      </c>
      <c r="M500" s="38">
        <f>Bill!$AB500*('Raw Data'!$E502+$M$2)</f>
        <v>0</v>
      </c>
      <c r="N500" s="38">
        <f>(('Raw Data'!$F502 * 2)-10)*Bill!$AC500</f>
        <v>0</v>
      </c>
      <c r="O500" s="38">
        <f>('Raw Data'!F502+Bill!$O$2)*Bill!$AD500</f>
        <v>0</v>
      </c>
      <c r="P500" s="38">
        <f>('Raw Data'!F502+Bill!$P$2)*Bill!$AE500</f>
        <v>0</v>
      </c>
      <c r="Q500" s="38">
        <f>Bill!$Z500*('Raw Data'!$E502+$Q$2)</f>
        <v>0</v>
      </c>
      <c r="R500" s="38">
        <f>('Raw Data'!F502+Bill!$R$2)*Bill!$AF500</f>
        <v>0</v>
      </c>
      <c r="S500" s="48">
        <f>('Raw Data'!G502/100)*Bill!$AG500</f>
        <v>0</v>
      </c>
      <c r="T500" s="38">
        <f>SUM(Bill!$L500:$R500)</f>
        <v>0</v>
      </c>
      <c r="U500" s="53"/>
      <c r="V500" s="50"/>
      <c r="W500" s="38">
        <f>Bill!$U500-Bill!$T500</f>
        <v>0</v>
      </c>
      <c r="Y500" s="37">
        <f>'Raw Data'!D502</f>
        <v>46058</v>
      </c>
      <c r="Z500" s="47">
        <v>0.0</v>
      </c>
      <c r="AA500" s="47"/>
      <c r="AB500" s="47"/>
      <c r="AC500" s="47"/>
      <c r="AD500" s="47"/>
      <c r="AE500" s="47"/>
      <c r="AF500" s="47"/>
      <c r="AG500" s="47"/>
    </row>
    <row r="501" ht="15.75" customHeight="1">
      <c r="A501" s="35">
        <f>Bill!$Y501</f>
        <v>46059</v>
      </c>
      <c r="B501" s="43">
        <f>'Raw Data'!E503+Bill!$L$2</f>
        <v>20</v>
      </c>
      <c r="C501" s="43">
        <f>'Raw Data'!E503+Bill!$M$2</f>
        <v>25</v>
      </c>
      <c r="D501" s="43">
        <f>('Raw Data'!$F503*2)-10</f>
        <v>-10</v>
      </c>
      <c r="E501" s="43">
        <f>'Raw Data'!F503+Bill!$O$2</f>
        <v>20</v>
      </c>
      <c r="F501" s="43">
        <f>'Raw Data'!F503+Bill!$P$2</f>
        <v>25</v>
      </c>
      <c r="G501" s="43">
        <f>'Raw Data'!E503+Bill!$Q$2</f>
        <v>50</v>
      </c>
      <c r="H501" s="43">
        <f>('Raw Data'!F503+Bill!$R$2)</f>
        <v>20</v>
      </c>
      <c r="I501" s="36">
        <f>'Raw Data'!G503/100</f>
        <v>0</v>
      </c>
      <c r="K501" s="37">
        <f>Bill!$Y501</f>
        <v>46059</v>
      </c>
      <c r="L501" s="38">
        <f>Bill!$AA501*('Raw Data'!$E503+$L$2)</f>
        <v>0</v>
      </c>
      <c r="M501" s="38">
        <f>Bill!$AB501*('Raw Data'!$E503+$M$2)</f>
        <v>0</v>
      </c>
      <c r="N501" s="38">
        <f>(('Raw Data'!$F503 * 2)-10)*Bill!$AC501</f>
        <v>0</v>
      </c>
      <c r="O501" s="38">
        <f>('Raw Data'!F503+Bill!$O$2)*Bill!$AD501</f>
        <v>0</v>
      </c>
      <c r="P501" s="38">
        <f>('Raw Data'!F503+Bill!$P$2)*Bill!$AE501</f>
        <v>0</v>
      </c>
      <c r="Q501" s="38">
        <f>Bill!$Z501*('Raw Data'!$E503+$Q$2)</f>
        <v>0</v>
      </c>
      <c r="R501" s="38">
        <f>('Raw Data'!F503+Bill!$R$2)*Bill!$AF501</f>
        <v>0</v>
      </c>
      <c r="S501" s="48">
        <f>('Raw Data'!G503/100)*Bill!$AG501</f>
        <v>0</v>
      </c>
      <c r="T501" s="38">
        <f>SUM(Bill!$L501:$R501)</f>
        <v>0</v>
      </c>
      <c r="U501" s="53"/>
      <c r="V501" s="50"/>
      <c r="W501" s="38">
        <f>Bill!$U501-Bill!$T501</f>
        <v>0</v>
      </c>
      <c r="Y501" s="37">
        <f>'Raw Data'!D503</f>
        <v>46059</v>
      </c>
      <c r="Z501" s="47">
        <v>0.0</v>
      </c>
      <c r="AA501" s="47"/>
      <c r="AB501" s="47"/>
      <c r="AC501" s="47"/>
      <c r="AD501" s="47"/>
      <c r="AE501" s="47"/>
      <c r="AF501" s="47"/>
      <c r="AG501" s="47"/>
    </row>
    <row r="502" ht="15.75" customHeight="1">
      <c r="A502" s="35">
        <f>Bill!$Y502</f>
        <v>46060</v>
      </c>
      <c r="B502" s="43">
        <f>'Raw Data'!E504+Bill!$L$2</f>
        <v>20</v>
      </c>
      <c r="C502" s="43">
        <f>'Raw Data'!E504+Bill!$M$2</f>
        <v>25</v>
      </c>
      <c r="D502" s="43">
        <f>('Raw Data'!$F504*2)-10</f>
        <v>-10</v>
      </c>
      <c r="E502" s="43">
        <f>'Raw Data'!F504+Bill!$O$2</f>
        <v>20</v>
      </c>
      <c r="F502" s="43">
        <f>'Raw Data'!F504+Bill!$P$2</f>
        <v>25</v>
      </c>
      <c r="G502" s="43">
        <f>'Raw Data'!E504+Bill!$Q$2</f>
        <v>50</v>
      </c>
      <c r="H502" s="43">
        <f>('Raw Data'!F504+Bill!$R$2)</f>
        <v>20</v>
      </c>
      <c r="I502" s="36">
        <f>'Raw Data'!G504/100</f>
        <v>0</v>
      </c>
      <c r="K502" s="37">
        <f>Bill!$Y502</f>
        <v>46060</v>
      </c>
      <c r="L502" s="38">
        <f>Bill!$AA502*('Raw Data'!$E504+$L$2)</f>
        <v>0</v>
      </c>
      <c r="M502" s="38">
        <f>Bill!$AB502*('Raw Data'!$E504+$M$2)</f>
        <v>0</v>
      </c>
      <c r="N502" s="38">
        <f>(('Raw Data'!$F504 * 2)-10)*Bill!$AC502</f>
        <v>0</v>
      </c>
      <c r="O502" s="38">
        <f>('Raw Data'!F504+Bill!$O$2)*Bill!$AD502</f>
        <v>0</v>
      </c>
      <c r="P502" s="38">
        <f>('Raw Data'!F504+Bill!$P$2)*Bill!$AE502</f>
        <v>0</v>
      </c>
      <c r="Q502" s="38">
        <f>Bill!$Z502*('Raw Data'!$E504+$Q$2)</f>
        <v>0</v>
      </c>
      <c r="R502" s="38">
        <f>('Raw Data'!F504+Bill!$R$2)*Bill!$AF502</f>
        <v>0</v>
      </c>
      <c r="S502" s="48">
        <f>('Raw Data'!G504/100)*Bill!$AG502</f>
        <v>0</v>
      </c>
      <c r="T502" s="38">
        <f>SUM(Bill!$L502:$R502)</f>
        <v>0</v>
      </c>
      <c r="U502" s="53"/>
      <c r="V502" s="50"/>
      <c r="W502" s="38">
        <f>Bill!$U502-Bill!$T502</f>
        <v>0</v>
      </c>
      <c r="Y502" s="37">
        <f>'Raw Data'!D504</f>
        <v>46060</v>
      </c>
      <c r="Z502" s="47">
        <v>0.0</v>
      </c>
      <c r="AA502" s="47"/>
      <c r="AB502" s="47"/>
      <c r="AC502" s="47"/>
      <c r="AD502" s="47"/>
      <c r="AE502" s="47"/>
      <c r="AF502" s="47"/>
      <c r="AG502" s="47"/>
    </row>
    <row r="503" ht="15.75" customHeight="1">
      <c r="A503" s="35">
        <f>Bill!$Y503</f>
        <v>46061</v>
      </c>
      <c r="B503" s="43">
        <f>'Raw Data'!E505+Bill!$L$2</f>
        <v>20</v>
      </c>
      <c r="C503" s="43">
        <f>'Raw Data'!E505+Bill!$M$2</f>
        <v>25</v>
      </c>
      <c r="D503" s="43">
        <f>('Raw Data'!$F505*2)-10</f>
        <v>-10</v>
      </c>
      <c r="E503" s="43">
        <f>'Raw Data'!F505+Bill!$O$2</f>
        <v>20</v>
      </c>
      <c r="F503" s="43">
        <f>'Raw Data'!F505+Bill!$P$2</f>
        <v>25</v>
      </c>
      <c r="G503" s="43">
        <f>'Raw Data'!E505+Bill!$Q$2</f>
        <v>50</v>
      </c>
      <c r="H503" s="43">
        <f>('Raw Data'!F505+Bill!$R$2)</f>
        <v>20</v>
      </c>
      <c r="I503" s="36">
        <f>'Raw Data'!G505/100</f>
        <v>0</v>
      </c>
      <c r="K503" s="37">
        <f>Bill!$Y503</f>
        <v>46061</v>
      </c>
      <c r="L503" s="38">
        <f>Bill!$AA503*('Raw Data'!$E505+$L$2)</f>
        <v>0</v>
      </c>
      <c r="M503" s="38">
        <f>Bill!$AB503*('Raw Data'!$E505+$M$2)</f>
        <v>0</v>
      </c>
      <c r="N503" s="38">
        <f>(('Raw Data'!$F505 * 2)-10)*Bill!$AC503</f>
        <v>0</v>
      </c>
      <c r="O503" s="38">
        <f>('Raw Data'!F505+Bill!$O$2)*Bill!$AD503</f>
        <v>0</v>
      </c>
      <c r="P503" s="38">
        <f>('Raw Data'!F505+Bill!$P$2)*Bill!$AE503</f>
        <v>0</v>
      </c>
      <c r="Q503" s="38">
        <f>Bill!$Z503*('Raw Data'!$E505+$Q$2)</f>
        <v>0</v>
      </c>
      <c r="R503" s="38">
        <f>('Raw Data'!F505+Bill!$R$2)*Bill!$AF503</f>
        <v>0</v>
      </c>
      <c r="S503" s="48">
        <f>('Raw Data'!G505/100)*Bill!$AG503</f>
        <v>0</v>
      </c>
      <c r="T503" s="38">
        <f>SUM(Bill!$L503:$R503)</f>
        <v>0</v>
      </c>
      <c r="U503" s="53"/>
      <c r="V503" s="50"/>
      <c r="W503" s="38">
        <f>Bill!$U503-Bill!$T503</f>
        <v>0</v>
      </c>
      <c r="Y503" s="37">
        <f>'Raw Data'!D505</f>
        <v>46061</v>
      </c>
      <c r="Z503" s="47">
        <v>0.0</v>
      </c>
      <c r="AA503" s="47"/>
      <c r="AB503" s="47"/>
      <c r="AC503" s="47"/>
      <c r="AD503" s="47"/>
      <c r="AE503" s="47"/>
      <c r="AF503" s="47"/>
      <c r="AG503" s="47"/>
    </row>
    <row r="504" ht="15.75" customHeight="1">
      <c r="A504" s="35">
        <f>Bill!$Y504</f>
        <v>46062</v>
      </c>
      <c r="B504" s="43">
        <f>'Raw Data'!E506+Bill!$L$2</f>
        <v>20</v>
      </c>
      <c r="C504" s="43">
        <f>'Raw Data'!E506+Bill!$M$2</f>
        <v>25</v>
      </c>
      <c r="D504" s="43">
        <f>('Raw Data'!$F506*2)-10</f>
        <v>-10</v>
      </c>
      <c r="E504" s="43">
        <f>'Raw Data'!F506+Bill!$O$2</f>
        <v>20</v>
      </c>
      <c r="F504" s="43">
        <f>'Raw Data'!F506+Bill!$P$2</f>
        <v>25</v>
      </c>
      <c r="G504" s="43">
        <f>'Raw Data'!E506+Bill!$Q$2</f>
        <v>50</v>
      </c>
      <c r="H504" s="43">
        <f>('Raw Data'!F506+Bill!$R$2)</f>
        <v>20</v>
      </c>
      <c r="I504" s="36">
        <f>'Raw Data'!G506/100</f>
        <v>0</v>
      </c>
      <c r="K504" s="37">
        <f>Bill!$Y504</f>
        <v>46062</v>
      </c>
      <c r="L504" s="38">
        <f>Bill!$AA504*('Raw Data'!$E506+$L$2)</f>
        <v>0</v>
      </c>
      <c r="M504" s="38">
        <f>Bill!$AB504*('Raw Data'!$E506+$M$2)</f>
        <v>0</v>
      </c>
      <c r="N504" s="38">
        <f>(('Raw Data'!$F506 * 2)-10)*Bill!$AC504</f>
        <v>0</v>
      </c>
      <c r="O504" s="38">
        <f>('Raw Data'!F506+Bill!$O$2)*Bill!$AD504</f>
        <v>0</v>
      </c>
      <c r="P504" s="38">
        <f>('Raw Data'!F506+Bill!$P$2)*Bill!$AE504</f>
        <v>0</v>
      </c>
      <c r="Q504" s="38">
        <f>Bill!$Z504*('Raw Data'!$E506+$Q$2)</f>
        <v>0</v>
      </c>
      <c r="R504" s="38">
        <f>('Raw Data'!F506+Bill!$R$2)*Bill!$AF504</f>
        <v>0</v>
      </c>
      <c r="S504" s="48">
        <f>('Raw Data'!G506/100)*Bill!$AG504</f>
        <v>0</v>
      </c>
      <c r="T504" s="38">
        <f>SUM(Bill!$L504:$R504)</f>
        <v>0</v>
      </c>
      <c r="U504" s="53"/>
      <c r="V504" s="50"/>
      <c r="W504" s="38">
        <f>Bill!$U504-Bill!$T504</f>
        <v>0</v>
      </c>
      <c r="Y504" s="37">
        <f>'Raw Data'!D506</f>
        <v>46062</v>
      </c>
      <c r="Z504" s="47">
        <v>0.0</v>
      </c>
      <c r="AA504" s="47"/>
      <c r="AB504" s="47"/>
      <c r="AC504" s="47"/>
      <c r="AD504" s="47"/>
      <c r="AE504" s="47"/>
      <c r="AF504" s="47"/>
      <c r="AG504" s="47"/>
    </row>
    <row r="505" ht="15.75" customHeight="1">
      <c r="A505" s="35">
        <f>Bill!$Y505</f>
        <v>46063</v>
      </c>
      <c r="B505" s="43">
        <f>'Raw Data'!E507+Bill!$L$2</f>
        <v>20</v>
      </c>
      <c r="C505" s="43">
        <f>'Raw Data'!E507+Bill!$M$2</f>
        <v>25</v>
      </c>
      <c r="D505" s="43">
        <f>('Raw Data'!$F507*2)-10</f>
        <v>-10</v>
      </c>
      <c r="E505" s="43">
        <f>'Raw Data'!F507+Bill!$O$2</f>
        <v>20</v>
      </c>
      <c r="F505" s="43">
        <f>'Raw Data'!F507+Bill!$P$2</f>
        <v>25</v>
      </c>
      <c r="G505" s="43">
        <f>'Raw Data'!E507+Bill!$Q$2</f>
        <v>50</v>
      </c>
      <c r="H505" s="43">
        <f>('Raw Data'!F507+Bill!$R$2)</f>
        <v>20</v>
      </c>
      <c r="I505" s="36">
        <f>'Raw Data'!G507/100</f>
        <v>0</v>
      </c>
      <c r="K505" s="37">
        <f>Bill!$Y505</f>
        <v>46063</v>
      </c>
      <c r="L505" s="38">
        <f>Bill!$AA505*('Raw Data'!$E507+$L$2)</f>
        <v>0</v>
      </c>
      <c r="M505" s="38">
        <f>Bill!$AB505*('Raw Data'!$E507+$M$2)</f>
        <v>0</v>
      </c>
      <c r="N505" s="38">
        <f>(('Raw Data'!$F507 * 2)-10)*Bill!$AC505</f>
        <v>0</v>
      </c>
      <c r="O505" s="38">
        <f>('Raw Data'!F507+Bill!$O$2)*Bill!$AD505</f>
        <v>0</v>
      </c>
      <c r="P505" s="38">
        <f>('Raw Data'!F507+Bill!$P$2)*Bill!$AE505</f>
        <v>0</v>
      </c>
      <c r="Q505" s="38">
        <f>Bill!$Z505*('Raw Data'!$E507+$Q$2)</f>
        <v>0</v>
      </c>
      <c r="R505" s="38">
        <f>('Raw Data'!F507+Bill!$R$2)*Bill!$AF505</f>
        <v>0</v>
      </c>
      <c r="S505" s="48">
        <f>('Raw Data'!G507/100)*Bill!$AG505</f>
        <v>0</v>
      </c>
      <c r="T505" s="38">
        <f>SUM(Bill!$L505:$R505)</f>
        <v>0</v>
      </c>
      <c r="U505" s="53"/>
      <c r="V505" s="50"/>
      <c r="W505" s="38">
        <f>Bill!$U505-Bill!$T505</f>
        <v>0</v>
      </c>
      <c r="Y505" s="37">
        <f>'Raw Data'!D507</f>
        <v>46063</v>
      </c>
      <c r="Z505" s="47">
        <v>0.0</v>
      </c>
      <c r="AA505" s="47"/>
      <c r="AB505" s="47"/>
      <c r="AC505" s="47"/>
      <c r="AD505" s="47"/>
      <c r="AE505" s="47"/>
      <c r="AF505" s="47"/>
      <c r="AG505" s="47"/>
    </row>
    <row r="506" ht="15.75" customHeight="1">
      <c r="A506" s="35">
        <f>Bill!$Y506</f>
        <v>46064</v>
      </c>
      <c r="B506" s="43">
        <f>'Raw Data'!E508+Bill!$L$2</f>
        <v>20</v>
      </c>
      <c r="C506" s="43">
        <f>'Raw Data'!E508+Bill!$M$2</f>
        <v>25</v>
      </c>
      <c r="D506" s="43">
        <f>('Raw Data'!$F508*2)-10</f>
        <v>-10</v>
      </c>
      <c r="E506" s="43">
        <f>'Raw Data'!F508+Bill!$O$2</f>
        <v>20</v>
      </c>
      <c r="F506" s="43">
        <f>'Raw Data'!F508+Bill!$P$2</f>
        <v>25</v>
      </c>
      <c r="G506" s="43">
        <f>'Raw Data'!E508+Bill!$Q$2</f>
        <v>50</v>
      </c>
      <c r="H506" s="43">
        <f>('Raw Data'!F508+Bill!$R$2)</f>
        <v>20</v>
      </c>
      <c r="I506" s="36">
        <f>'Raw Data'!G508/100</f>
        <v>0</v>
      </c>
      <c r="K506" s="37">
        <f>Bill!$Y506</f>
        <v>46064</v>
      </c>
      <c r="L506" s="38">
        <f>Bill!$AA506*('Raw Data'!$E508+$L$2)</f>
        <v>0</v>
      </c>
      <c r="M506" s="38">
        <f>Bill!$AB506*('Raw Data'!$E508+$M$2)</f>
        <v>0</v>
      </c>
      <c r="N506" s="38">
        <f>(('Raw Data'!$F508 * 2)-10)*Bill!$AC506</f>
        <v>0</v>
      </c>
      <c r="O506" s="38">
        <f>('Raw Data'!F508+Bill!$O$2)*Bill!$AD506</f>
        <v>0</v>
      </c>
      <c r="P506" s="38">
        <f>('Raw Data'!F508+Bill!$P$2)*Bill!$AE506</f>
        <v>0</v>
      </c>
      <c r="Q506" s="38">
        <f>Bill!$Z506*('Raw Data'!$E508+$Q$2)</f>
        <v>0</v>
      </c>
      <c r="R506" s="38">
        <f>('Raw Data'!F508+Bill!$R$2)*Bill!$AF506</f>
        <v>0</v>
      </c>
      <c r="S506" s="48">
        <f>('Raw Data'!G508/100)*Bill!$AG506</f>
        <v>0</v>
      </c>
      <c r="T506" s="38">
        <f>SUM(Bill!$L506:$R506)</f>
        <v>0</v>
      </c>
      <c r="U506" s="53"/>
      <c r="V506" s="50"/>
      <c r="W506" s="38">
        <f>Bill!$U506-Bill!$T506</f>
        <v>0</v>
      </c>
      <c r="Y506" s="37">
        <f>'Raw Data'!D508</f>
        <v>46064</v>
      </c>
      <c r="Z506" s="47">
        <v>0.0</v>
      </c>
      <c r="AA506" s="47"/>
      <c r="AB506" s="47"/>
      <c r="AC506" s="47"/>
      <c r="AD506" s="47"/>
      <c r="AE506" s="47"/>
      <c r="AF506" s="47"/>
      <c r="AG506" s="47"/>
    </row>
    <row r="507" ht="15.75" customHeight="1">
      <c r="A507" s="35">
        <f>Bill!$Y507</f>
        <v>46065</v>
      </c>
      <c r="B507" s="43">
        <f>'Raw Data'!E509+Bill!$L$2</f>
        <v>20</v>
      </c>
      <c r="C507" s="43">
        <f>'Raw Data'!E509+Bill!$M$2</f>
        <v>25</v>
      </c>
      <c r="D507" s="43">
        <f>('Raw Data'!$F509*2)-10</f>
        <v>-10</v>
      </c>
      <c r="E507" s="43">
        <f>'Raw Data'!F509+Bill!$O$2</f>
        <v>20</v>
      </c>
      <c r="F507" s="43">
        <f>'Raw Data'!F509+Bill!$P$2</f>
        <v>25</v>
      </c>
      <c r="G507" s="43">
        <f>'Raw Data'!E509+Bill!$Q$2</f>
        <v>50</v>
      </c>
      <c r="H507" s="43">
        <f>('Raw Data'!F509+Bill!$R$2)</f>
        <v>20</v>
      </c>
      <c r="I507" s="36">
        <f>'Raw Data'!G509/100</f>
        <v>0</v>
      </c>
      <c r="K507" s="37">
        <f>Bill!$Y507</f>
        <v>46065</v>
      </c>
      <c r="L507" s="38">
        <f>Bill!$AA507*('Raw Data'!$E509+$L$2)</f>
        <v>0</v>
      </c>
      <c r="M507" s="38">
        <f>Bill!$AB507*('Raw Data'!$E509+$M$2)</f>
        <v>0</v>
      </c>
      <c r="N507" s="38">
        <f>(('Raw Data'!$F509 * 2)-10)*Bill!$AC507</f>
        <v>0</v>
      </c>
      <c r="O507" s="38">
        <f>('Raw Data'!F509+Bill!$O$2)*Bill!$AD507</f>
        <v>0</v>
      </c>
      <c r="P507" s="38">
        <f>('Raw Data'!F509+Bill!$P$2)*Bill!$AE507</f>
        <v>0</v>
      </c>
      <c r="Q507" s="38">
        <f>Bill!$Z507*('Raw Data'!$E509+$Q$2)</f>
        <v>0</v>
      </c>
      <c r="R507" s="38">
        <f>('Raw Data'!F509+Bill!$R$2)*Bill!$AF507</f>
        <v>0</v>
      </c>
      <c r="S507" s="48">
        <f>('Raw Data'!G509/100)*Bill!$AG507</f>
        <v>0</v>
      </c>
      <c r="T507" s="38">
        <f>SUM(Bill!$L507:$R507)</f>
        <v>0</v>
      </c>
      <c r="U507" s="53"/>
      <c r="V507" s="50"/>
      <c r="W507" s="38">
        <f>Bill!$U507-Bill!$T507</f>
        <v>0</v>
      </c>
      <c r="Y507" s="37">
        <f>'Raw Data'!D509</f>
        <v>46065</v>
      </c>
      <c r="Z507" s="47">
        <v>0.0</v>
      </c>
      <c r="AA507" s="47"/>
      <c r="AB507" s="47"/>
      <c r="AC507" s="47"/>
      <c r="AD507" s="47"/>
      <c r="AE507" s="47"/>
      <c r="AF507" s="47"/>
      <c r="AG507" s="47"/>
    </row>
    <row r="508" ht="15.75" customHeight="1">
      <c r="A508" s="35">
        <f>Bill!$Y508</f>
        <v>46066</v>
      </c>
      <c r="B508" s="43">
        <f>'Raw Data'!E510+Bill!$L$2</f>
        <v>20</v>
      </c>
      <c r="C508" s="43">
        <f>'Raw Data'!E510+Bill!$M$2</f>
        <v>25</v>
      </c>
      <c r="D508" s="43">
        <f>('Raw Data'!$F510*2)-10</f>
        <v>-10</v>
      </c>
      <c r="E508" s="43">
        <f>'Raw Data'!F510+Bill!$O$2</f>
        <v>20</v>
      </c>
      <c r="F508" s="43">
        <f>'Raw Data'!F510+Bill!$P$2</f>
        <v>25</v>
      </c>
      <c r="G508" s="43">
        <f>'Raw Data'!E510+Bill!$Q$2</f>
        <v>50</v>
      </c>
      <c r="H508" s="43">
        <f>('Raw Data'!F510+Bill!$R$2)</f>
        <v>20</v>
      </c>
      <c r="I508" s="36">
        <f>'Raw Data'!G510/100</f>
        <v>0</v>
      </c>
      <c r="K508" s="37">
        <f>Bill!$Y508</f>
        <v>46066</v>
      </c>
      <c r="L508" s="38">
        <f>Bill!$AA508*('Raw Data'!$E510+$L$2)</f>
        <v>0</v>
      </c>
      <c r="M508" s="38">
        <f>Bill!$AB508*('Raw Data'!$E510+$M$2)</f>
        <v>0</v>
      </c>
      <c r="N508" s="38">
        <f>(('Raw Data'!$F510 * 2)-10)*Bill!$AC508</f>
        <v>0</v>
      </c>
      <c r="O508" s="38">
        <f>('Raw Data'!F510+Bill!$O$2)*Bill!$AD508</f>
        <v>0</v>
      </c>
      <c r="P508" s="38">
        <f>('Raw Data'!F510+Bill!$P$2)*Bill!$AE508</f>
        <v>0</v>
      </c>
      <c r="Q508" s="38">
        <f>Bill!$Z508*('Raw Data'!$E510+$Q$2)</f>
        <v>0</v>
      </c>
      <c r="R508" s="38">
        <f>('Raw Data'!F510+Bill!$R$2)*Bill!$AF508</f>
        <v>0</v>
      </c>
      <c r="S508" s="48">
        <f>('Raw Data'!G510/100)*Bill!$AG508</f>
        <v>0</v>
      </c>
      <c r="T508" s="38">
        <f>SUM(Bill!$L508:$R508)</f>
        <v>0</v>
      </c>
      <c r="U508" s="53"/>
      <c r="V508" s="50"/>
      <c r="W508" s="38">
        <f>Bill!$U508-Bill!$T508</f>
        <v>0</v>
      </c>
      <c r="Y508" s="37">
        <f>'Raw Data'!D510</f>
        <v>46066</v>
      </c>
      <c r="Z508" s="47">
        <v>0.0</v>
      </c>
      <c r="AA508" s="47"/>
      <c r="AB508" s="47"/>
      <c r="AC508" s="47"/>
      <c r="AD508" s="47"/>
      <c r="AE508" s="47"/>
      <c r="AF508" s="47"/>
      <c r="AG508" s="47"/>
    </row>
    <row r="509" ht="15.75" customHeight="1">
      <c r="A509" s="35">
        <f>Bill!$Y509</f>
        <v>46067</v>
      </c>
      <c r="B509" s="43">
        <f>'Raw Data'!E511+Bill!$L$2</f>
        <v>20</v>
      </c>
      <c r="C509" s="43">
        <f>'Raw Data'!E511+Bill!$M$2</f>
        <v>25</v>
      </c>
      <c r="D509" s="43">
        <f>('Raw Data'!$F511*2)-10</f>
        <v>-10</v>
      </c>
      <c r="E509" s="43">
        <f>'Raw Data'!F511+Bill!$O$2</f>
        <v>20</v>
      </c>
      <c r="F509" s="43">
        <f>'Raw Data'!F511+Bill!$P$2</f>
        <v>25</v>
      </c>
      <c r="G509" s="43">
        <f>'Raw Data'!E511+Bill!$Q$2</f>
        <v>50</v>
      </c>
      <c r="H509" s="43">
        <f>('Raw Data'!F511+Bill!$R$2)</f>
        <v>20</v>
      </c>
      <c r="I509" s="36">
        <f>'Raw Data'!G511/100</f>
        <v>0</v>
      </c>
      <c r="K509" s="37">
        <f>Bill!$Y509</f>
        <v>46067</v>
      </c>
      <c r="L509" s="38">
        <f>Bill!$AA509*('Raw Data'!$E511+$L$2)</f>
        <v>0</v>
      </c>
      <c r="M509" s="38">
        <f>Bill!$AB509*('Raw Data'!$E511+$M$2)</f>
        <v>0</v>
      </c>
      <c r="N509" s="38">
        <f>(('Raw Data'!$F511 * 2)-10)*Bill!$AC509</f>
        <v>0</v>
      </c>
      <c r="O509" s="38">
        <f>('Raw Data'!F511+Bill!$O$2)*Bill!$AD509</f>
        <v>0</v>
      </c>
      <c r="P509" s="38">
        <f>('Raw Data'!F511+Bill!$P$2)*Bill!$AE509</f>
        <v>0</v>
      </c>
      <c r="Q509" s="38">
        <f>Bill!$Z509*('Raw Data'!$E511+$Q$2)</f>
        <v>0</v>
      </c>
      <c r="R509" s="38">
        <f>('Raw Data'!F511+Bill!$R$2)*Bill!$AF509</f>
        <v>0</v>
      </c>
      <c r="S509" s="48">
        <f>('Raw Data'!G511/100)*Bill!$AG509</f>
        <v>0</v>
      </c>
      <c r="T509" s="38">
        <f>SUM(Bill!$L509:$R509)</f>
        <v>0</v>
      </c>
      <c r="U509" s="53"/>
      <c r="V509" s="50"/>
      <c r="W509" s="38">
        <f>Bill!$U509-Bill!$T509</f>
        <v>0</v>
      </c>
      <c r="Y509" s="37">
        <f>'Raw Data'!D511</f>
        <v>46067</v>
      </c>
      <c r="Z509" s="47">
        <v>0.0</v>
      </c>
      <c r="AA509" s="47"/>
      <c r="AB509" s="47"/>
      <c r="AC509" s="47"/>
      <c r="AD509" s="47"/>
      <c r="AE509" s="47"/>
      <c r="AF509" s="47"/>
      <c r="AG509" s="47"/>
    </row>
    <row r="510" ht="15.75" customHeight="1">
      <c r="A510" s="35">
        <f>Bill!$Y510</f>
        <v>46068</v>
      </c>
      <c r="B510" s="43">
        <f>'Raw Data'!E512+Bill!$L$2</f>
        <v>20</v>
      </c>
      <c r="C510" s="43">
        <f>'Raw Data'!E512+Bill!$M$2</f>
        <v>25</v>
      </c>
      <c r="D510" s="43">
        <f>('Raw Data'!$F512*2)-10</f>
        <v>-10</v>
      </c>
      <c r="E510" s="43">
        <f>'Raw Data'!F512+Bill!$O$2</f>
        <v>20</v>
      </c>
      <c r="F510" s="43">
        <f>'Raw Data'!F512+Bill!$P$2</f>
        <v>25</v>
      </c>
      <c r="G510" s="43">
        <f>'Raw Data'!E512+Bill!$Q$2</f>
        <v>50</v>
      </c>
      <c r="H510" s="43">
        <f>('Raw Data'!F512+Bill!$R$2)</f>
        <v>20</v>
      </c>
      <c r="I510" s="36">
        <f>'Raw Data'!G512/100</f>
        <v>0</v>
      </c>
      <c r="K510" s="37">
        <f>Bill!$Y510</f>
        <v>46068</v>
      </c>
      <c r="L510" s="38">
        <f>Bill!$AA510*('Raw Data'!$E512+$L$2)</f>
        <v>0</v>
      </c>
      <c r="M510" s="38">
        <f>Bill!$AB510*('Raw Data'!$E512+$M$2)</f>
        <v>0</v>
      </c>
      <c r="N510" s="38">
        <f>(('Raw Data'!$F512 * 2)-10)*Bill!$AC510</f>
        <v>0</v>
      </c>
      <c r="O510" s="38">
        <f>('Raw Data'!F512+Bill!$O$2)*Bill!$AD510</f>
        <v>0</v>
      </c>
      <c r="P510" s="38">
        <f>('Raw Data'!F512+Bill!$P$2)*Bill!$AE510</f>
        <v>0</v>
      </c>
      <c r="Q510" s="38">
        <f>Bill!$Z510*('Raw Data'!$E512+$Q$2)</f>
        <v>0</v>
      </c>
      <c r="R510" s="38">
        <f>('Raw Data'!F512+Bill!$R$2)*Bill!$AF510</f>
        <v>0</v>
      </c>
      <c r="S510" s="48">
        <f>('Raw Data'!G512/100)*Bill!$AG510</f>
        <v>0</v>
      </c>
      <c r="T510" s="38">
        <f>SUM(Bill!$L510:$R510)</f>
        <v>0</v>
      </c>
      <c r="U510" s="53"/>
      <c r="V510" s="50"/>
      <c r="W510" s="38">
        <f>Bill!$U510-Bill!$T510</f>
        <v>0</v>
      </c>
      <c r="Y510" s="37">
        <f>'Raw Data'!D512</f>
        <v>46068</v>
      </c>
      <c r="Z510" s="47">
        <v>0.0</v>
      </c>
      <c r="AA510" s="47"/>
      <c r="AB510" s="47"/>
      <c r="AC510" s="47"/>
      <c r="AD510" s="47"/>
      <c r="AE510" s="47"/>
      <c r="AF510" s="47"/>
      <c r="AG510" s="47"/>
    </row>
    <row r="511" ht="15.75" customHeight="1">
      <c r="A511" s="35">
        <f>Bill!$Y511</f>
        <v>46069</v>
      </c>
      <c r="B511" s="43">
        <f>'Raw Data'!E513+Bill!$L$2</f>
        <v>20</v>
      </c>
      <c r="C511" s="43">
        <f>'Raw Data'!E513+Bill!$M$2</f>
        <v>25</v>
      </c>
      <c r="D511" s="43">
        <f>('Raw Data'!$F513*2)-10</f>
        <v>-10</v>
      </c>
      <c r="E511" s="43">
        <f>'Raw Data'!F513+Bill!$O$2</f>
        <v>20</v>
      </c>
      <c r="F511" s="43">
        <f>'Raw Data'!F513+Bill!$P$2</f>
        <v>25</v>
      </c>
      <c r="G511" s="43">
        <f>'Raw Data'!E513+Bill!$Q$2</f>
        <v>50</v>
      </c>
      <c r="H511" s="43">
        <f>('Raw Data'!F513+Bill!$R$2)</f>
        <v>20</v>
      </c>
      <c r="I511" s="36">
        <f>'Raw Data'!G513/100</f>
        <v>0</v>
      </c>
      <c r="K511" s="37">
        <f>Bill!$Y511</f>
        <v>46069</v>
      </c>
      <c r="L511" s="38">
        <f>Bill!$AA511*('Raw Data'!$E513+$L$2)</f>
        <v>0</v>
      </c>
      <c r="M511" s="38">
        <f>Bill!$AB511*('Raw Data'!$E513+$M$2)</f>
        <v>0</v>
      </c>
      <c r="N511" s="38">
        <f>(('Raw Data'!$F513 * 2)-10)*Bill!$AC511</f>
        <v>0</v>
      </c>
      <c r="O511" s="38">
        <f>('Raw Data'!F513+Bill!$O$2)*Bill!$AD511</f>
        <v>0</v>
      </c>
      <c r="P511" s="38">
        <f>('Raw Data'!F513+Bill!$P$2)*Bill!$AE511</f>
        <v>0</v>
      </c>
      <c r="Q511" s="38">
        <f>Bill!$Z511*('Raw Data'!$E513+$Q$2)</f>
        <v>0</v>
      </c>
      <c r="R511" s="38">
        <f>('Raw Data'!F513+Bill!$R$2)*Bill!$AF511</f>
        <v>0</v>
      </c>
      <c r="S511" s="48">
        <f>('Raw Data'!G513/100)*Bill!$AG511</f>
        <v>0</v>
      </c>
      <c r="T511" s="38">
        <f>SUM(Bill!$L511:$R511)</f>
        <v>0</v>
      </c>
      <c r="U511" s="53"/>
      <c r="V511" s="50"/>
      <c r="W511" s="38">
        <f>Bill!$U511-Bill!$T511</f>
        <v>0</v>
      </c>
      <c r="Y511" s="37">
        <f>'Raw Data'!D513</f>
        <v>46069</v>
      </c>
      <c r="Z511" s="47">
        <v>0.0</v>
      </c>
      <c r="AA511" s="47"/>
      <c r="AB511" s="47"/>
      <c r="AC511" s="47"/>
      <c r="AD511" s="47"/>
      <c r="AE511" s="47"/>
      <c r="AF511" s="47"/>
      <c r="AG511" s="47"/>
    </row>
    <row r="512" ht="15.75" customHeight="1">
      <c r="A512" s="35">
        <f>Bill!$Y512</f>
        <v>46070</v>
      </c>
      <c r="B512" s="43">
        <f>'Raw Data'!E514+Bill!$L$2</f>
        <v>20</v>
      </c>
      <c r="C512" s="43">
        <f>'Raw Data'!E514+Bill!$M$2</f>
        <v>25</v>
      </c>
      <c r="D512" s="43">
        <f>('Raw Data'!$F514*2)-10</f>
        <v>-10</v>
      </c>
      <c r="E512" s="43">
        <f>'Raw Data'!F514+Bill!$O$2</f>
        <v>20</v>
      </c>
      <c r="F512" s="43">
        <f>'Raw Data'!F514+Bill!$P$2</f>
        <v>25</v>
      </c>
      <c r="G512" s="43">
        <f>'Raw Data'!E514+Bill!$Q$2</f>
        <v>50</v>
      </c>
      <c r="H512" s="43">
        <f>('Raw Data'!F514+Bill!$R$2)</f>
        <v>20</v>
      </c>
      <c r="I512" s="36">
        <f>'Raw Data'!G514/100</f>
        <v>0</v>
      </c>
      <c r="K512" s="37">
        <f>Bill!$Y512</f>
        <v>46070</v>
      </c>
      <c r="L512" s="38">
        <f>Bill!$AA512*('Raw Data'!$E514+$L$2)</f>
        <v>0</v>
      </c>
      <c r="M512" s="38">
        <f>Bill!$AB512*('Raw Data'!$E514+$M$2)</f>
        <v>0</v>
      </c>
      <c r="N512" s="38">
        <f>(('Raw Data'!$F514 * 2)-10)*Bill!$AC512</f>
        <v>0</v>
      </c>
      <c r="O512" s="38">
        <f>('Raw Data'!F514+Bill!$O$2)*Bill!$AD512</f>
        <v>0</v>
      </c>
      <c r="P512" s="38">
        <f>('Raw Data'!F514+Bill!$P$2)*Bill!$AE512</f>
        <v>0</v>
      </c>
      <c r="Q512" s="38">
        <f>Bill!$Z512*('Raw Data'!$E514+$Q$2)</f>
        <v>0</v>
      </c>
      <c r="R512" s="38">
        <f>('Raw Data'!F514+Bill!$R$2)*Bill!$AF512</f>
        <v>0</v>
      </c>
      <c r="S512" s="48">
        <f>('Raw Data'!G514/100)*Bill!$AG512</f>
        <v>0</v>
      </c>
      <c r="T512" s="38">
        <f>SUM(Bill!$L512:$R512)</f>
        <v>0</v>
      </c>
      <c r="U512" s="53"/>
      <c r="V512" s="50"/>
      <c r="W512" s="38">
        <f>Bill!$U512-Bill!$T512</f>
        <v>0</v>
      </c>
      <c r="Y512" s="37">
        <f>'Raw Data'!D514</f>
        <v>46070</v>
      </c>
      <c r="Z512" s="47">
        <v>0.0</v>
      </c>
      <c r="AA512" s="47"/>
      <c r="AB512" s="47"/>
      <c r="AC512" s="47"/>
      <c r="AD512" s="47"/>
      <c r="AE512" s="47"/>
      <c r="AF512" s="47"/>
      <c r="AG512" s="47"/>
    </row>
    <row r="513" ht="15.75" customHeight="1">
      <c r="A513" s="35">
        <f>Bill!$Y513</f>
        <v>46071</v>
      </c>
      <c r="B513" s="43">
        <f>'Raw Data'!E515+Bill!$L$2</f>
        <v>20</v>
      </c>
      <c r="C513" s="43">
        <f>'Raw Data'!E515+Bill!$M$2</f>
        <v>25</v>
      </c>
      <c r="D513" s="43">
        <f>('Raw Data'!$F515*2)-10</f>
        <v>-10</v>
      </c>
      <c r="E513" s="43">
        <f>'Raw Data'!F515+Bill!$O$2</f>
        <v>20</v>
      </c>
      <c r="F513" s="43">
        <f>'Raw Data'!F515+Bill!$P$2</f>
        <v>25</v>
      </c>
      <c r="G513" s="43">
        <f>'Raw Data'!E515+Bill!$Q$2</f>
        <v>50</v>
      </c>
      <c r="H513" s="43">
        <f>('Raw Data'!F515+Bill!$R$2)</f>
        <v>20</v>
      </c>
      <c r="I513" s="36">
        <f>'Raw Data'!G515/100</f>
        <v>0</v>
      </c>
      <c r="K513" s="37">
        <f>Bill!$Y513</f>
        <v>46071</v>
      </c>
      <c r="L513" s="38">
        <f>Bill!$AA513*('Raw Data'!$E515+$L$2)</f>
        <v>0</v>
      </c>
      <c r="M513" s="38">
        <f>Bill!$AB513*('Raw Data'!$E515+$M$2)</f>
        <v>0</v>
      </c>
      <c r="N513" s="38">
        <f>(('Raw Data'!$F515 * 2)-10)*Bill!$AC513</f>
        <v>0</v>
      </c>
      <c r="O513" s="38">
        <f>('Raw Data'!F515+Bill!$O$2)*Bill!$AD513</f>
        <v>0</v>
      </c>
      <c r="P513" s="38">
        <f>('Raw Data'!F515+Bill!$P$2)*Bill!$AE513</f>
        <v>0</v>
      </c>
      <c r="Q513" s="38">
        <f>Bill!$Z513*('Raw Data'!$E515+$Q$2)</f>
        <v>0</v>
      </c>
      <c r="R513" s="38">
        <f>('Raw Data'!F515+Bill!$R$2)*Bill!$AF513</f>
        <v>0</v>
      </c>
      <c r="S513" s="48">
        <f>('Raw Data'!G515/100)*Bill!$AG513</f>
        <v>0</v>
      </c>
      <c r="T513" s="38">
        <f>SUM(Bill!$L513:$R513)</f>
        <v>0</v>
      </c>
      <c r="U513" s="53"/>
      <c r="V513" s="50"/>
      <c r="W513" s="38">
        <f>Bill!$U513-Bill!$T513</f>
        <v>0</v>
      </c>
      <c r="Y513" s="37">
        <f>'Raw Data'!D515</f>
        <v>46071</v>
      </c>
      <c r="Z513" s="47">
        <v>0.0</v>
      </c>
      <c r="AA513" s="47"/>
      <c r="AB513" s="47"/>
      <c r="AC513" s="47"/>
      <c r="AD513" s="47"/>
      <c r="AE513" s="47"/>
      <c r="AF513" s="47"/>
      <c r="AG513" s="47"/>
    </row>
    <row r="514" ht="15.75" customHeight="1">
      <c r="A514" s="35">
        <f>Bill!$Y514</f>
        <v>46072</v>
      </c>
      <c r="B514" s="43">
        <f>'Raw Data'!E516+Bill!$L$2</f>
        <v>20</v>
      </c>
      <c r="C514" s="43">
        <f>'Raw Data'!E516+Bill!$M$2</f>
        <v>25</v>
      </c>
      <c r="D514" s="43">
        <f>('Raw Data'!$F516*2)-10</f>
        <v>-10</v>
      </c>
      <c r="E514" s="43">
        <f>'Raw Data'!F516+Bill!$O$2</f>
        <v>20</v>
      </c>
      <c r="F514" s="43">
        <f>'Raw Data'!F516+Bill!$P$2</f>
        <v>25</v>
      </c>
      <c r="G514" s="43">
        <f>'Raw Data'!E516+Bill!$Q$2</f>
        <v>50</v>
      </c>
      <c r="H514" s="43">
        <f>('Raw Data'!F516+Bill!$R$2)</f>
        <v>20</v>
      </c>
      <c r="I514" s="36">
        <f>'Raw Data'!G516/100</f>
        <v>0</v>
      </c>
      <c r="K514" s="37">
        <f>Bill!$Y514</f>
        <v>46072</v>
      </c>
      <c r="L514" s="38">
        <f>Bill!$AA514*('Raw Data'!$E516+$L$2)</f>
        <v>0</v>
      </c>
      <c r="M514" s="38">
        <f>Bill!$AB514*('Raw Data'!$E516+$M$2)</f>
        <v>0</v>
      </c>
      <c r="N514" s="38">
        <f>(('Raw Data'!$F516 * 2)-10)*Bill!$AC514</f>
        <v>0</v>
      </c>
      <c r="O514" s="38">
        <f>('Raw Data'!F516+Bill!$O$2)*Bill!$AD514</f>
        <v>0</v>
      </c>
      <c r="P514" s="38">
        <f>('Raw Data'!F516+Bill!$P$2)*Bill!$AE514</f>
        <v>0</v>
      </c>
      <c r="Q514" s="38">
        <f>Bill!$Z514*('Raw Data'!$E516+$Q$2)</f>
        <v>0</v>
      </c>
      <c r="R514" s="38">
        <f>('Raw Data'!F516+Bill!$R$2)*Bill!$AF514</f>
        <v>0</v>
      </c>
      <c r="S514" s="48">
        <f>('Raw Data'!G516/100)*Bill!$AG514</f>
        <v>0</v>
      </c>
      <c r="T514" s="38">
        <f>SUM(Bill!$L514:$R514)</f>
        <v>0</v>
      </c>
      <c r="U514" s="53"/>
      <c r="V514" s="50"/>
      <c r="W514" s="38">
        <f>Bill!$U514-Bill!$T514</f>
        <v>0</v>
      </c>
      <c r="Y514" s="37">
        <f>'Raw Data'!D516</f>
        <v>46072</v>
      </c>
      <c r="Z514" s="47">
        <v>0.0</v>
      </c>
      <c r="AA514" s="47"/>
      <c r="AB514" s="47"/>
      <c r="AC514" s="47"/>
      <c r="AD514" s="47"/>
      <c r="AE514" s="47"/>
      <c r="AF514" s="47"/>
      <c r="AG514" s="47"/>
    </row>
    <row r="515" ht="15.75" customHeight="1">
      <c r="A515" s="35">
        <f>Bill!$Y515</f>
        <v>46073</v>
      </c>
      <c r="B515" s="43">
        <f>'Raw Data'!E517+Bill!$L$2</f>
        <v>20</v>
      </c>
      <c r="C515" s="43">
        <f>'Raw Data'!E517+Bill!$M$2</f>
        <v>25</v>
      </c>
      <c r="D515" s="43">
        <f>('Raw Data'!$F517*2)-10</f>
        <v>-10</v>
      </c>
      <c r="E515" s="43">
        <f>'Raw Data'!F517+Bill!$O$2</f>
        <v>20</v>
      </c>
      <c r="F515" s="43">
        <f>'Raw Data'!F517+Bill!$P$2</f>
        <v>25</v>
      </c>
      <c r="G515" s="43">
        <f>'Raw Data'!E517+Bill!$Q$2</f>
        <v>50</v>
      </c>
      <c r="H515" s="43">
        <f>('Raw Data'!F517+Bill!$R$2)</f>
        <v>20</v>
      </c>
      <c r="I515" s="36">
        <f>'Raw Data'!G517/100</f>
        <v>0</v>
      </c>
      <c r="K515" s="37">
        <f>Bill!$Y515</f>
        <v>46073</v>
      </c>
      <c r="L515" s="38">
        <f>Bill!$AA515*('Raw Data'!$E517+$L$2)</f>
        <v>0</v>
      </c>
      <c r="M515" s="38">
        <f>Bill!$AB515*('Raw Data'!$E517+$M$2)</f>
        <v>0</v>
      </c>
      <c r="N515" s="38">
        <f>(('Raw Data'!$F517 * 2)-10)*Bill!$AC515</f>
        <v>0</v>
      </c>
      <c r="O515" s="38">
        <f>('Raw Data'!F517+Bill!$O$2)*Bill!$AD515</f>
        <v>0</v>
      </c>
      <c r="P515" s="38">
        <f>('Raw Data'!F517+Bill!$P$2)*Bill!$AE515</f>
        <v>0</v>
      </c>
      <c r="Q515" s="38">
        <f>Bill!$Z515*('Raw Data'!$E517+$Q$2)</f>
        <v>0</v>
      </c>
      <c r="R515" s="38">
        <f>('Raw Data'!F517+Bill!$R$2)*Bill!$AF515</f>
        <v>0</v>
      </c>
      <c r="S515" s="48">
        <f>('Raw Data'!G517/100)*Bill!$AG515</f>
        <v>0</v>
      </c>
      <c r="T515" s="38">
        <f>SUM(Bill!$L515:$R515)</f>
        <v>0</v>
      </c>
      <c r="U515" s="53"/>
      <c r="V515" s="50"/>
      <c r="W515" s="38">
        <f>Bill!$U515-Bill!$T515</f>
        <v>0</v>
      </c>
      <c r="Y515" s="37">
        <f>'Raw Data'!D517</f>
        <v>46073</v>
      </c>
      <c r="Z515" s="47">
        <v>0.0</v>
      </c>
      <c r="AA515" s="47"/>
      <c r="AB515" s="47"/>
      <c r="AC515" s="47"/>
      <c r="AD515" s="47"/>
      <c r="AE515" s="47"/>
      <c r="AF515" s="47"/>
      <c r="AG515" s="47"/>
    </row>
    <row r="516" ht="15.75" customHeight="1">
      <c r="A516" s="35">
        <f>Bill!$Y516</f>
        <v>46074</v>
      </c>
      <c r="B516" s="43">
        <f>'Raw Data'!E518+Bill!$L$2</f>
        <v>20</v>
      </c>
      <c r="C516" s="43">
        <f>'Raw Data'!E518+Bill!$M$2</f>
        <v>25</v>
      </c>
      <c r="D516" s="43">
        <f>('Raw Data'!$F518*2)-10</f>
        <v>-10</v>
      </c>
      <c r="E516" s="43">
        <f>'Raw Data'!F518+Bill!$O$2</f>
        <v>20</v>
      </c>
      <c r="F516" s="43">
        <f>'Raw Data'!F518+Bill!$P$2</f>
        <v>25</v>
      </c>
      <c r="G516" s="43">
        <f>'Raw Data'!E518+Bill!$Q$2</f>
        <v>50</v>
      </c>
      <c r="H516" s="43">
        <f>('Raw Data'!F518+Bill!$R$2)</f>
        <v>20</v>
      </c>
      <c r="I516" s="36">
        <f>'Raw Data'!G518/100</f>
        <v>0</v>
      </c>
      <c r="K516" s="37">
        <f>Bill!$Y516</f>
        <v>46074</v>
      </c>
      <c r="L516" s="38">
        <f>Bill!$AA516*('Raw Data'!$E518+$L$2)</f>
        <v>0</v>
      </c>
      <c r="M516" s="38">
        <f>Bill!$AB516*('Raw Data'!$E518+$M$2)</f>
        <v>0</v>
      </c>
      <c r="N516" s="38">
        <f>(('Raw Data'!$F518 * 2)-10)*Bill!$AC516</f>
        <v>0</v>
      </c>
      <c r="O516" s="38">
        <f>('Raw Data'!F518+Bill!$O$2)*Bill!$AD516</f>
        <v>0</v>
      </c>
      <c r="P516" s="38">
        <f>('Raw Data'!F518+Bill!$P$2)*Bill!$AE516</f>
        <v>0</v>
      </c>
      <c r="Q516" s="38">
        <f>Bill!$Z516*('Raw Data'!$E518+$Q$2)</f>
        <v>0</v>
      </c>
      <c r="R516" s="38">
        <f>('Raw Data'!F518+Bill!$R$2)*Bill!$AF516</f>
        <v>0</v>
      </c>
      <c r="S516" s="48">
        <f>('Raw Data'!G518/100)*Bill!$AG516</f>
        <v>0</v>
      </c>
      <c r="T516" s="38">
        <f>SUM(Bill!$L516:$R516)</f>
        <v>0</v>
      </c>
      <c r="U516" s="53"/>
      <c r="V516" s="50"/>
      <c r="W516" s="38">
        <f>Bill!$U516-Bill!$T516</f>
        <v>0</v>
      </c>
      <c r="Y516" s="37">
        <f>'Raw Data'!D518</f>
        <v>46074</v>
      </c>
      <c r="Z516" s="47">
        <v>0.0</v>
      </c>
      <c r="AA516" s="47"/>
      <c r="AB516" s="47"/>
      <c r="AC516" s="47"/>
      <c r="AD516" s="47"/>
      <c r="AE516" s="47"/>
      <c r="AF516" s="47"/>
      <c r="AG516" s="47"/>
    </row>
    <row r="517" ht="15.75" customHeight="1">
      <c r="A517" s="35">
        <f>Bill!$Y517</f>
        <v>46075</v>
      </c>
      <c r="B517" s="43">
        <f>'Raw Data'!E519+Bill!$L$2</f>
        <v>20</v>
      </c>
      <c r="C517" s="43">
        <f>'Raw Data'!E519+Bill!$M$2</f>
        <v>25</v>
      </c>
      <c r="D517" s="43">
        <f>('Raw Data'!$F519*2)-10</f>
        <v>-10</v>
      </c>
      <c r="E517" s="43">
        <f>'Raw Data'!F519+Bill!$O$2</f>
        <v>20</v>
      </c>
      <c r="F517" s="43">
        <f>'Raw Data'!F519+Bill!$P$2</f>
        <v>25</v>
      </c>
      <c r="G517" s="43">
        <f>'Raw Data'!E519+Bill!$Q$2</f>
        <v>50</v>
      </c>
      <c r="H517" s="43">
        <f>('Raw Data'!F519+Bill!$R$2)</f>
        <v>20</v>
      </c>
      <c r="I517" s="36">
        <f>'Raw Data'!G519/100</f>
        <v>0</v>
      </c>
      <c r="K517" s="37">
        <f>Bill!$Y517</f>
        <v>46075</v>
      </c>
      <c r="L517" s="38">
        <f>Bill!$AA517*('Raw Data'!$E519+$L$2)</f>
        <v>0</v>
      </c>
      <c r="M517" s="38">
        <f>Bill!$AB517*('Raw Data'!$E519+$M$2)</f>
        <v>0</v>
      </c>
      <c r="N517" s="38">
        <f>(('Raw Data'!$F519 * 2)-10)*Bill!$AC517</f>
        <v>0</v>
      </c>
      <c r="O517" s="38">
        <f>('Raw Data'!F519+Bill!$O$2)*Bill!$AD517</f>
        <v>0</v>
      </c>
      <c r="P517" s="38">
        <f>('Raw Data'!F519+Bill!$P$2)*Bill!$AE517</f>
        <v>0</v>
      </c>
      <c r="Q517" s="38">
        <f>Bill!$Z517*('Raw Data'!$E519+$Q$2)</f>
        <v>0</v>
      </c>
      <c r="R517" s="38">
        <f>('Raw Data'!F519+Bill!$R$2)*Bill!$AF517</f>
        <v>0</v>
      </c>
      <c r="S517" s="48">
        <f>('Raw Data'!G519/100)*Bill!$AG517</f>
        <v>0</v>
      </c>
      <c r="T517" s="38">
        <f>SUM(Bill!$L517:$R517)</f>
        <v>0</v>
      </c>
      <c r="U517" s="53"/>
      <c r="V517" s="50"/>
      <c r="W517" s="38">
        <f>Bill!$U517-Bill!$T517</f>
        <v>0</v>
      </c>
      <c r="Y517" s="37">
        <f>'Raw Data'!D519</f>
        <v>46075</v>
      </c>
      <c r="Z517" s="47">
        <v>0.0</v>
      </c>
      <c r="AA517" s="47"/>
      <c r="AB517" s="47"/>
      <c r="AC517" s="47"/>
      <c r="AD517" s="47"/>
      <c r="AE517" s="47"/>
      <c r="AF517" s="47"/>
      <c r="AG517" s="47"/>
    </row>
    <row r="518" ht="15.75" customHeight="1">
      <c r="A518" s="35">
        <f>Bill!$Y518</f>
        <v>46076</v>
      </c>
      <c r="B518" s="43">
        <f>'Raw Data'!E520+Bill!$L$2</f>
        <v>20</v>
      </c>
      <c r="C518" s="43">
        <f>'Raw Data'!E520+Bill!$M$2</f>
        <v>25</v>
      </c>
      <c r="D518" s="43">
        <f>('Raw Data'!$F520*2)-10</f>
        <v>-10</v>
      </c>
      <c r="E518" s="43">
        <f>'Raw Data'!F520+Bill!$O$2</f>
        <v>20</v>
      </c>
      <c r="F518" s="43">
        <f>'Raw Data'!F520+Bill!$P$2</f>
        <v>25</v>
      </c>
      <c r="G518" s="43">
        <f>'Raw Data'!E520+Bill!$Q$2</f>
        <v>50</v>
      </c>
      <c r="H518" s="43">
        <f>('Raw Data'!F520+Bill!$R$2)</f>
        <v>20</v>
      </c>
      <c r="I518" s="36">
        <f>'Raw Data'!G520/100</f>
        <v>0</v>
      </c>
      <c r="K518" s="37">
        <f>Bill!$Y518</f>
        <v>46076</v>
      </c>
      <c r="L518" s="38">
        <f>Bill!$AA518*('Raw Data'!$E520+$L$2)</f>
        <v>0</v>
      </c>
      <c r="M518" s="38">
        <f>Bill!$AB518*('Raw Data'!$E520+$M$2)</f>
        <v>0</v>
      </c>
      <c r="N518" s="38">
        <f>(('Raw Data'!$F520 * 2)-10)*Bill!$AC518</f>
        <v>0</v>
      </c>
      <c r="O518" s="38">
        <f>('Raw Data'!F520+Bill!$O$2)*Bill!$AD518</f>
        <v>0</v>
      </c>
      <c r="P518" s="38">
        <f>('Raw Data'!F520+Bill!$P$2)*Bill!$AE518</f>
        <v>0</v>
      </c>
      <c r="Q518" s="38">
        <f>Bill!$Z518*('Raw Data'!$E520+$Q$2)</f>
        <v>0</v>
      </c>
      <c r="R518" s="38">
        <f>('Raw Data'!F520+Bill!$R$2)*Bill!$AF518</f>
        <v>0</v>
      </c>
      <c r="S518" s="48">
        <f>('Raw Data'!G520/100)*Bill!$AG518</f>
        <v>0</v>
      </c>
      <c r="T518" s="38">
        <f>SUM(Bill!$L518:$R518)</f>
        <v>0</v>
      </c>
      <c r="U518" s="53"/>
      <c r="V518" s="50"/>
      <c r="W518" s="38">
        <f>Bill!$U518-Bill!$T518</f>
        <v>0</v>
      </c>
      <c r="Y518" s="37">
        <f>'Raw Data'!D520</f>
        <v>46076</v>
      </c>
      <c r="Z518" s="47">
        <v>0.0</v>
      </c>
      <c r="AA518" s="47"/>
      <c r="AB518" s="47"/>
      <c r="AC518" s="47"/>
      <c r="AD518" s="47"/>
      <c r="AE518" s="47"/>
      <c r="AF518" s="47"/>
      <c r="AG518" s="47"/>
    </row>
    <row r="519" ht="15.75" customHeight="1">
      <c r="A519" s="35">
        <f>Bill!$Y519</f>
        <v>46077</v>
      </c>
      <c r="B519" s="43">
        <f>'Raw Data'!E521+Bill!$L$2</f>
        <v>20</v>
      </c>
      <c r="C519" s="43">
        <f>'Raw Data'!E521+Bill!$M$2</f>
        <v>25</v>
      </c>
      <c r="D519" s="43">
        <f>('Raw Data'!$F521*2)-10</f>
        <v>-10</v>
      </c>
      <c r="E519" s="43">
        <f>'Raw Data'!F521+Bill!$O$2</f>
        <v>20</v>
      </c>
      <c r="F519" s="43">
        <f>'Raw Data'!F521+Bill!$P$2</f>
        <v>25</v>
      </c>
      <c r="G519" s="43">
        <f>'Raw Data'!E521+Bill!$Q$2</f>
        <v>50</v>
      </c>
      <c r="H519" s="43">
        <f>('Raw Data'!F521+Bill!$R$2)</f>
        <v>20</v>
      </c>
      <c r="I519" s="36">
        <f>'Raw Data'!G521/100</f>
        <v>0</v>
      </c>
      <c r="K519" s="37">
        <f>Bill!$Y519</f>
        <v>46077</v>
      </c>
      <c r="L519" s="38">
        <f>Bill!$AA519*('Raw Data'!$E521+$L$2)</f>
        <v>0</v>
      </c>
      <c r="M519" s="38">
        <f>Bill!$AB519*('Raw Data'!$E521+$M$2)</f>
        <v>0</v>
      </c>
      <c r="N519" s="38">
        <f>(('Raw Data'!$F521 * 2)-10)*Bill!$AC519</f>
        <v>0</v>
      </c>
      <c r="O519" s="38">
        <f>('Raw Data'!F521+Bill!$O$2)*Bill!$AD519</f>
        <v>0</v>
      </c>
      <c r="P519" s="38">
        <f>('Raw Data'!F521+Bill!$P$2)*Bill!$AE519</f>
        <v>0</v>
      </c>
      <c r="Q519" s="38">
        <f>Bill!$Z519*('Raw Data'!$E521+$Q$2)</f>
        <v>0</v>
      </c>
      <c r="R519" s="38">
        <f>('Raw Data'!F521+Bill!$R$2)*Bill!$AF519</f>
        <v>0</v>
      </c>
      <c r="S519" s="48">
        <f>('Raw Data'!G521/100)*Bill!$AG519</f>
        <v>0</v>
      </c>
      <c r="T519" s="38">
        <f>SUM(Bill!$L519:$R519)</f>
        <v>0</v>
      </c>
      <c r="U519" s="53"/>
      <c r="V519" s="50"/>
      <c r="W519" s="38">
        <f>Bill!$U519-Bill!$T519</f>
        <v>0</v>
      </c>
      <c r="Y519" s="37">
        <f>'Raw Data'!D521</f>
        <v>46077</v>
      </c>
      <c r="Z519" s="47">
        <v>0.0</v>
      </c>
      <c r="AA519" s="47"/>
      <c r="AB519" s="47"/>
      <c r="AC519" s="47"/>
      <c r="AD519" s="47"/>
      <c r="AE519" s="47"/>
      <c r="AF519" s="47"/>
      <c r="AG519" s="47"/>
    </row>
    <row r="520" ht="15.75" customHeight="1">
      <c r="A520" s="35">
        <f>Bill!$Y520</f>
        <v>46078</v>
      </c>
      <c r="B520" s="43">
        <f>'Raw Data'!E522+Bill!$L$2</f>
        <v>20</v>
      </c>
      <c r="C520" s="43">
        <f>'Raw Data'!E522+Bill!$M$2</f>
        <v>25</v>
      </c>
      <c r="D520" s="43">
        <f>('Raw Data'!$F522*2)-10</f>
        <v>-10</v>
      </c>
      <c r="E520" s="43">
        <f>'Raw Data'!F522+Bill!$O$2</f>
        <v>20</v>
      </c>
      <c r="F520" s="43">
        <f>'Raw Data'!F522+Bill!$P$2</f>
        <v>25</v>
      </c>
      <c r="G520" s="43">
        <f>'Raw Data'!E522+Bill!$Q$2</f>
        <v>50</v>
      </c>
      <c r="H520" s="43">
        <f>('Raw Data'!F522+Bill!$R$2)</f>
        <v>20</v>
      </c>
      <c r="I520" s="36">
        <f>'Raw Data'!G522/100</f>
        <v>0</v>
      </c>
      <c r="K520" s="37">
        <f>Bill!$Y520</f>
        <v>46078</v>
      </c>
      <c r="L520" s="38">
        <f>Bill!$AA520*('Raw Data'!$E522+$L$2)</f>
        <v>0</v>
      </c>
      <c r="M520" s="38">
        <f>Bill!$AB520*('Raw Data'!$E522+$M$2)</f>
        <v>0</v>
      </c>
      <c r="N520" s="38">
        <f>(('Raw Data'!$F522 * 2)-10)*Bill!$AC520</f>
        <v>0</v>
      </c>
      <c r="O520" s="38">
        <f>('Raw Data'!F522+Bill!$O$2)*Bill!$AD520</f>
        <v>0</v>
      </c>
      <c r="P520" s="38">
        <f>('Raw Data'!F522+Bill!$P$2)*Bill!$AE520</f>
        <v>0</v>
      </c>
      <c r="Q520" s="38">
        <f>Bill!$Z520*('Raw Data'!$E522+$Q$2)</f>
        <v>0</v>
      </c>
      <c r="R520" s="38">
        <f>('Raw Data'!F522+Bill!$R$2)*Bill!$AF520</f>
        <v>0</v>
      </c>
      <c r="S520" s="48">
        <f>('Raw Data'!G522/100)*Bill!$AG520</f>
        <v>0</v>
      </c>
      <c r="T520" s="38">
        <f>SUM(Bill!$L520:$R520)</f>
        <v>0</v>
      </c>
      <c r="U520" s="53"/>
      <c r="V520" s="50"/>
      <c r="W520" s="38">
        <f>Bill!$U520-Bill!$T520</f>
        <v>0</v>
      </c>
      <c r="Y520" s="37">
        <f>'Raw Data'!D522</f>
        <v>46078</v>
      </c>
      <c r="Z520" s="47">
        <v>0.0</v>
      </c>
      <c r="AA520" s="47"/>
      <c r="AB520" s="47"/>
      <c r="AC520" s="47"/>
      <c r="AD520" s="47"/>
      <c r="AE520" s="47"/>
      <c r="AF520" s="47"/>
      <c r="AG520" s="47"/>
    </row>
    <row r="521" ht="15.75" customHeight="1">
      <c r="A521" s="35">
        <f>Bill!$Y521</f>
        <v>46079</v>
      </c>
      <c r="B521" s="43">
        <f>'Raw Data'!E523+Bill!$L$2</f>
        <v>20</v>
      </c>
      <c r="C521" s="43">
        <f>'Raw Data'!E523+Bill!$M$2</f>
        <v>25</v>
      </c>
      <c r="D521" s="43">
        <f>('Raw Data'!$F523*2)-10</f>
        <v>-10</v>
      </c>
      <c r="E521" s="43">
        <f>'Raw Data'!F523+Bill!$O$2</f>
        <v>20</v>
      </c>
      <c r="F521" s="43">
        <f>'Raw Data'!F523+Bill!$P$2</f>
        <v>25</v>
      </c>
      <c r="G521" s="43">
        <f>'Raw Data'!E523+Bill!$Q$2</f>
        <v>50</v>
      </c>
      <c r="H521" s="43">
        <f>('Raw Data'!F523+Bill!$R$2)</f>
        <v>20</v>
      </c>
      <c r="I521" s="36">
        <f>'Raw Data'!G523/100</f>
        <v>0</v>
      </c>
      <c r="K521" s="37">
        <f>Bill!$Y521</f>
        <v>46079</v>
      </c>
      <c r="L521" s="38">
        <f>Bill!$AA521*('Raw Data'!$E523+$L$2)</f>
        <v>0</v>
      </c>
      <c r="M521" s="38">
        <f>Bill!$AB521*('Raw Data'!$E523+$M$2)</f>
        <v>0</v>
      </c>
      <c r="N521" s="38">
        <f>(('Raw Data'!$F523 * 2)-10)*Bill!$AC521</f>
        <v>0</v>
      </c>
      <c r="O521" s="38">
        <f>('Raw Data'!F523+Bill!$O$2)*Bill!$AD521</f>
        <v>0</v>
      </c>
      <c r="P521" s="38">
        <f>('Raw Data'!F523+Bill!$P$2)*Bill!$AE521</f>
        <v>0</v>
      </c>
      <c r="Q521" s="38">
        <f>Bill!$Z521*('Raw Data'!$E523+$Q$2)</f>
        <v>0</v>
      </c>
      <c r="R521" s="38">
        <f>('Raw Data'!F523+Bill!$R$2)*Bill!$AF521</f>
        <v>0</v>
      </c>
      <c r="S521" s="48">
        <f>('Raw Data'!G523/100)*Bill!$AG521</f>
        <v>0</v>
      </c>
      <c r="T521" s="38">
        <f>SUM(Bill!$L521:$R521)</f>
        <v>0</v>
      </c>
      <c r="U521" s="53"/>
      <c r="V521" s="50"/>
      <c r="W521" s="38">
        <f>Bill!$U521-Bill!$T521</f>
        <v>0</v>
      </c>
      <c r="Y521" s="37">
        <f>'Raw Data'!D523</f>
        <v>46079</v>
      </c>
      <c r="Z521" s="47">
        <v>0.0</v>
      </c>
      <c r="AA521" s="47"/>
      <c r="AB521" s="47"/>
      <c r="AC521" s="47"/>
      <c r="AD521" s="47"/>
      <c r="AE521" s="47"/>
      <c r="AF521" s="47"/>
      <c r="AG521" s="47"/>
    </row>
    <row r="522" ht="15.75" customHeight="1">
      <c r="A522" s="35">
        <f>Bill!$Y522</f>
        <v>46080</v>
      </c>
      <c r="B522" s="43">
        <f>'Raw Data'!E524+Bill!$L$2</f>
        <v>20</v>
      </c>
      <c r="C522" s="43">
        <f>'Raw Data'!E524+Bill!$M$2</f>
        <v>25</v>
      </c>
      <c r="D522" s="43">
        <f>('Raw Data'!$F524*2)-10</f>
        <v>-10</v>
      </c>
      <c r="E522" s="43">
        <f>'Raw Data'!F524+Bill!$O$2</f>
        <v>20</v>
      </c>
      <c r="F522" s="43">
        <f>'Raw Data'!F524+Bill!$P$2</f>
        <v>25</v>
      </c>
      <c r="G522" s="43">
        <f>'Raw Data'!E524+Bill!$Q$2</f>
        <v>50</v>
      </c>
      <c r="H522" s="43">
        <f>('Raw Data'!F524+Bill!$R$2)</f>
        <v>20</v>
      </c>
      <c r="I522" s="36">
        <f>'Raw Data'!G524/100</f>
        <v>0</v>
      </c>
      <c r="K522" s="37">
        <f>Bill!$Y522</f>
        <v>46080</v>
      </c>
      <c r="L522" s="38">
        <f>Bill!$AA522*('Raw Data'!$E524+$L$2)</f>
        <v>0</v>
      </c>
      <c r="M522" s="38">
        <f>Bill!$AB522*('Raw Data'!$E524+$M$2)</f>
        <v>0</v>
      </c>
      <c r="N522" s="38">
        <f>(('Raw Data'!$F524 * 2)-10)*Bill!$AC522</f>
        <v>0</v>
      </c>
      <c r="O522" s="38">
        <f>('Raw Data'!F524+Bill!$O$2)*Bill!$AD522</f>
        <v>0</v>
      </c>
      <c r="P522" s="38">
        <f>('Raw Data'!F524+Bill!$P$2)*Bill!$AE522</f>
        <v>0</v>
      </c>
      <c r="Q522" s="38">
        <f>Bill!$Z522*('Raw Data'!$E524+$Q$2)</f>
        <v>0</v>
      </c>
      <c r="R522" s="38">
        <f>('Raw Data'!F524+Bill!$R$2)*Bill!$AF522</f>
        <v>0</v>
      </c>
      <c r="S522" s="48">
        <f>('Raw Data'!G524/100)*Bill!$AG522</f>
        <v>0</v>
      </c>
      <c r="T522" s="38">
        <f>SUM(Bill!$L522:$R522)</f>
        <v>0</v>
      </c>
      <c r="U522" s="53"/>
      <c r="V522" s="50"/>
      <c r="W522" s="38">
        <f>Bill!$U522-Bill!$T522</f>
        <v>0</v>
      </c>
      <c r="Y522" s="37">
        <f>'Raw Data'!D524</f>
        <v>46080</v>
      </c>
      <c r="Z522" s="47">
        <v>0.0</v>
      </c>
      <c r="AA522" s="47"/>
      <c r="AB522" s="47"/>
      <c r="AC522" s="47"/>
      <c r="AD522" s="47"/>
      <c r="AE522" s="47"/>
      <c r="AF522" s="47"/>
      <c r="AG522" s="47"/>
    </row>
    <row r="523" ht="15.75" customHeight="1">
      <c r="A523" s="35">
        <f>Bill!$Y523</f>
        <v>46081</v>
      </c>
      <c r="B523" s="43">
        <f>'Raw Data'!E525+Bill!$L$2</f>
        <v>20</v>
      </c>
      <c r="C523" s="43">
        <f>'Raw Data'!E525+Bill!$M$2</f>
        <v>25</v>
      </c>
      <c r="D523" s="43">
        <f>('Raw Data'!$F525*2)-10</f>
        <v>-10</v>
      </c>
      <c r="E523" s="43">
        <f>'Raw Data'!F525+Bill!$O$2</f>
        <v>20</v>
      </c>
      <c r="F523" s="43">
        <f>'Raw Data'!F525+Bill!$P$2</f>
        <v>25</v>
      </c>
      <c r="G523" s="43">
        <f>'Raw Data'!E525+Bill!$Q$2</f>
        <v>50</v>
      </c>
      <c r="H523" s="43">
        <f>('Raw Data'!F525+Bill!$R$2)</f>
        <v>20</v>
      </c>
      <c r="I523" s="36">
        <f>'Raw Data'!G525/100</f>
        <v>0</v>
      </c>
      <c r="K523" s="37">
        <f>Bill!$Y523</f>
        <v>46081</v>
      </c>
      <c r="L523" s="38">
        <f>Bill!$AA523*('Raw Data'!$E525+$L$2)</f>
        <v>0</v>
      </c>
      <c r="M523" s="38">
        <f>Bill!$AB523*('Raw Data'!$E525+$M$2)</f>
        <v>0</v>
      </c>
      <c r="N523" s="38">
        <f>(('Raw Data'!$F525 * 2)-10)*Bill!$AC523</f>
        <v>0</v>
      </c>
      <c r="O523" s="38">
        <f>('Raw Data'!F525+Bill!$O$2)*Bill!$AD523</f>
        <v>0</v>
      </c>
      <c r="P523" s="38">
        <f>('Raw Data'!F525+Bill!$P$2)*Bill!$AE523</f>
        <v>0</v>
      </c>
      <c r="Q523" s="38">
        <f>Bill!$Z523*('Raw Data'!$E525+$Q$2)</f>
        <v>0</v>
      </c>
      <c r="R523" s="38">
        <f>('Raw Data'!F525+Bill!$R$2)*Bill!$AF523</f>
        <v>0</v>
      </c>
      <c r="S523" s="48">
        <f>('Raw Data'!G525/100)*Bill!$AG523</f>
        <v>0</v>
      </c>
      <c r="T523" s="38">
        <f>SUM(Bill!$L523:$R523)</f>
        <v>0</v>
      </c>
      <c r="U523" s="53"/>
      <c r="V523" s="50"/>
      <c r="W523" s="38">
        <f>Bill!$U523-Bill!$T523</f>
        <v>0</v>
      </c>
      <c r="Y523" s="37">
        <f>'Raw Data'!D525</f>
        <v>46081</v>
      </c>
      <c r="Z523" s="47">
        <v>0.0</v>
      </c>
      <c r="AA523" s="47"/>
      <c r="AB523" s="47"/>
      <c r="AC523" s="47"/>
      <c r="AD523" s="47"/>
      <c r="AE523" s="47"/>
      <c r="AF523" s="47"/>
      <c r="AG523" s="47"/>
    </row>
    <row r="524" ht="15.75" customHeight="1">
      <c r="A524" s="35">
        <f>Bill!$Y524</f>
        <v>46082</v>
      </c>
      <c r="B524" s="43">
        <f>'Raw Data'!E526+Bill!$L$2</f>
        <v>20</v>
      </c>
      <c r="C524" s="43">
        <f>'Raw Data'!E526+Bill!$M$2</f>
        <v>25</v>
      </c>
      <c r="D524" s="43">
        <f>('Raw Data'!$F526*2)-10</f>
        <v>-10</v>
      </c>
      <c r="E524" s="43">
        <f>'Raw Data'!F526+Bill!$O$2</f>
        <v>20</v>
      </c>
      <c r="F524" s="43">
        <f>'Raw Data'!F526+Bill!$P$2</f>
        <v>25</v>
      </c>
      <c r="G524" s="43">
        <f>'Raw Data'!E526+Bill!$Q$2</f>
        <v>50</v>
      </c>
      <c r="H524" s="43">
        <f>('Raw Data'!F526+Bill!$R$2)</f>
        <v>20</v>
      </c>
      <c r="I524" s="36">
        <f>'Raw Data'!G526/100</f>
        <v>0</v>
      </c>
      <c r="K524" s="37">
        <f>Bill!$Y524</f>
        <v>46082</v>
      </c>
      <c r="L524" s="38">
        <f>Bill!$AA524*('Raw Data'!$E526+$L$2)</f>
        <v>0</v>
      </c>
      <c r="M524" s="38">
        <f>Bill!$AB524*('Raw Data'!$E526+$M$2)</f>
        <v>0</v>
      </c>
      <c r="N524" s="38">
        <f>(('Raw Data'!$F526 * 2)-10)*Bill!$AC524</f>
        <v>0</v>
      </c>
      <c r="O524" s="38">
        <f>('Raw Data'!F526+Bill!$O$2)*Bill!$AD524</f>
        <v>0</v>
      </c>
      <c r="P524" s="38">
        <f>('Raw Data'!F526+Bill!$P$2)*Bill!$AE524</f>
        <v>0</v>
      </c>
      <c r="Q524" s="38">
        <f>Bill!$Z524*('Raw Data'!$E526+$Q$2)</f>
        <v>0</v>
      </c>
      <c r="R524" s="38">
        <f>('Raw Data'!F526+Bill!$R$2)*Bill!$AF524</f>
        <v>0</v>
      </c>
      <c r="S524" s="48">
        <f>('Raw Data'!G526/100)*Bill!$AG524</f>
        <v>0</v>
      </c>
      <c r="T524" s="38">
        <f>SUM(Bill!$L524:$R524)</f>
        <v>0</v>
      </c>
      <c r="U524" s="53"/>
      <c r="V524" s="50"/>
      <c r="W524" s="38">
        <f>Bill!$U524-Bill!$T524</f>
        <v>0</v>
      </c>
      <c r="Y524" s="37">
        <f>'Raw Data'!D526</f>
        <v>46082</v>
      </c>
      <c r="Z524" s="47">
        <v>0.0</v>
      </c>
      <c r="AA524" s="47"/>
      <c r="AB524" s="47"/>
      <c r="AC524" s="47"/>
      <c r="AD524" s="47"/>
      <c r="AE524" s="47"/>
      <c r="AF524" s="47"/>
      <c r="AG524" s="47"/>
    </row>
    <row r="525" ht="15.75" customHeight="1">
      <c r="A525" s="35">
        <f>Bill!$Y525</f>
        <v>46083</v>
      </c>
      <c r="B525" s="43">
        <f>'Raw Data'!E527+Bill!$L$2</f>
        <v>20</v>
      </c>
      <c r="C525" s="43">
        <f>'Raw Data'!E527+Bill!$M$2</f>
        <v>25</v>
      </c>
      <c r="D525" s="43">
        <f>('Raw Data'!$F527*2)-10</f>
        <v>-10</v>
      </c>
      <c r="E525" s="43">
        <f>'Raw Data'!F527+Bill!$O$2</f>
        <v>20</v>
      </c>
      <c r="F525" s="43">
        <f>'Raw Data'!F527+Bill!$P$2</f>
        <v>25</v>
      </c>
      <c r="G525" s="43">
        <f>'Raw Data'!E527+Bill!$Q$2</f>
        <v>50</v>
      </c>
      <c r="H525" s="43">
        <f>('Raw Data'!F527+Bill!$R$2)</f>
        <v>20</v>
      </c>
      <c r="I525" s="36">
        <f>'Raw Data'!G527/100</f>
        <v>0</v>
      </c>
      <c r="K525" s="37">
        <f>Bill!$Y525</f>
        <v>46083</v>
      </c>
      <c r="L525" s="38">
        <f>Bill!$AA525*('Raw Data'!$E527+$L$2)</f>
        <v>0</v>
      </c>
      <c r="M525" s="38">
        <f>Bill!$AB525*('Raw Data'!$E527+$M$2)</f>
        <v>0</v>
      </c>
      <c r="N525" s="38">
        <f>(('Raw Data'!$F527 * 2)-10)*Bill!$AC525</f>
        <v>0</v>
      </c>
      <c r="O525" s="38">
        <f>('Raw Data'!F527+Bill!$O$2)*Bill!$AD525</f>
        <v>0</v>
      </c>
      <c r="P525" s="38">
        <f>('Raw Data'!F527+Bill!$P$2)*Bill!$AE525</f>
        <v>0</v>
      </c>
      <c r="Q525" s="38">
        <f>Bill!$Z525*('Raw Data'!$E527+$Q$2)</f>
        <v>0</v>
      </c>
      <c r="R525" s="38">
        <f>('Raw Data'!F527+Bill!$R$2)*Bill!$AF525</f>
        <v>0</v>
      </c>
      <c r="S525" s="48">
        <f>('Raw Data'!G527/100)*Bill!$AG525</f>
        <v>0</v>
      </c>
      <c r="T525" s="38">
        <f>SUM(Bill!$L525:$R525)</f>
        <v>0</v>
      </c>
      <c r="U525" s="53"/>
      <c r="V525" s="50"/>
      <c r="W525" s="38">
        <f>Bill!$U525-Bill!$T525</f>
        <v>0</v>
      </c>
      <c r="Y525" s="37">
        <f>'Raw Data'!D527</f>
        <v>46083</v>
      </c>
      <c r="Z525" s="47">
        <v>0.0</v>
      </c>
      <c r="AA525" s="47"/>
      <c r="AB525" s="47"/>
      <c r="AC525" s="47"/>
      <c r="AD525" s="47"/>
      <c r="AE525" s="47"/>
      <c r="AF525" s="47"/>
      <c r="AG525" s="47"/>
    </row>
    <row r="526" ht="15.75" customHeight="1">
      <c r="A526" s="35">
        <f>Bill!$Y526</f>
        <v>46084</v>
      </c>
      <c r="B526" s="43">
        <f>'Raw Data'!E528+Bill!$L$2</f>
        <v>20</v>
      </c>
      <c r="C526" s="43">
        <f>'Raw Data'!E528+Bill!$M$2</f>
        <v>25</v>
      </c>
      <c r="D526" s="43">
        <f>('Raw Data'!$F528*2)-10</f>
        <v>-10</v>
      </c>
      <c r="E526" s="43">
        <f>'Raw Data'!F528+Bill!$O$2</f>
        <v>20</v>
      </c>
      <c r="F526" s="43">
        <f>'Raw Data'!F528+Bill!$P$2</f>
        <v>25</v>
      </c>
      <c r="G526" s="43">
        <f>'Raw Data'!E528+Bill!$Q$2</f>
        <v>50</v>
      </c>
      <c r="H526" s="43">
        <f>('Raw Data'!F528+Bill!$R$2)</f>
        <v>20</v>
      </c>
      <c r="I526" s="36">
        <f>'Raw Data'!G528/100</f>
        <v>0</v>
      </c>
      <c r="K526" s="37">
        <f>Bill!$Y526</f>
        <v>46084</v>
      </c>
      <c r="L526" s="38">
        <f>Bill!$AA526*('Raw Data'!$E528+$L$2)</f>
        <v>0</v>
      </c>
      <c r="M526" s="38">
        <f>Bill!$AB526*('Raw Data'!$E528+$M$2)</f>
        <v>0</v>
      </c>
      <c r="N526" s="38">
        <f>(('Raw Data'!$F528 * 2)-10)*Bill!$AC526</f>
        <v>0</v>
      </c>
      <c r="O526" s="38">
        <f>('Raw Data'!F528+Bill!$O$2)*Bill!$AD526</f>
        <v>0</v>
      </c>
      <c r="P526" s="38">
        <f>('Raw Data'!F528+Bill!$P$2)*Bill!$AE526</f>
        <v>0</v>
      </c>
      <c r="Q526" s="38">
        <f>Bill!$Z526*('Raw Data'!$E528+$Q$2)</f>
        <v>0</v>
      </c>
      <c r="R526" s="38">
        <f>('Raw Data'!F528+Bill!$R$2)*Bill!$AF526</f>
        <v>0</v>
      </c>
      <c r="S526" s="48">
        <f>('Raw Data'!G528/100)*Bill!$AG526</f>
        <v>0</v>
      </c>
      <c r="T526" s="38">
        <f>SUM(Bill!$L526:$R526)</f>
        <v>0</v>
      </c>
      <c r="U526" s="53"/>
      <c r="V526" s="50"/>
      <c r="W526" s="38">
        <f>Bill!$U526-Bill!$T526</f>
        <v>0</v>
      </c>
      <c r="Y526" s="37">
        <f>'Raw Data'!D528</f>
        <v>46084</v>
      </c>
      <c r="Z526" s="47">
        <v>0.0</v>
      </c>
      <c r="AA526" s="47"/>
      <c r="AB526" s="47"/>
      <c r="AC526" s="47"/>
      <c r="AD526" s="47"/>
      <c r="AE526" s="47"/>
      <c r="AF526" s="47"/>
      <c r="AG526" s="47"/>
    </row>
    <row r="527" ht="15.75" customHeight="1">
      <c r="A527" s="35">
        <f>Bill!$Y527</f>
        <v>46085</v>
      </c>
      <c r="B527" s="43">
        <f>'Raw Data'!E529+Bill!$L$2</f>
        <v>20</v>
      </c>
      <c r="C527" s="43">
        <f>'Raw Data'!E529+Bill!$M$2</f>
        <v>25</v>
      </c>
      <c r="D527" s="43">
        <f>('Raw Data'!$F529*2)-10</f>
        <v>-10</v>
      </c>
      <c r="E527" s="43">
        <f>'Raw Data'!F529+Bill!$O$2</f>
        <v>20</v>
      </c>
      <c r="F527" s="43">
        <f>'Raw Data'!F529+Bill!$P$2</f>
        <v>25</v>
      </c>
      <c r="G527" s="43">
        <f>'Raw Data'!E529+Bill!$Q$2</f>
        <v>50</v>
      </c>
      <c r="H527" s="43">
        <f>('Raw Data'!F529+Bill!$R$2)</f>
        <v>20</v>
      </c>
      <c r="I527" s="36">
        <f>'Raw Data'!G529/100</f>
        <v>0</v>
      </c>
      <c r="K527" s="37">
        <f>Bill!$Y527</f>
        <v>46085</v>
      </c>
      <c r="L527" s="38">
        <f>Bill!$AA527*('Raw Data'!$E529+$L$2)</f>
        <v>0</v>
      </c>
      <c r="M527" s="38">
        <f>Bill!$AB527*('Raw Data'!$E529+$M$2)</f>
        <v>0</v>
      </c>
      <c r="N527" s="38">
        <f>(('Raw Data'!$F529 * 2)-10)*Bill!$AC527</f>
        <v>0</v>
      </c>
      <c r="O527" s="38">
        <f>('Raw Data'!F529+Bill!$O$2)*Bill!$AD527</f>
        <v>0</v>
      </c>
      <c r="P527" s="38">
        <f>('Raw Data'!F529+Bill!$P$2)*Bill!$AE527</f>
        <v>0</v>
      </c>
      <c r="Q527" s="38">
        <f>Bill!$Z527*('Raw Data'!$E529+$Q$2)</f>
        <v>0</v>
      </c>
      <c r="R527" s="38">
        <f>('Raw Data'!F529+Bill!$R$2)*Bill!$AF527</f>
        <v>0</v>
      </c>
      <c r="S527" s="48">
        <f>('Raw Data'!G529/100)*Bill!$AG527</f>
        <v>0</v>
      </c>
      <c r="T527" s="38">
        <f>SUM(Bill!$L527:$R527)</f>
        <v>0</v>
      </c>
      <c r="U527" s="53"/>
      <c r="V527" s="50"/>
      <c r="W527" s="38">
        <f>Bill!$U527-Bill!$T527</f>
        <v>0</v>
      </c>
      <c r="Y527" s="37">
        <f>'Raw Data'!D529</f>
        <v>46085</v>
      </c>
      <c r="Z527" s="47">
        <v>0.0</v>
      </c>
      <c r="AA527" s="47"/>
      <c r="AB527" s="47"/>
      <c r="AC527" s="47"/>
      <c r="AD527" s="47"/>
      <c r="AE527" s="47"/>
      <c r="AF527" s="47"/>
      <c r="AG527" s="47"/>
    </row>
    <row r="528" ht="15.75" customHeight="1">
      <c r="A528" s="35">
        <f>Bill!$Y528</f>
        <v>46086</v>
      </c>
      <c r="B528" s="43">
        <f>'Raw Data'!E530+Bill!$L$2</f>
        <v>20</v>
      </c>
      <c r="C528" s="43">
        <f>'Raw Data'!E530+Bill!$M$2</f>
        <v>25</v>
      </c>
      <c r="D528" s="43">
        <f>('Raw Data'!$F530*2)-10</f>
        <v>-10</v>
      </c>
      <c r="E528" s="43">
        <f>'Raw Data'!F530+Bill!$O$2</f>
        <v>20</v>
      </c>
      <c r="F528" s="43">
        <f>'Raw Data'!F530+Bill!$P$2</f>
        <v>25</v>
      </c>
      <c r="G528" s="43">
        <f>'Raw Data'!E530+Bill!$Q$2</f>
        <v>50</v>
      </c>
      <c r="H528" s="43">
        <f>('Raw Data'!F530+Bill!$R$2)</f>
        <v>20</v>
      </c>
      <c r="I528" s="36">
        <f>'Raw Data'!G530/100</f>
        <v>0</v>
      </c>
      <c r="K528" s="37">
        <f>Bill!$Y528</f>
        <v>46086</v>
      </c>
      <c r="L528" s="38">
        <f>Bill!$AA528*('Raw Data'!$E530+$L$2)</f>
        <v>0</v>
      </c>
      <c r="M528" s="38">
        <f>Bill!$AB528*('Raw Data'!$E530+$M$2)</f>
        <v>0</v>
      </c>
      <c r="N528" s="38">
        <f>(('Raw Data'!$F530 * 2)-10)*Bill!$AC528</f>
        <v>0</v>
      </c>
      <c r="O528" s="38">
        <f>('Raw Data'!F530+Bill!$O$2)*Bill!$AD528</f>
        <v>0</v>
      </c>
      <c r="P528" s="38">
        <f>('Raw Data'!F530+Bill!$P$2)*Bill!$AE528</f>
        <v>0</v>
      </c>
      <c r="Q528" s="38">
        <f>Bill!$Z528*('Raw Data'!$E530+$Q$2)</f>
        <v>0</v>
      </c>
      <c r="R528" s="38">
        <f>('Raw Data'!F530+Bill!$R$2)*Bill!$AF528</f>
        <v>0</v>
      </c>
      <c r="S528" s="48">
        <f>('Raw Data'!G530/100)*Bill!$AG528</f>
        <v>0</v>
      </c>
      <c r="T528" s="38">
        <f>SUM(Bill!$L528:$R528)</f>
        <v>0</v>
      </c>
      <c r="U528" s="53"/>
      <c r="V528" s="50"/>
      <c r="W528" s="38">
        <f>Bill!$U528-Bill!$T528</f>
        <v>0</v>
      </c>
      <c r="Y528" s="37">
        <f>'Raw Data'!D530</f>
        <v>46086</v>
      </c>
      <c r="Z528" s="47">
        <v>0.0</v>
      </c>
      <c r="AA528" s="47"/>
      <c r="AB528" s="47"/>
      <c r="AC528" s="47"/>
      <c r="AD528" s="47"/>
      <c r="AE528" s="47"/>
      <c r="AF528" s="47"/>
      <c r="AG528" s="47"/>
    </row>
    <row r="529" ht="15.75" customHeight="1">
      <c r="A529" s="35">
        <f>Bill!$Y529</f>
        <v>46087</v>
      </c>
      <c r="B529" s="43">
        <f>'Raw Data'!E531+Bill!$L$2</f>
        <v>20</v>
      </c>
      <c r="C529" s="43">
        <f>'Raw Data'!E531+Bill!$M$2</f>
        <v>25</v>
      </c>
      <c r="D529" s="43">
        <f>('Raw Data'!$F531*2)-10</f>
        <v>-10</v>
      </c>
      <c r="E529" s="43">
        <f>'Raw Data'!F531+Bill!$O$2</f>
        <v>20</v>
      </c>
      <c r="F529" s="43">
        <f>'Raw Data'!F531+Bill!$P$2</f>
        <v>25</v>
      </c>
      <c r="G529" s="43">
        <f>'Raw Data'!E531+Bill!$Q$2</f>
        <v>50</v>
      </c>
      <c r="H529" s="43">
        <f>('Raw Data'!F531+Bill!$R$2)</f>
        <v>20</v>
      </c>
      <c r="I529" s="36">
        <f>'Raw Data'!G531/100</f>
        <v>0</v>
      </c>
      <c r="K529" s="37">
        <f>Bill!$Y529</f>
        <v>46087</v>
      </c>
      <c r="L529" s="38">
        <f>Bill!$AA529*('Raw Data'!$E531+$L$2)</f>
        <v>0</v>
      </c>
      <c r="M529" s="38">
        <f>Bill!$AB529*('Raw Data'!$E531+$M$2)</f>
        <v>0</v>
      </c>
      <c r="N529" s="38">
        <f>(('Raw Data'!$F531 * 2)-10)*Bill!$AC529</f>
        <v>0</v>
      </c>
      <c r="O529" s="38">
        <f>('Raw Data'!F531+Bill!$O$2)*Bill!$AD529</f>
        <v>0</v>
      </c>
      <c r="P529" s="38">
        <f>('Raw Data'!F531+Bill!$P$2)*Bill!$AE529</f>
        <v>0</v>
      </c>
      <c r="Q529" s="38">
        <f>Bill!$Z529*('Raw Data'!$E531+$Q$2)</f>
        <v>0</v>
      </c>
      <c r="R529" s="38">
        <f>('Raw Data'!F531+Bill!$R$2)*Bill!$AF529</f>
        <v>0</v>
      </c>
      <c r="S529" s="48">
        <f>('Raw Data'!G531/100)*Bill!$AG529</f>
        <v>0</v>
      </c>
      <c r="T529" s="38">
        <f>SUM(Bill!$L529:$R529)</f>
        <v>0</v>
      </c>
      <c r="U529" s="53"/>
      <c r="V529" s="50"/>
      <c r="W529" s="38">
        <f>Bill!$U529-Bill!$T529</f>
        <v>0</v>
      </c>
      <c r="Y529" s="37">
        <f>'Raw Data'!D531</f>
        <v>46087</v>
      </c>
      <c r="Z529" s="47">
        <v>0.0</v>
      </c>
      <c r="AA529" s="47"/>
      <c r="AB529" s="47"/>
      <c r="AC529" s="47"/>
      <c r="AD529" s="47"/>
      <c r="AE529" s="47"/>
      <c r="AF529" s="47"/>
      <c r="AG529" s="47"/>
    </row>
    <row r="530" ht="15.75" customHeight="1">
      <c r="A530" s="35">
        <f>Bill!$Y530</f>
        <v>46088</v>
      </c>
      <c r="B530" s="43">
        <f>'Raw Data'!E532+Bill!$L$2</f>
        <v>20</v>
      </c>
      <c r="C530" s="43">
        <f>'Raw Data'!E532+Bill!$M$2</f>
        <v>25</v>
      </c>
      <c r="D530" s="43">
        <f>('Raw Data'!$F532*2)-10</f>
        <v>-10</v>
      </c>
      <c r="E530" s="43">
        <f>'Raw Data'!F532+Bill!$O$2</f>
        <v>20</v>
      </c>
      <c r="F530" s="43">
        <f>'Raw Data'!F532+Bill!$P$2</f>
        <v>25</v>
      </c>
      <c r="G530" s="43">
        <f>'Raw Data'!E532+Bill!$Q$2</f>
        <v>50</v>
      </c>
      <c r="H530" s="43">
        <f>('Raw Data'!F532+Bill!$R$2)</f>
        <v>20</v>
      </c>
      <c r="I530" s="36">
        <f>'Raw Data'!G532/100</f>
        <v>0</v>
      </c>
      <c r="K530" s="37">
        <f>Bill!$Y530</f>
        <v>46088</v>
      </c>
      <c r="L530" s="38">
        <f>Bill!$AA530*('Raw Data'!$E532+$L$2)</f>
        <v>0</v>
      </c>
      <c r="M530" s="38">
        <f>Bill!$AB530*('Raw Data'!$E532+$M$2)</f>
        <v>0</v>
      </c>
      <c r="N530" s="38">
        <f>(('Raw Data'!$F532 * 2)-10)*Bill!$AC530</f>
        <v>0</v>
      </c>
      <c r="O530" s="38">
        <f>('Raw Data'!F532+Bill!$O$2)*Bill!$AD530</f>
        <v>0</v>
      </c>
      <c r="P530" s="38">
        <f>('Raw Data'!F532+Bill!$P$2)*Bill!$AE530</f>
        <v>0</v>
      </c>
      <c r="Q530" s="38">
        <f>Bill!$Z530*('Raw Data'!$E532+$Q$2)</f>
        <v>0</v>
      </c>
      <c r="R530" s="38">
        <f>('Raw Data'!F532+Bill!$R$2)*Bill!$AF530</f>
        <v>0</v>
      </c>
      <c r="S530" s="48">
        <f>('Raw Data'!G532/100)*Bill!$AG530</f>
        <v>0</v>
      </c>
      <c r="T530" s="38">
        <f>SUM(Bill!$L530:$R530)</f>
        <v>0</v>
      </c>
      <c r="U530" s="53"/>
      <c r="V530" s="50"/>
      <c r="W530" s="38">
        <f>Bill!$U530-Bill!$T530</f>
        <v>0</v>
      </c>
      <c r="Y530" s="37">
        <f>'Raw Data'!D532</f>
        <v>46088</v>
      </c>
      <c r="Z530" s="47">
        <v>0.0</v>
      </c>
      <c r="AA530" s="47"/>
      <c r="AB530" s="47"/>
      <c r="AC530" s="47"/>
      <c r="AD530" s="47"/>
      <c r="AE530" s="47"/>
      <c r="AF530" s="47"/>
      <c r="AG530" s="47"/>
    </row>
    <row r="531" ht="15.75" customHeight="1">
      <c r="A531" s="35">
        <f>Bill!$Y531</f>
        <v>46089</v>
      </c>
      <c r="B531" s="43">
        <f>'Raw Data'!E533+Bill!$L$2</f>
        <v>20</v>
      </c>
      <c r="C531" s="43">
        <f>'Raw Data'!E533+Bill!$M$2</f>
        <v>25</v>
      </c>
      <c r="D531" s="43">
        <f>('Raw Data'!$F533*2)-10</f>
        <v>-10</v>
      </c>
      <c r="E531" s="43">
        <f>'Raw Data'!F533+Bill!$O$2</f>
        <v>20</v>
      </c>
      <c r="F531" s="43">
        <f>'Raw Data'!F533+Bill!$P$2</f>
        <v>25</v>
      </c>
      <c r="G531" s="43">
        <f>'Raw Data'!E533+Bill!$Q$2</f>
        <v>50</v>
      </c>
      <c r="H531" s="43">
        <f>('Raw Data'!F533+Bill!$R$2)</f>
        <v>20</v>
      </c>
      <c r="I531" s="36">
        <f>'Raw Data'!G533/100</f>
        <v>0</v>
      </c>
      <c r="K531" s="37">
        <f>Bill!$Y531</f>
        <v>46089</v>
      </c>
      <c r="L531" s="38">
        <f>Bill!$AA531*('Raw Data'!$E533+$L$2)</f>
        <v>0</v>
      </c>
      <c r="M531" s="38">
        <f>Bill!$AB531*('Raw Data'!$E533+$M$2)</f>
        <v>0</v>
      </c>
      <c r="N531" s="38">
        <f>(('Raw Data'!$F533 * 2)-10)*Bill!$AC531</f>
        <v>0</v>
      </c>
      <c r="O531" s="38">
        <f>('Raw Data'!F533+Bill!$O$2)*Bill!$AD531</f>
        <v>0</v>
      </c>
      <c r="P531" s="38">
        <f>('Raw Data'!F533+Bill!$P$2)*Bill!$AE531</f>
        <v>0</v>
      </c>
      <c r="Q531" s="38">
        <f>Bill!$Z531*('Raw Data'!$E533+$Q$2)</f>
        <v>0</v>
      </c>
      <c r="R531" s="38">
        <f>('Raw Data'!F533+Bill!$R$2)*Bill!$AF531</f>
        <v>0</v>
      </c>
      <c r="S531" s="48">
        <f>('Raw Data'!G533/100)*Bill!$AG531</f>
        <v>0</v>
      </c>
      <c r="T531" s="38">
        <f>SUM(Bill!$L531:$R531)</f>
        <v>0</v>
      </c>
      <c r="U531" s="53"/>
      <c r="V531" s="50"/>
      <c r="W531" s="38">
        <f>Bill!$U531-Bill!$T531</f>
        <v>0</v>
      </c>
      <c r="Y531" s="37">
        <f>'Raw Data'!D533</f>
        <v>46089</v>
      </c>
      <c r="Z531" s="47">
        <v>0.0</v>
      </c>
      <c r="AA531" s="47"/>
      <c r="AB531" s="47"/>
      <c r="AC531" s="47"/>
      <c r="AD531" s="47"/>
      <c r="AE531" s="47"/>
      <c r="AF531" s="47"/>
      <c r="AG531" s="47"/>
    </row>
    <row r="532" ht="15.75" customHeight="1">
      <c r="A532" s="35">
        <f>Bill!$Y532</f>
        <v>46090</v>
      </c>
      <c r="B532" s="43">
        <f>'Raw Data'!E534+Bill!$L$2</f>
        <v>20</v>
      </c>
      <c r="C532" s="43">
        <f>'Raw Data'!E534+Bill!$M$2</f>
        <v>25</v>
      </c>
      <c r="D532" s="43">
        <f>('Raw Data'!$F534*2)-10</f>
        <v>-10</v>
      </c>
      <c r="E532" s="43">
        <f>'Raw Data'!F534+Bill!$O$2</f>
        <v>20</v>
      </c>
      <c r="F532" s="43">
        <f>'Raw Data'!F534+Bill!$P$2</f>
        <v>25</v>
      </c>
      <c r="G532" s="43">
        <f>'Raw Data'!E534+Bill!$Q$2</f>
        <v>50</v>
      </c>
      <c r="H532" s="43">
        <f>('Raw Data'!F534+Bill!$R$2)</f>
        <v>20</v>
      </c>
      <c r="I532" s="36">
        <f>'Raw Data'!G534/100</f>
        <v>0</v>
      </c>
      <c r="K532" s="37">
        <f>Bill!$Y532</f>
        <v>46090</v>
      </c>
      <c r="L532" s="38">
        <f>Bill!$AA532*('Raw Data'!$E534+$L$2)</f>
        <v>0</v>
      </c>
      <c r="M532" s="38">
        <f>Bill!$AB532*('Raw Data'!$E534+$M$2)</f>
        <v>0</v>
      </c>
      <c r="N532" s="38">
        <f>(('Raw Data'!$F534 * 2)-10)*Bill!$AC532</f>
        <v>0</v>
      </c>
      <c r="O532" s="38">
        <f>('Raw Data'!F534+Bill!$O$2)*Bill!$AD532</f>
        <v>0</v>
      </c>
      <c r="P532" s="38">
        <f>('Raw Data'!F534+Bill!$P$2)*Bill!$AE532</f>
        <v>0</v>
      </c>
      <c r="Q532" s="38">
        <f>Bill!$Z532*('Raw Data'!$E534+$Q$2)</f>
        <v>0</v>
      </c>
      <c r="R532" s="38">
        <f>('Raw Data'!F534+Bill!$R$2)*Bill!$AF532</f>
        <v>0</v>
      </c>
      <c r="S532" s="48">
        <f>('Raw Data'!G534/100)*Bill!$AG532</f>
        <v>0</v>
      </c>
      <c r="T532" s="38">
        <f>SUM(Bill!$L532:$R532)</f>
        <v>0</v>
      </c>
      <c r="U532" s="53"/>
      <c r="V532" s="50"/>
      <c r="W532" s="38">
        <f>Bill!$U532-Bill!$T532</f>
        <v>0</v>
      </c>
      <c r="Y532" s="37">
        <f>'Raw Data'!D534</f>
        <v>46090</v>
      </c>
      <c r="Z532" s="47">
        <v>0.0</v>
      </c>
      <c r="AA532" s="47"/>
      <c r="AB532" s="47"/>
      <c r="AC532" s="47"/>
      <c r="AD532" s="47"/>
      <c r="AE532" s="47"/>
      <c r="AF532" s="47"/>
      <c r="AG532" s="47"/>
    </row>
    <row r="533" ht="15.75" customHeight="1">
      <c r="A533" s="35">
        <f>Bill!$Y533</f>
        <v>46091</v>
      </c>
      <c r="B533" s="43">
        <f>'Raw Data'!E535+Bill!$L$2</f>
        <v>20</v>
      </c>
      <c r="C533" s="43">
        <f>'Raw Data'!E535+Bill!$M$2</f>
        <v>25</v>
      </c>
      <c r="D533" s="43">
        <f>('Raw Data'!$F535*2)-10</f>
        <v>-10</v>
      </c>
      <c r="E533" s="43">
        <f>'Raw Data'!F535+Bill!$O$2</f>
        <v>20</v>
      </c>
      <c r="F533" s="43">
        <f>'Raw Data'!F535+Bill!$P$2</f>
        <v>25</v>
      </c>
      <c r="G533" s="43">
        <f>'Raw Data'!E535+Bill!$Q$2</f>
        <v>50</v>
      </c>
      <c r="H533" s="43">
        <f>('Raw Data'!F535+Bill!$R$2)</f>
        <v>20</v>
      </c>
      <c r="I533" s="36">
        <f>'Raw Data'!G535/100</f>
        <v>0</v>
      </c>
      <c r="K533" s="37">
        <f>Bill!$Y533</f>
        <v>46091</v>
      </c>
      <c r="L533" s="38">
        <f>Bill!$AA533*('Raw Data'!$E535+$L$2)</f>
        <v>0</v>
      </c>
      <c r="M533" s="38">
        <f>Bill!$AB533*('Raw Data'!$E535+$M$2)</f>
        <v>0</v>
      </c>
      <c r="N533" s="38">
        <f>(('Raw Data'!$F535 * 2)-10)*Bill!$AC533</f>
        <v>0</v>
      </c>
      <c r="O533" s="38">
        <f>('Raw Data'!F535+Bill!$O$2)*Bill!$AD533</f>
        <v>0</v>
      </c>
      <c r="P533" s="38">
        <f>('Raw Data'!F535+Bill!$P$2)*Bill!$AE533</f>
        <v>0</v>
      </c>
      <c r="Q533" s="38">
        <f>Bill!$Z533*('Raw Data'!$E535+$Q$2)</f>
        <v>0</v>
      </c>
      <c r="R533" s="38">
        <f>('Raw Data'!F535+Bill!$R$2)*Bill!$AF533</f>
        <v>0</v>
      </c>
      <c r="S533" s="48">
        <f>('Raw Data'!G535/100)*Bill!$AG533</f>
        <v>0</v>
      </c>
      <c r="T533" s="38">
        <f>SUM(Bill!$L533:$R533)</f>
        <v>0</v>
      </c>
      <c r="U533" s="53"/>
      <c r="V533" s="50"/>
      <c r="W533" s="38">
        <f>Bill!$U533-Bill!$T533</f>
        <v>0</v>
      </c>
      <c r="Y533" s="37">
        <f>'Raw Data'!D535</f>
        <v>46091</v>
      </c>
      <c r="Z533" s="47">
        <v>0.0</v>
      </c>
      <c r="AA533" s="47"/>
      <c r="AB533" s="47"/>
      <c r="AC533" s="47"/>
      <c r="AD533" s="47"/>
      <c r="AE533" s="47"/>
      <c r="AF533" s="47"/>
      <c r="AG533" s="47"/>
    </row>
    <row r="534" ht="15.75" customHeight="1">
      <c r="A534" s="35">
        <f>Bill!$Y534</f>
        <v>46092</v>
      </c>
      <c r="B534" s="43">
        <f>'Raw Data'!E536+Bill!$L$2</f>
        <v>20</v>
      </c>
      <c r="C534" s="43">
        <f>'Raw Data'!E536+Bill!$M$2</f>
        <v>25</v>
      </c>
      <c r="D534" s="43">
        <f>('Raw Data'!$F536*2)-10</f>
        <v>-10</v>
      </c>
      <c r="E534" s="43">
        <f>'Raw Data'!F536+Bill!$O$2</f>
        <v>20</v>
      </c>
      <c r="F534" s="43">
        <f>'Raw Data'!F536+Bill!$P$2</f>
        <v>25</v>
      </c>
      <c r="G534" s="43">
        <f>'Raw Data'!E536+Bill!$Q$2</f>
        <v>50</v>
      </c>
      <c r="H534" s="43">
        <f>('Raw Data'!F536+Bill!$R$2)</f>
        <v>20</v>
      </c>
      <c r="I534" s="36">
        <f>'Raw Data'!G536/100</f>
        <v>0</v>
      </c>
      <c r="K534" s="37">
        <f>Bill!$Y534</f>
        <v>46092</v>
      </c>
      <c r="L534" s="38">
        <f>Bill!$AA534*('Raw Data'!$E536+$L$2)</f>
        <v>0</v>
      </c>
      <c r="M534" s="38">
        <f>Bill!$AB534*('Raw Data'!$E536+$M$2)</f>
        <v>0</v>
      </c>
      <c r="N534" s="38">
        <f>(('Raw Data'!$F536 * 2)-10)*Bill!$AC534</f>
        <v>0</v>
      </c>
      <c r="O534" s="38">
        <f>('Raw Data'!F536+Bill!$O$2)*Bill!$AD534</f>
        <v>0</v>
      </c>
      <c r="P534" s="38">
        <f>('Raw Data'!F536+Bill!$P$2)*Bill!$AE534</f>
        <v>0</v>
      </c>
      <c r="Q534" s="38">
        <f>Bill!$Z534*('Raw Data'!$E536+$Q$2)</f>
        <v>0</v>
      </c>
      <c r="R534" s="38">
        <f>('Raw Data'!F536+Bill!$R$2)*Bill!$AF534</f>
        <v>0</v>
      </c>
      <c r="S534" s="48">
        <f>('Raw Data'!G536/100)*Bill!$AG534</f>
        <v>0</v>
      </c>
      <c r="T534" s="38">
        <f>SUM(Bill!$L534:$R534)</f>
        <v>0</v>
      </c>
      <c r="U534" s="53"/>
      <c r="V534" s="50"/>
      <c r="W534" s="38">
        <f>Bill!$U534-Bill!$T534</f>
        <v>0</v>
      </c>
      <c r="Y534" s="37">
        <f>'Raw Data'!D536</f>
        <v>46092</v>
      </c>
      <c r="Z534" s="47">
        <v>0.0</v>
      </c>
      <c r="AA534" s="47"/>
      <c r="AB534" s="47"/>
      <c r="AC534" s="47"/>
      <c r="AD534" s="47"/>
      <c r="AE534" s="47"/>
      <c r="AF534" s="47"/>
      <c r="AG534" s="47"/>
    </row>
    <row r="535" ht="15.75" customHeight="1">
      <c r="A535" s="35">
        <f>Bill!$Y535</f>
        <v>46093</v>
      </c>
      <c r="B535" s="43">
        <f>'Raw Data'!E537+Bill!$L$2</f>
        <v>20</v>
      </c>
      <c r="C535" s="43">
        <f>'Raw Data'!E537+Bill!$M$2</f>
        <v>25</v>
      </c>
      <c r="D535" s="43">
        <f>('Raw Data'!$F537*2)-10</f>
        <v>-10</v>
      </c>
      <c r="E535" s="43">
        <f>'Raw Data'!F537+Bill!$O$2</f>
        <v>20</v>
      </c>
      <c r="F535" s="43">
        <f>'Raw Data'!F537+Bill!$P$2</f>
        <v>25</v>
      </c>
      <c r="G535" s="43">
        <f>'Raw Data'!E537+Bill!$Q$2</f>
        <v>50</v>
      </c>
      <c r="H535" s="43">
        <f>('Raw Data'!F537+Bill!$R$2)</f>
        <v>20</v>
      </c>
      <c r="I535" s="36">
        <f>'Raw Data'!G537/100</f>
        <v>0</v>
      </c>
      <c r="K535" s="37">
        <f>Bill!$Y535</f>
        <v>46093</v>
      </c>
      <c r="L535" s="38">
        <f>Bill!$AA535*('Raw Data'!$E537+$L$2)</f>
        <v>0</v>
      </c>
      <c r="M535" s="38">
        <f>Bill!$AB535*('Raw Data'!$E537+$M$2)</f>
        <v>0</v>
      </c>
      <c r="N535" s="38">
        <f>(('Raw Data'!$F537 * 2)-10)*Bill!$AC535</f>
        <v>0</v>
      </c>
      <c r="O535" s="38">
        <f>('Raw Data'!F537+Bill!$O$2)*Bill!$AD535</f>
        <v>0</v>
      </c>
      <c r="P535" s="38">
        <f>('Raw Data'!F537+Bill!$P$2)*Bill!$AE535</f>
        <v>0</v>
      </c>
      <c r="Q535" s="38">
        <f>Bill!$Z535*('Raw Data'!$E537+$Q$2)</f>
        <v>0</v>
      </c>
      <c r="R535" s="38">
        <f>('Raw Data'!F537+Bill!$R$2)*Bill!$AF535</f>
        <v>0</v>
      </c>
      <c r="S535" s="48">
        <f>('Raw Data'!G537/100)*Bill!$AG535</f>
        <v>0</v>
      </c>
      <c r="T535" s="38">
        <f>SUM(Bill!$L535:$R535)</f>
        <v>0</v>
      </c>
      <c r="U535" s="53"/>
      <c r="V535" s="50"/>
      <c r="W535" s="38">
        <f>Bill!$U535-Bill!$T535</f>
        <v>0</v>
      </c>
      <c r="Y535" s="37">
        <f>'Raw Data'!D537</f>
        <v>46093</v>
      </c>
      <c r="Z535" s="47">
        <v>0.0</v>
      </c>
      <c r="AA535" s="47"/>
      <c r="AB535" s="47"/>
      <c r="AC535" s="47"/>
      <c r="AD535" s="47"/>
      <c r="AE535" s="47"/>
      <c r="AF535" s="47"/>
      <c r="AG535" s="47"/>
    </row>
    <row r="536" ht="15.75" customHeight="1">
      <c r="A536" s="35">
        <f>Bill!$Y536</f>
        <v>46094</v>
      </c>
      <c r="B536" s="43">
        <f>'Raw Data'!E538+Bill!$L$2</f>
        <v>20</v>
      </c>
      <c r="C536" s="43">
        <f>'Raw Data'!E538+Bill!$M$2</f>
        <v>25</v>
      </c>
      <c r="D536" s="43">
        <f>('Raw Data'!$F538*2)-10</f>
        <v>-10</v>
      </c>
      <c r="E536" s="43">
        <f>'Raw Data'!F538+Bill!$O$2</f>
        <v>20</v>
      </c>
      <c r="F536" s="43">
        <f>'Raw Data'!F538+Bill!$P$2</f>
        <v>25</v>
      </c>
      <c r="G536" s="43">
        <f>'Raw Data'!E538+Bill!$Q$2</f>
        <v>50</v>
      </c>
      <c r="H536" s="43">
        <f>('Raw Data'!F538+Bill!$R$2)</f>
        <v>20</v>
      </c>
      <c r="I536" s="36">
        <f>'Raw Data'!G538/100</f>
        <v>0</v>
      </c>
      <c r="K536" s="37">
        <f>Bill!$Y536</f>
        <v>46094</v>
      </c>
      <c r="L536" s="38">
        <f>Bill!$AA536*('Raw Data'!$E538+$L$2)</f>
        <v>0</v>
      </c>
      <c r="M536" s="38">
        <f>Bill!$AB536*('Raw Data'!$E538+$M$2)</f>
        <v>0</v>
      </c>
      <c r="N536" s="38">
        <f>(('Raw Data'!$F538 * 2)-10)*Bill!$AC536</f>
        <v>0</v>
      </c>
      <c r="O536" s="38">
        <f>('Raw Data'!F538+Bill!$O$2)*Bill!$AD536</f>
        <v>0</v>
      </c>
      <c r="P536" s="38">
        <f>('Raw Data'!F538+Bill!$P$2)*Bill!$AE536</f>
        <v>0</v>
      </c>
      <c r="Q536" s="38">
        <f>Bill!$Z536*('Raw Data'!$E538+$Q$2)</f>
        <v>0</v>
      </c>
      <c r="R536" s="38">
        <f>('Raw Data'!F538+Bill!$R$2)*Bill!$AF536</f>
        <v>0</v>
      </c>
      <c r="S536" s="48">
        <f>('Raw Data'!G538/100)*Bill!$AG536</f>
        <v>0</v>
      </c>
      <c r="T536" s="38">
        <f>SUM(Bill!$L536:$R536)</f>
        <v>0</v>
      </c>
      <c r="U536" s="53"/>
      <c r="V536" s="50"/>
      <c r="W536" s="38">
        <f>Bill!$U536-Bill!$T536</f>
        <v>0</v>
      </c>
      <c r="Y536" s="37">
        <f>'Raw Data'!D538</f>
        <v>46094</v>
      </c>
      <c r="Z536" s="47">
        <v>0.0</v>
      </c>
      <c r="AA536" s="47"/>
      <c r="AB536" s="47"/>
      <c r="AC536" s="47"/>
      <c r="AD536" s="47"/>
      <c r="AE536" s="47"/>
      <c r="AF536" s="47"/>
      <c r="AG536" s="47"/>
    </row>
    <row r="537" ht="15.75" customHeight="1">
      <c r="A537" s="35">
        <f>Bill!$Y537</f>
        <v>46095</v>
      </c>
      <c r="B537" s="43">
        <f>'Raw Data'!E539+Bill!$L$2</f>
        <v>20</v>
      </c>
      <c r="C537" s="43">
        <f>'Raw Data'!E539+Bill!$M$2</f>
        <v>25</v>
      </c>
      <c r="D537" s="43">
        <f>('Raw Data'!$F539*2)-10</f>
        <v>-10</v>
      </c>
      <c r="E537" s="43">
        <f>'Raw Data'!F539+Bill!$O$2</f>
        <v>20</v>
      </c>
      <c r="F537" s="43">
        <f>'Raw Data'!F539+Bill!$P$2</f>
        <v>25</v>
      </c>
      <c r="G537" s="43">
        <f>'Raw Data'!E539+Bill!$Q$2</f>
        <v>50</v>
      </c>
      <c r="H537" s="43">
        <f>('Raw Data'!F539+Bill!$R$2)</f>
        <v>20</v>
      </c>
      <c r="I537" s="36">
        <f>'Raw Data'!G539/100</f>
        <v>0</v>
      </c>
      <c r="K537" s="37">
        <f>Bill!$Y537</f>
        <v>46095</v>
      </c>
      <c r="L537" s="38">
        <f>Bill!$AA537*('Raw Data'!$E539+$L$2)</f>
        <v>0</v>
      </c>
      <c r="M537" s="38">
        <f>Bill!$AB537*('Raw Data'!$E539+$M$2)</f>
        <v>0</v>
      </c>
      <c r="N537" s="38">
        <f>(('Raw Data'!$F539 * 2)-10)*Bill!$AC537</f>
        <v>0</v>
      </c>
      <c r="O537" s="38">
        <f>('Raw Data'!F539+Bill!$O$2)*Bill!$AD537</f>
        <v>0</v>
      </c>
      <c r="P537" s="38">
        <f>('Raw Data'!F539+Bill!$P$2)*Bill!$AE537</f>
        <v>0</v>
      </c>
      <c r="Q537" s="38">
        <f>Bill!$Z537*('Raw Data'!$E539+$Q$2)</f>
        <v>0</v>
      </c>
      <c r="R537" s="38">
        <f>('Raw Data'!F539+Bill!$R$2)*Bill!$AF537</f>
        <v>0</v>
      </c>
      <c r="S537" s="48">
        <f>('Raw Data'!G539/100)*Bill!$AG537</f>
        <v>0</v>
      </c>
      <c r="T537" s="38">
        <f>SUM(Bill!$L537:$R537)</f>
        <v>0</v>
      </c>
      <c r="U537" s="53"/>
      <c r="V537" s="50"/>
      <c r="W537" s="38">
        <f>Bill!$U537-Bill!$T537</f>
        <v>0</v>
      </c>
      <c r="Y537" s="37">
        <f>'Raw Data'!D539</f>
        <v>46095</v>
      </c>
      <c r="Z537" s="47">
        <v>0.0</v>
      </c>
      <c r="AA537" s="47"/>
      <c r="AB537" s="47"/>
      <c r="AC537" s="47"/>
      <c r="AD537" s="47"/>
      <c r="AE537" s="47"/>
      <c r="AF537" s="47"/>
      <c r="AG537" s="47"/>
    </row>
    <row r="538" ht="15.75" customHeight="1">
      <c r="A538" s="35">
        <f>Bill!$Y538</f>
        <v>46096</v>
      </c>
      <c r="B538" s="43">
        <f>'Raw Data'!E540+Bill!$L$2</f>
        <v>20</v>
      </c>
      <c r="C538" s="43">
        <f>'Raw Data'!E540+Bill!$M$2</f>
        <v>25</v>
      </c>
      <c r="D538" s="43">
        <f>('Raw Data'!$F540*2)-10</f>
        <v>-10</v>
      </c>
      <c r="E538" s="43">
        <f>'Raw Data'!F540+Bill!$O$2</f>
        <v>20</v>
      </c>
      <c r="F538" s="43">
        <f>'Raw Data'!F540+Bill!$P$2</f>
        <v>25</v>
      </c>
      <c r="G538" s="43">
        <f>'Raw Data'!E540+Bill!$Q$2</f>
        <v>50</v>
      </c>
      <c r="H538" s="43">
        <f>('Raw Data'!F540+Bill!$R$2)</f>
        <v>20</v>
      </c>
      <c r="I538" s="36">
        <f>'Raw Data'!G540/100</f>
        <v>0</v>
      </c>
      <c r="K538" s="37">
        <f>Bill!$Y538</f>
        <v>46096</v>
      </c>
      <c r="L538" s="38">
        <f>Bill!$AA538*('Raw Data'!$E540+$L$2)</f>
        <v>0</v>
      </c>
      <c r="M538" s="38">
        <f>Bill!$AB538*('Raw Data'!$E540+$M$2)</f>
        <v>0</v>
      </c>
      <c r="N538" s="38">
        <f>(('Raw Data'!$F540 * 2)-10)*Bill!$AC538</f>
        <v>0</v>
      </c>
      <c r="O538" s="38">
        <f>('Raw Data'!F540+Bill!$O$2)*Bill!$AD538</f>
        <v>0</v>
      </c>
      <c r="P538" s="38">
        <f>('Raw Data'!F540+Bill!$P$2)*Bill!$AE538</f>
        <v>0</v>
      </c>
      <c r="Q538" s="38">
        <f>Bill!$Z538*('Raw Data'!$E540+$Q$2)</f>
        <v>0</v>
      </c>
      <c r="R538" s="38">
        <f>('Raw Data'!F540+Bill!$R$2)*Bill!$AF538</f>
        <v>0</v>
      </c>
      <c r="S538" s="48">
        <f>('Raw Data'!G540/100)*Bill!$AG538</f>
        <v>0</v>
      </c>
      <c r="T538" s="38">
        <f>SUM(Bill!$L538:$R538)</f>
        <v>0</v>
      </c>
      <c r="U538" s="53"/>
      <c r="V538" s="50"/>
      <c r="W538" s="38">
        <f>Bill!$U538-Bill!$T538</f>
        <v>0</v>
      </c>
      <c r="Y538" s="37">
        <f>'Raw Data'!D540</f>
        <v>46096</v>
      </c>
      <c r="Z538" s="47">
        <v>0.0</v>
      </c>
      <c r="AA538" s="47"/>
      <c r="AB538" s="47"/>
      <c r="AC538" s="47"/>
      <c r="AD538" s="47"/>
      <c r="AE538" s="47"/>
      <c r="AF538" s="47"/>
      <c r="AG538" s="47"/>
    </row>
    <row r="539" ht="15.75" customHeight="1">
      <c r="A539" s="35">
        <f>Bill!$Y539</f>
        <v>46097</v>
      </c>
      <c r="B539" s="43">
        <f>'Raw Data'!E541+Bill!$L$2</f>
        <v>20</v>
      </c>
      <c r="C539" s="43">
        <f>'Raw Data'!E541+Bill!$M$2</f>
        <v>25</v>
      </c>
      <c r="D539" s="43">
        <f>('Raw Data'!$F541*2)-10</f>
        <v>-10</v>
      </c>
      <c r="E539" s="43">
        <f>'Raw Data'!F541+Bill!$O$2</f>
        <v>20</v>
      </c>
      <c r="F539" s="43">
        <f>'Raw Data'!F541+Bill!$P$2</f>
        <v>25</v>
      </c>
      <c r="G539" s="43">
        <f>'Raw Data'!E541+Bill!$Q$2</f>
        <v>50</v>
      </c>
      <c r="H539" s="43">
        <f>('Raw Data'!F541+Bill!$R$2)</f>
        <v>20</v>
      </c>
      <c r="I539" s="36">
        <f>'Raw Data'!G541/100</f>
        <v>0</v>
      </c>
      <c r="K539" s="37">
        <f>Bill!$Y539</f>
        <v>46097</v>
      </c>
      <c r="L539" s="38">
        <f>Bill!$AA539*('Raw Data'!$E541+$L$2)</f>
        <v>0</v>
      </c>
      <c r="M539" s="38">
        <f>Bill!$AB539*('Raw Data'!$E541+$M$2)</f>
        <v>0</v>
      </c>
      <c r="N539" s="38">
        <f>(('Raw Data'!$F541 * 2)-10)*Bill!$AC539</f>
        <v>0</v>
      </c>
      <c r="O539" s="38">
        <f>('Raw Data'!F541+Bill!$O$2)*Bill!$AD539</f>
        <v>0</v>
      </c>
      <c r="P539" s="38">
        <f>('Raw Data'!F541+Bill!$P$2)*Bill!$AE539</f>
        <v>0</v>
      </c>
      <c r="Q539" s="38">
        <f>Bill!$Z539*('Raw Data'!$E541+$Q$2)</f>
        <v>0</v>
      </c>
      <c r="R539" s="38">
        <f>('Raw Data'!F541+Bill!$R$2)*Bill!$AF539</f>
        <v>0</v>
      </c>
      <c r="S539" s="48">
        <f>('Raw Data'!G541/100)*Bill!$AG539</f>
        <v>0</v>
      </c>
      <c r="T539" s="38">
        <f>SUM(Bill!$L539:$R539)</f>
        <v>0</v>
      </c>
      <c r="U539" s="53"/>
      <c r="V539" s="50"/>
      <c r="W539" s="38">
        <f>Bill!$U539-Bill!$T539</f>
        <v>0</v>
      </c>
      <c r="Y539" s="37">
        <f>'Raw Data'!D541</f>
        <v>46097</v>
      </c>
      <c r="Z539" s="47">
        <v>0.0</v>
      </c>
      <c r="AA539" s="47"/>
      <c r="AB539" s="47"/>
      <c r="AC539" s="47"/>
      <c r="AD539" s="47"/>
      <c r="AE539" s="47"/>
      <c r="AF539" s="47"/>
      <c r="AG539" s="47"/>
    </row>
    <row r="540" ht="15.75" customHeight="1">
      <c r="A540" s="35">
        <f>Bill!$Y540</f>
        <v>46098</v>
      </c>
      <c r="B540" s="43">
        <f>'Raw Data'!E542+Bill!$L$2</f>
        <v>20</v>
      </c>
      <c r="C540" s="43">
        <f>'Raw Data'!E542+Bill!$M$2</f>
        <v>25</v>
      </c>
      <c r="D540" s="43">
        <f>('Raw Data'!$F542*2)-10</f>
        <v>-10</v>
      </c>
      <c r="E540" s="43">
        <f>'Raw Data'!F542+Bill!$O$2</f>
        <v>20</v>
      </c>
      <c r="F540" s="43">
        <f>'Raw Data'!F542+Bill!$P$2</f>
        <v>25</v>
      </c>
      <c r="G540" s="43">
        <f>'Raw Data'!E542+Bill!$Q$2</f>
        <v>50</v>
      </c>
      <c r="H540" s="43">
        <f>('Raw Data'!F542+Bill!$R$2)</f>
        <v>20</v>
      </c>
      <c r="I540" s="36">
        <f>'Raw Data'!G542/100</f>
        <v>0</v>
      </c>
      <c r="K540" s="37">
        <f>Bill!$Y540</f>
        <v>46098</v>
      </c>
      <c r="L540" s="38">
        <f>Bill!$AA540*('Raw Data'!$E542+$L$2)</f>
        <v>0</v>
      </c>
      <c r="M540" s="38">
        <f>Bill!$AB540*('Raw Data'!$E542+$M$2)</f>
        <v>0</v>
      </c>
      <c r="N540" s="38">
        <f>(('Raw Data'!$F542 * 2)-10)*Bill!$AC540</f>
        <v>0</v>
      </c>
      <c r="O540" s="38">
        <f>('Raw Data'!F542+Bill!$O$2)*Bill!$AD540</f>
        <v>0</v>
      </c>
      <c r="P540" s="38">
        <f>('Raw Data'!F542+Bill!$P$2)*Bill!$AE540</f>
        <v>0</v>
      </c>
      <c r="Q540" s="38">
        <f>Bill!$Z540*('Raw Data'!$E542+$Q$2)</f>
        <v>0</v>
      </c>
      <c r="R540" s="38">
        <f>('Raw Data'!F542+Bill!$R$2)*Bill!$AF540</f>
        <v>0</v>
      </c>
      <c r="S540" s="48">
        <f>('Raw Data'!G542/100)*Bill!$AG540</f>
        <v>0</v>
      </c>
      <c r="T540" s="38">
        <f>SUM(Bill!$L540:$R540)</f>
        <v>0</v>
      </c>
      <c r="U540" s="53"/>
      <c r="V540" s="50"/>
      <c r="W540" s="38">
        <f>Bill!$U540-Bill!$T540</f>
        <v>0</v>
      </c>
      <c r="Y540" s="37">
        <f>'Raw Data'!D542</f>
        <v>46098</v>
      </c>
      <c r="Z540" s="47">
        <v>0.0</v>
      </c>
      <c r="AA540" s="47"/>
      <c r="AB540" s="47"/>
      <c r="AC540" s="47"/>
      <c r="AD540" s="47"/>
      <c r="AE540" s="47"/>
      <c r="AF540" s="47"/>
      <c r="AG540" s="47"/>
    </row>
    <row r="541" ht="15.75" customHeight="1">
      <c r="A541" s="35">
        <f>Bill!$Y541</f>
        <v>46099</v>
      </c>
      <c r="B541" s="43">
        <f>'Raw Data'!E543+Bill!$L$2</f>
        <v>20</v>
      </c>
      <c r="C541" s="43">
        <f>'Raw Data'!E543+Bill!$M$2</f>
        <v>25</v>
      </c>
      <c r="D541" s="43">
        <f>('Raw Data'!$F543*2)-10</f>
        <v>-10</v>
      </c>
      <c r="E541" s="43">
        <f>'Raw Data'!F543+Bill!$O$2</f>
        <v>20</v>
      </c>
      <c r="F541" s="43">
        <f>'Raw Data'!F543+Bill!$P$2</f>
        <v>25</v>
      </c>
      <c r="G541" s="43">
        <f>'Raw Data'!E543+Bill!$Q$2</f>
        <v>50</v>
      </c>
      <c r="H541" s="43">
        <f>('Raw Data'!F543+Bill!$R$2)</f>
        <v>20</v>
      </c>
      <c r="I541" s="36">
        <f>'Raw Data'!G543/100</f>
        <v>0</v>
      </c>
      <c r="K541" s="37">
        <f>Bill!$Y541</f>
        <v>46099</v>
      </c>
      <c r="L541" s="38">
        <f>Bill!$AA541*('Raw Data'!$E543+$L$2)</f>
        <v>0</v>
      </c>
      <c r="M541" s="38">
        <f>Bill!$AB541*('Raw Data'!$E543+$M$2)</f>
        <v>0</v>
      </c>
      <c r="N541" s="38">
        <f>(('Raw Data'!$F543 * 2)-10)*Bill!$AC541</f>
        <v>0</v>
      </c>
      <c r="O541" s="38">
        <f>('Raw Data'!F543+Bill!$O$2)*Bill!$AD541</f>
        <v>0</v>
      </c>
      <c r="P541" s="38">
        <f>('Raw Data'!F543+Bill!$P$2)*Bill!$AE541</f>
        <v>0</v>
      </c>
      <c r="Q541" s="38">
        <f>Bill!$Z541*('Raw Data'!$E543+$Q$2)</f>
        <v>0</v>
      </c>
      <c r="R541" s="38">
        <f>('Raw Data'!F543+Bill!$R$2)*Bill!$AF541</f>
        <v>0</v>
      </c>
      <c r="S541" s="48">
        <f>('Raw Data'!G543/100)*Bill!$AG541</f>
        <v>0</v>
      </c>
      <c r="T541" s="38">
        <f>SUM(Bill!$L541:$R541)</f>
        <v>0</v>
      </c>
      <c r="U541" s="53"/>
      <c r="V541" s="50"/>
      <c r="W541" s="38">
        <f>Bill!$U541-Bill!$T541</f>
        <v>0</v>
      </c>
      <c r="Y541" s="37">
        <f>'Raw Data'!D543</f>
        <v>46099</v>
      </c>
      <c r="Z541" s="47">
        <v>0.0</v>
      </c>
      <c r="AA541" s="47"/>
      <c r="AB541" s="47"/>
      <c r="AC541" s="47"/>
      <c r="AD541" s="47"/>
      <c r="AE541" s="47"/>
      <c r="AF541" s="47"/>
      <c r="AG541" s="47"/>
    </row>
    <row r="542" ht="15.75" customHeight="1">
      <c r="A542" s="35">
        <f>Bill!$Y542</f>
        <v>46100</v>
      </c>
      <c r="B542" s="43">
        <f>'Raw Data'!E544+Bill!$L$2</f>
        <v>20</v>
      </c>
      <c r="C542" s="43">
        <f>'Raw Data'!E544+Bill!$M$2</f>
        <v>25</v>
      </c>
      <c r="D542" s="43">
        <f>('Raw Data'!$F544*2)-10</f>
        <v>-10</v>
      </c>
      <c r="E542" s="43">
        <f>'Raw Data'!F544+Bill!$O$2</f>
        <v>20</v>
      </c>
      <c r="F542" s="43">
        <f>'Raw Data'!F544+Bill!$P$2</f>
        <v>25</v>
      </c>
      <c r="G542" s="43">
        <f>'Raw Data'!E544+Bill!$Q$2</f>
        <v>50</v>
      </c>
      <c r="H542" s="43">
        <f>('Raw Data'!F544+Bill!$R$2)</f>
        <v>20</v>
      </c>
      <c r="I542" s="36">
        <f>'Raw Data'!G544/100</f>
        <v>0</v>
      </c>
      <c r="K542" s="37">
        <f>Bill!$Y542</f>
        <v>46100</v>
      </c>
      <c r="L542" s="38">
        <f>Bill!$AA542*('Raw Data'!$E544+$L$2)</f>
        <v>0</v>
      </c>
      <c r="M542" s="38">
        <f>Bill!$AB542*('Raw Data'!$E544+$M$2)</f>
        <v>0</v>
      </c>
      <c r="N542" s="38">
        <f>(('Raw Data'!$F544 * 2)-10)*Bill!$AC542</f>
        <v>0</v>
      </c>
      <c r="O542" s="38">
        <f>('Raw Data'!F544+Bill!$O$2)*Bill!$AD542</f>
        <v>0</v>
      </c>
      <c r="P542" s="38">
        <f>('Raw Data'!F544+Bill!$P$2)*Bill!$AE542</f>
        <v>0</v>
      </c>
      <c r="Q542" s="38">
        <f>Bill!$Z542*('Raw Data'!$E544+$Q$2)</f>
        <v>0</v>
      </c>
      <c r="R542" s="38">
        <f>('Raw Data'!F544+Bill!$R$2)*Bill!$AF542</f>
        <v>0</v>
      </c>
      <c r="S542" s="48">
        <f>('Raw Data'!G544/100)*Bill!$AG542</f>
        <v>0</v>
      </c>
      <c r="T542" s="38">
        <f>SUM(Bill!$L542:$R542)</f>
        <v>0</v>
      </c>
      <c r="U542" s="53"/>
      <c r="V542" s="50"/>
      <c r="W542" s="38">
        <f>Bill!$U542-Bill!$T542</f>
        <v>0</v>
      </c>
      <c r="Y542" s="37">
        <f>'Raw Data'!D544</f>
        <v>46100</v>
      </c>
      <c r="Z542" s="47">
        <v>0.0</v>
      </c>
      <c r="AA542" s="47"/>
      <c r="AB542" s="47"/>
      <c r="AC542" s="47"/>
      <c r="AD542" s="47"/>
      <c r="AE542" s="47"/>
      <c r="AF542" s="47"/>
      <c r="AG542" s="47"/>
    </row>
    <row r="543" ht="15.75" customHeight="1">
      <c r="A543" s="35">
        <f>Bill!$Y543</f>
        <v>46101</v>
      </c>
      <c r="B543" s="43">
        <f>'Raw Data'!E545+Bill!$L$2</f>
        <v>20</v>
      </c>
      <c r="C543" s="43">
        <f>'Raw Data'!E545+Bill!$M$2</f>
        <v>25</v>
      </c>
      <c r="D543" s="43">
        <f>('Raw Data'!$F545*2)-10</f>
        <v>-10</v>
      </c>
      <c r="E543" s="43">
        <f>'Raw Data'!F545+Bill!$O$2</f>
        <v>20</v>
      </c>
      <c r="F543" s="43">
        <f>'Raw Data'!F545+Bill!$P$2</f>
        <v>25</v>
      </c>
      <c r="G543" s="43">
        <f>'Raw Data'!E545+Bill!$Q$2</f>
        <v>50</v>
      </c>
      <c r="H543" s="43">
        <f>('Raw Data'!F545+Bill!$R$2)</f>
        <v>20</v>
      </c>
      <c r="I543" s="36">
        <f>'Raw Data'!G545/100</f>
        <v>0</v>
      </c>
      <c r="K543" s="37">
        <f>Bill!$Y543</f>
        <v>46101</v>
      </c>
      <c r="L543" s="38">
        <f>Bill!$AA543*('Raw Data'!$E545+$L$2)</f>
        <v>0</v>
      </c>
      <c r="M543" s="38">
        <f>Bill!$AB543*('Raw Data'!$E545+$M$2)</f>
        <v>0</v>
      </c>
      <c r="N543" s="38">
        <f>(('Raw Data'!$F545 * 2)-10)*Bill!$AC543</f>
        <v>0</v>
      </c>
      <c r="O543" s="38">
        <f>('Raw Data'!F545+Bill!$O$2)*Bill!$AD543</f>
        <v>0</v>
      </c>
      <c r="P543" s="38">
        <f>('Raw Data'!F545+Bill!$P$2)*Bill!$AE543</f>
        <v>0</v>
      </c>
      <c r="Q543" s="38">
        <f>Bill!$Z543*('Raw Data'!$E545+$Q$2)</f>
        <v>0</v>
      </c>
      <c r="R543" s="38">
        <f>('Raw Data'!F545+Bill!$R$2)*Bill!$AF543</f>
        <v>0</v>
      </c>
      <c r="S543" s="48">
        <f>('Raw Data'!G545/100)*Bill!$AG543</f>
        <v>0</v>
      </c>
      <c r="T543" s="38">
        <f>SUM(Bill!$L543:$R543)</f>
        <v>0</v>
      </c>
      <c r="U543" s="53"/>
      <c r="V543" s="50"/>
      <c r="W543" s="38">
        <f>Bill!$U543-Bill!$T543</f>
        <v>0</v>
      </c>
      <c r="Y543" s="37">
        <f>'Raw Data'!D545</f>
        <v>46101</v>
      </c>
      <c r="Z543" s="47">
        <v>0.0</v>
      </c>
      <c r="AA543" s="47"/>
      <c r="AB543" s="47"/>
      <c r="AC543" s="47"/>
      <c r="AD543" s="47"/>
      <c r="AE543" s="47"/>
      <c r="AF543" s="47"/>
      <c r="AG543" s="47"/>
    </row>
    <row r="544" ht="15.75" customHeight="1">
      <c r="A544" s="35">
        <f>Bill!$Y544</f>
        <v>46102</v>
      </c>
      <c r="B544" s="43">
        <f>'Raw Data'!E546+Bill!$L$2</f>
        <v>20</v>
      </c>
      <c r="C544" s="43">
        <f>'Raw Data'!E546+Bill!$M$2</f>
        <v>25</v>
      </c>
      <c r="D544" s="43">
        <f>('Raw Data'!$F546*2)-10</f>
        <v>-10</v>
      </c>
      <c r="E544" s="43">
        <f>'Raw Data'!F546+Bill!$O$2</f>
        <v>20</v>
      </c>
      <c r="F544" s="43">
        <f>'Raw Data'!F546+Bill!$P$2</f>
        <v>25</v>
      </c>
      <c r="G544" s="43">
        <f>'Raw Data'!E546+Bill!$Q$2</f>
        <v>50</v>
      </c>
      <c r="H544" s="43">
        <f>('Raw Data'!F546+Bill!$R$2)</f>
        <v>20</v>
      </c>
      <c r="I544" s="36">
        <f>'Raw Data'!G546/100</f>
        <v>0</v>
      </c>
      <c r="K544" s="37">
        <f>Bill!$Y544</f>
        <v>46102</v>
      </c>
      <c r="L544" s="38">
        <f>Bill!$AA544*('Raw Data'!$E546+$L$2)</f>
        <v>0</v>
      </c>
      <c r="M544" s="38">
        <f>Bill!$AB544*('Raw Data'!$E546+$M$2)</f>
        <v>0</v>
      </c>
      <c r="N544" s="38">
        <f>(('Raw Data'!$F546 * 2)-10)*Bill!$AC544</f>
        <v>0</v>
      </c>
      <c r="O544" s="38">
        <f>('Raw Data'!F546+Bill!$O$2)*Bill!$AD544</f>
        <v>0</v>
      </c>
      <c r="P544" s="38">
        <f>('Raw Data'!F546+Bill!$P$2)*Bill!$AE544</f>
        <v>0</v>
      </c>
      <c r="Q544" s="38">
        <f>Bill!$Z544*('Raw Data'!$E546+$Q$2)</f>
        <v>0</v>
      </c>
      <c r="R544" s="38">
        <f>('Raw Data'!F546+Bill!$R$2)*Bill!$AF544</f>
        <v>0</v>
      </c>
      <c r="S544" s="48">
        <f>('Raw Data'!G546/100)*Bill!$AG544</f>
        <v>0</v>
      </c>
      <c r="T544" s="38">
        <f>SUM(Bill!$L544:$R544)</f>
        <v>0</v>
      </c>
      <c r="U544" s="53"/>
      <c r="V544" s="50"/>
      <c r="W544" s="38">
        <f>Bill!$U544-Bill!$T544</f>
        <v>0</v>
      </c>
      <c r="Y544" s="37">
        <f>'Raw Data'!D546</f>
        <v>46102</v>
      </c>
      <c r="Z544" s="47">
        <v>0.0</v>
      </c>
      <c r="AA544" s="47"/>
      <c r="AB544" s="47"/>
      <c r="AC544" s="47"/>
      <c r="AD544" s="47"/>
      <c r="AE544" s="47"/>
      <c r="AF544" s="47"/>
      <c r="AG544" s="47"/>
    </row>
    <row r="545" ht="15.75" customHeight="1">
      <c r="A545" s="35">
        <f>Bill!$Y545</f>
        <v>46103</v>
      </c>
      <c r="B545" s="43">
        <f>'Raw Data'!E547+Bill!$L$2</f>
        <v>20</v>
      </c>
      <c r="C545" s="43">
        <f>'Raw Data'!E547+Bill!$M$2</f>
        <v>25</v>
      </c>
      <c r="D545" s="43">
        <f>('Raw Data'!$F547*2)-10</f>
        <v>-10</v>
      </c>
      <c r="E545" s="43">
        <f>'Raw Data'!F547+Bill!$O$2</f>
        <v>20</v>
      </c>
      <c r="F545" s="43">
        <f>'Raw Data'!F547+Bill!$P$2</f>
        <v>25</v>
      </c>
      <c r="G545" s="43">
        <f>'Raw Data'!E547+Bill!$Q$2</f>
        <v>50</v>
      </c>
      <c r="H545" s="43">
        <f>('Raw Data'!F547+Bill!$R$2)</f>
        <v>20</v>
      </c>
      <c r="I545" s="36">
        <f>'Raw Data'!G547/100</f>
        <v>0</v>
      </c>
      <c r="K545" s="37">
        <f>Bill!$Y545</f>
        <v>46103</v>
      </c>
      <c r="L545" s="38">
        <f>Bill!$AA545*('Raw Data'!$E547+$L$2)</f>
        <v>0</v>
      </c>
      <c r="M545" s="38">
        <f>Bill!$AB545*('Raw Data'!$E547+$M$2)</f>
        <v>0</v>
      </c>
      <c r="N545" s="38">
        <f>(('Raw Data'!$F547 * 2)-10)*Bill!$AC545</f>
        <v>0</v>
      </c>
      <c r="O545" s="38">
        <f>('Raw Data'!F547+Bill!$O$2)*Bill!$AD545</f>
        <v>0</v>
      </c>
      <c r="P545" s="38">
        <f>('Raw Data'!F547+Bill!$P$2)*Bill!$AE545</f>
        <v>0</v>
      </c>
      <c r="Q545" s="38">
        <f>Bill!$Z545*('Raw Data'!$E547+$Q$2)</f>
        <v>0</v>
      </c>
      <c r="R545" s="38">
        <f>('Raw Data'!F547+Bill!$R$2)*Bill!$AF545</f>
        <v>0</v>
      </c>
      <c r="S545" s="48">
        <f>('Raw Data'!G547/100)*Bill!$AG545</f>
        <v>0</v>
      </c>
      <c r="T545" s="38">
        <f>SUM(Bill!$L545:$R545)</f>
        <v>0</v>
      </c>
      <c r="U545" s="53"/>
      <c r="V545" s="50"/>
      <c r="W545" s="38">
        <f>Bill!$U545-Bill!$T545</f>
        <v>0</v>
      </c>
      <c r="Y545" s="37">
        <f>'Raw Data'!D547</f>
        <v>46103</v>
      </c>
      <c r="Z545" s="47">
        <v>0.0</v>
      </c>
      <c r="AA545" s="47"/>
      <c r="AB545" s="47"/>
      <c r="AC545" s="47"/>
      <c r="AD545" s="47"/>
      <c r="AE545" s="47"/>
      <c r="AF545" s="47"/>
      <c r="AG545" s="47"/>
    </row>
    <row r="546" ht="15.75" customHeight="1">
      <c r="A546" s="35">
        <f>Bill!$Y546</f>
        <v>46104</v>
      </c>
      <c r="B546" s="43">
        <f>'Raw Data'!E548+Bill!$L$2</f>
        <v>20</v>
      </c>
      <c r="C546" s="43">
        <f>'Raw Data'!E548+Bill!$M$2</f>
        <v>25</v>
      </c>
      <c r="D546" s="43">
        <f>('Raw Data'!$F548*2)-10</f>
        <v>-10</v>
      </c>
      <c r="E546" s="43">
        <f>'Raw Data'!F548+Bill!$O$2</f>
        <v>20</v>
      </c>
      <c r="F546" s="43">
        <f>'Raw Data'!F548+Bill!$P$2</f>
        <v>25</v>
      </c>
      <c r="G546" s="43">
        <f>'Raw Data'!E548+Bill!$Q$2</f>
        <v>50</v>
      </c>
      <c r="H546" s="43">
        <f>('Raw Data'!F548+Bill!$R$2)</f>
        <v>20</v>
      </c>
      <c r="I546" s="36">
        <f>'Raw Data'!G548/100</f>
        <v>0</v>
      </c>
      <c r="K546" s="37">
        <f>Bill!$Y546</f>
        <v>46104</v>
      </c>
      <c r="L546" s="38">
        <f>Bill!$AA546*('Raw Data'!$E548+$L$2)</f>
        <v>0</v>
      </c>
      <c r="M546" s="38">
        <f>Bill!$AB546*('Raw Data'!$E548+$M$2)</f>
        <v>0</v>
      </c>
      <c r="N546" s="38">
        <f>(('Raw Data'!$F548 * 2)-10)*Bill!$AC546</f>
        <v>0</v>
      </c>
      <c r="O546" s="38">
        <f>('Raw Data'!F548+Bill!$O$2)*Bill!$AD546</f>
        <v>0</v>
      </c>
      <c r="P546" s="38">
        <f>('Raw Data'!F548+Bill!$P$2)*Bill!$AE546</f>
        <v>0</v>
      </c>
      <c r="Q546" s="38">
        <f>Bill!$Z546*('Raw Data'!$E548+$Q$2)</f>
        <v>0</v>
      </c>
      <c r="R546" s="38">
        <f>('Raw Data'!F548+Bill!$R$2)*Bill!$AF546</f>
        <v>0</v>
      </c>
      <c r="S546" s="48">
        <f>('Raw Data'!G548/100)*Bill!$AG546</f>
        <v>0</v>
      </c>
      <c r="T546" s="38">
        <f>SUM(Bill!$L546:$R546)</f>
        <v>0</v>
      </c>
      <c r="U546" s="53"/>
      <c r="V546" s="50"/>
      <c r="W546" s="38">
        <f>Bill!$U546-Bill!$T546</f>
        <v>0</v>
      </c>
      <c r="Y546" s="37">
        <f>'Raw Data'!D548</f>
        <v>46104</v>
      </c>
      <c r="Z546" s="47">
        <v>0.0</v>
      </c>
      <c r="AA546" s="47"/>
      <c r="AB546" s="47"/>
      <c r="AC546" s="47"/>
      <c r="AD546" s="47"/>
      <c r="AE546" s="47"/>
      <c r="AF546" s="47"/>
      <c r="AG546" s="47"/>
    </row>
    <row r="547" ht="15.75" customHeight="1">
      <c r="A547" s="35">
        <f>Bill!$Y547</f>
        <v>46105</v>
      </c>
      <c r="B547" s="43">
        <f>'Raw Data'!E549+Bill!$L$2</f>
        <v>20</v>
      </c>
      <c r="C547" s="43">
        <f>'Raw Data'!E549+Bill!$M$2</f>
        <v>25</v>
      </c>
      <c r="D547" s="43">
        <f>('Raw Data'!$F549*2)-10</f>
        <v>-10</v>
      </c>
      <c r="E547" s="43">
        <f>'Raw Data'!F549+Bill!$O$2</f>
        <v>20</v>
      </c>
      <c r="F547" s="43">
        <f>'Raw Data'!F549+Bill!$P$2</f>
        <v>25</v>
      </c>
      <c r="G547" s="43">
        <f>'Raw Data'!E549+Bill!$Q$2</f>
        <v>50</v>
      </c>
      <c r="H547" s="43">
        <f>('Raw Data'!F549+Bill!$R$2)</f>
        <v>20</v>
      </c>
      <c r="I547" s="36">
        <f>'Raw Data'!G549/100</f>
        <v>0</v>
      </c>
      <c r="K547" s="37">
        <f>Bill!$Y547</f>
        <v>46105</v>
      </c>
      <c r="L547" s="38">
        <f>Bill!$AA547*('Raw Data'!$E549+$L$2)</f>
        <v>0</v>
      </c>
      <c r="M547" s="38">
        <f>Bill!$AB547*('Raw Data'!$E549+$M$2)</f>
        <v>0</v>
      </c>
      <c r="N547" s="38">
        <f>(('Raw Data'!$F549 * 2)-10)*Bill!$AC547</f>
        <v>0</v>
      </c>
      <c r="O547" s="38">
        <f>('Raw Data'!F549+Bill!$O$2)*Bill!$AD547</f>
        <v>0</v>
      </c>
      <c r="P547" s="38">
        <f>('Raw Data'!F549+Bill!$P$2)*Bill!$AE547</f>
        <v>0</v>
      </c>
      <c r="Q547" s="38">
        <f>Bill!$Z547*('Raw Data'!$E549+$Q$2)</f>
        <v>0</v>
      </c>
      <c r="R547" s="38">
        <f>('Raw Data'!F549+Bill!$R$2)*Bill!$AF547</f>
        <v>0</v>
      </c>
      <c r="S547" s="48">
        <f>('Raw Data'!G549/100)*Bill!$AG547</f>
        <v>0</v>
      </c>
      <c r="T547" s="38">
        <f>SUM(Bill!$L547:$R547)</f>
        <v>0</v>
      </c>
      <c r="U547" s="53"/>
      <c r="V547" s="50"/>
      <c r="W547" s="38">
        <f>Bill!$U547-Bill!$T547</f>
        <v>0</v>
      </c>
      <c r="Y547" s="37">
        <f>'Raw Data'!D549</f>
        <v>46105</v>
      </c>
      <c r="Z547" s="47">
        <v>0.0</v>
      </c>
      <c r="AA547" s="47"/>
      <c r="AB547" s="47"/>
      <c r="AC547" s="47"/>
      <c r="AD547" s="47"/>
      <c r="AE547" s="47"/>
      <c r="AF547" s="47"/>
      <c r="AG547" s="47"/>
    </row>
    <row r="548" ht="15.75" customHeight="1">
      <c r="A548" s="35">
        <f>Bill!$Y548</f>
        <v>46106</v>
      </c>
      <c r="B548" s="43">
        <f>'Raw Data'!E550+Bill!$L$2</f>
        <v>20</v>
      </c>
      <c r="C548" s="43">
        <f>'Raw Data'!E550+Bill!$M$2</f>
        <v>25</v>
      </c>
      <c r="D548" s="43">
        <f>('Raw Data'!$F550*2)-10</f>
        <v>-10</v>
      </c>
      <c r="E548" s="43">
        <f>'Raw Data'!F550+Bill!$O$2</f>
        <v>20</v>
      </c>
      <c r="F548" s="43">
        <f>'Raw Data'!F550+Bill!$P$2</f>
        <v>25</v>
      </c>
      <c r="G548" s="43">
        <f>'Raw Data'!E550+Bill!$Q$2</f>
        <v>50</v>
      </c>
      <c r="H548" s="43">
        <f>('Raw Data'!F550+Bill!$R$2)</f>
        <v>20</v>
      </c>
      <c r="I548" s="36">
        <f>'Raw Data'!G550/100</f>
        <v>0</v>
      </c>
      <c r="K548" s="37">
        <f>Bill!$Y548</f>
        <v>46106</v>
      </c>
      <c r="L548" s="38">
        <f>Bill!$AA548*('Raw Data'!$E550+$L$2)</f>
        <v>0</v>
      </c>
      <c r="M548" s="38">
        <f>Bill!$AB548*('Raw Data'!$E550+$M$2)</f>
        <v>0</v>
      </c>
      <c r="N548" s="38">
        <f>(('Raw Data'!$F550 * 2)-10)*Bill!$AC548</f>
        <v>0</v>
      </c>
      <c r="O548" s="38">
        <f>('Raw Data'!F550+Bill!$O$2)*Bill!$AD548</f>
        <v>0</v>
      </c>
      <c r="P548" s="38">
        <f>('Raw Data'!F550+Bill!$P$2)*Bill!$AE548</f>
        <v>0</v>
      </c>
      <c r="Q548" s="38">
        <f>Bill!$Z548*('Raw Data'!$E550+$Q$2)</f>
        <v>0</v>
      </c>
      <c r="R548" s="38">
        <f>('Raw Data'!F550+Bill!$R$2)*Bill!$AF548</f>
        <v>0</v>
      </c>
      <c r="S548" s="48">
        <f>('Raw Data'!G550/100)*Bill!$AG548</f>
        <v>0</v>
      </c>
      <c r="T548" s="38">
        <f>SUM(Bill!$L548:$R548)</f>
        <v>0</v>
      </c>
      <c r="U548" s="53"/>
      <c r="V548" s="50"/>
      <c r="W548" s="38">
        <f>Bill!$U548-Bill!$T548</f>
        <v>0</v>
      </c>
      <c r="Y548" s="37">
        <f>'Raw Data'!D550</f>
        <v>46106</v>
      </c>
      <c r="Z548" s="47">
        <v>0.0</v>
      </c>
      <c r="AA548" s="47"/>
      <c r="AB548" s="47"/>
      <c r="AC548" s="47"/>
      <c r="AD548" s="47"/>
      <c r="AE548" s="47"/>
      <c r="AF548" s="47"/>
      <c r="AG548" s="47"/>
    </row>
    <row r="549" ht="15.75" customHeight="1">
      <c r="A549" s="35">
        <f>Bill!$Y549</f>
        <v>46107</v>
      </c>
      <c r="B549" s="43">
        <f>'Raw Data'!E551+Bill!$L$2</f>
        <v>20</v>
      </c>
      <c r="C549" s="43">
        <f>'Raw Data'!E551+Bill!$M$2</f>
        <v>25</v>
      </c>
      <c r="D549" s="43">
        <f>('Raw Data'!$F551*2)-10</f>
        <v>-10</v>
      </c>
      <c r="E549" s="43">
        <f>'Raw Data'!F551+Bill!$O$2</f>
        <v>20</v>
      </c>
      <c r="F549" s="43">
        <f>'Raw Data'!F551+Bill!$P$2</f>
        <v>25</v>
      </c>
      <c r="G549" s="43">
        <f>'Raw Data'!E551+Bill!$Q$2</f>
        <v>50</v>
      </c>
      <c r="H549" s="43">
        <f>('Raw Data'!F551+Bill!$R$2)</f>
        <v>20</v>
      </c>
      <c r="I549" s="36">
        <f>'Raw Data'!G551/100</f>
        <v>0</v>
      </c>
      <c r="K549" s="37">
        <f>Bill!$Y549</f>
        <v>46107</v>
      </c>
      <c r="L549" s="38">
        <f>Bill!$AA549*('Raw Data'!$E551+$L$2)</f>
        <v>0</v>
      </c>
      <c r="M549" s="38">
        <f>Bill!$AB549*('Raw Data'!$E551+$M$2)</f>
        <v>0</v>
      </c>
      <c r="N549" s="38">
        <f>(('Raw Data'!$F551 * 2)-10)*Bill!$AC549</f>
        <v>0</v>
      </c>
      <c r="O549" s="38">
        <f>('Raw Data'!F551+Bill!$O$2)*Bill!$AD549</f>
        <v>0</v>
      </c>
      <c r="P549" s="38">
        <f>('Raw Data'!F551+Bill!$P$2)*Bill!$AE549</f>
        <v>0</v>
      </c>
      <c r="Q549" s="38">
        <f>Bill!$Z549*('Raw Data'!$E551+$Q$2)</f>
        <v>0</v>
      </c>
      <c r="R549" s="38">
        <f>('Raw Data'!F551+Bill!$R$2)*Bill!$AF549</f>
        <v>0</v>
      </c>
      <c r="S549" s="48">
        <f>('Raw Data'!G551/100)*Bill!$AG549</f>
        <v>0</v>
      </c>
      <c r="T549" s="38">
        <f>SUM(Bill!$L549:$R549)</f>
        <v>0</v>
      </c>
      <c r="U549" s="53"/>
      <c r="V549" s="50"/>
      <c r="W549" s="38">
        <f>Bill!$U549-Bill!$T549</f>
        <v>0</v>
      </c>
      <c r="Y549" s="37">
        <f>'Raw Data'!D551</f>
        <v>46107</v>
      </c>
      <c r="Z549" s="47">
        <v>0.0</v>
      </c>
      <c r="AA549" s="47"/>
      <c r="AB549" s="47"/>
      <c r="AC549" s="47"/>
      <c r="AD549" s="47"/>
      <c r="AE549" s="47"/>
      <c r="AF549" s="47"/>
      <c r="AG549" s="47"/>
    </row>
    <row r="550" ht="15.75" customHeight="1">
      <c r="A550" s="35">
        <f>Bill!$Y550</f>
        <v>46108</v>
      </c>
      <c r="B550" s="43">
        <f>'Raw Data'!E552+Bill!$L$2</f>
        <v>20</v>
      </c>
      <c r="C550" s="43">
        <f>'Raw Data'!E552+Bill!$M$2</f>
        <v>25</v>
      </c>
      <c r="D550" s="43">
        <f>('Raw Data'!$F552*2)-10</f>
        <v>-10</v>
      </c>
      <c r="E550" s="43">
        <f>'Raw Data'!F552+Bill!$O$2</f>
        <v>20</v>
      </c>
      <c r="F550" s="43">
        <f>'Raw Data'!F552+Bill!$P$2</f>
        <v>25</v>
      </c>
      <c r="G550" s="43">
        <f>'Raw Data'!E552+Bill!$Q$2</f>
        <v>50</v>
      </c>
      <c r="H550" s="43">
        <f>('Raw Data'!F552+Bill!$R$2)</f>
        <v>20</v>
      </c>
      <c r="I550" s="36">
        <f>'Raw Data'!G552/100</f>
        <v>0</v>
      </c>
      <c r="K550" s="37">
        <f>Bill!$Y550</f>
        <v>46108</v>
      </c>
      <c r="L550" s="38">
        <f>Bill!$AA550*('Raw Data'!$E552+$L$2)</f>
        <v>0</v>
      </c>
      <c r="M550" s="38">
        <f>Bill!$AB550*('Raw Data'!$E552+$M$2)</f>
        <v>0</v>
      </c>
      <c r="N550" s="38">
        <f>(('Raw Data'!$F552 * 2)-10)*Bill!$AC550</f>
        <v>0</v>
      </c>
      <c r="O550" s="38">
        <f>('Raw Data'!F552+Bill!$O$2)*Bill!$AD550</f>
        <v>0</v>
      </c>
      <c r="P550" s="38">
        <f>('Raw Data'!F552+Bill!$P$2)*Bill!$AE550</f>
        <v>0</v>
      </c>
      <c r="Q550" s="38">
        <f>Bill!$Z550*('Raw Data'!$E552+$Q$2)</f>
        <v>0</v>
      </c>
      <c r="R550" s="38">
        <f>('Raw Data'!F552+Bill!$R$2)*Bill!$AF550</f>
        <v>0</v>
      </c>
      <c r="S550" s="48">
        <f>('Raw Data'!G552/100)*Bill!$AG550</f>
        <v>0</v>
      </c>
      <c r="T550" s="38">
        <f>SUM(Bill!$L550:$R550)</f>
        <v>0</v>
      </c>
      <c r="U550" s="53"/>
      <c r="V550" s="50"/>
      <c r="W550" s="38">
        <f>Bill!$U550-Bill!$T550</f>
        <v>0</v>
      </c>
      <c r="Y550" s="37">
        <f>'Raw Data'!D552</f>
        <v>46108</v>
      </c>
      <c r="Z550" s="47">
        <v>0.0</v>
      </c>
      <c r="AA550" s="47"/>
      <c r="AB550" s="47"/>
      <c r="AC550" s="47"/>
      <c r="AD550" s="47"/>
      <c r="AE550" s="47"/>
      <c r="AF550" s="47"/>
      <c r="AG550" s="47"/>
    </row>
    <row r="551" ht="15.75" customHeight="1">
      <c r="A551" s="35">
        <f>Bill!$Y551</f>
        <v>46109</v>
      </c>
      <c r="B551" s="43">
        <f>'Raw Data'!E553+Bill!$L$2</f>
        <v>20</v>
      </c>
      <c r="C551" s="43">
        <f>'Raw Data'!E553+Bill!$M$2</f>
        <v>25</v>
      </c>
      <c r="D551" s="43">
        <f>('Raw Data'!$F553*2)-10</f>
        <v>-10</v>
      </c>
      <c r="E551" s="43">
        <f>'Raw Data'!F553+Bill!$O$2</f>
        <v>20</v>
      </c>
      <c r="F551" s="43">
        <f>'Raw Data'!F553+Bill!$P$2</f>
        <v>25</v>
      </c>
      <c r="G551" s="43">
        <f>'Raw Data'!E553+Bill!$Q$2</f>
        <v>50</v>
      </c>
      <c r="H551" s="43">
        <f>('Raw Data'!F553+Bill!$R$2)</f>
        <v>20</v>
      </c>
      <c r="I551" s="36">
        <f>'Raw Data'!G553/100</f>
        <v>0</v>
      </c>
      <c r="K551" s="37">
        <f>Bill!$Y551</f>
        <v>46109</v>
      </c>
      <c r="L551" s="38">
        <f>Bill!$AA551*('Raw Data'!$E553+$L$2)</f>
        <v>0</v>
      </c>
      <c r="M551" s="38">
        <f>Bill!$AB551*('Raw Data'!$E553+$M$2)</f>
        <v>0</v>
      </c>
      <c r="N551" s="38">
        <f>(('Raw Data'!$F553 * 2)-10)*Bill!$AC551</f>
        <v>0</v>
      </c>
      <c r="O551" s="38">
        <f>('Raw Data'!F553+Bill!$O$2)*Bill!$AD551</f>
        <v>0</v>
      </c>
      <c r="P551" s="38">
        <f>('Raw Data'!F553+Bill!$P$2)*Bill!$AE551</f>
        <v>0</v>
      </c>
      <c r="Q551" s="38">
        <f>Bill!$Z551*('Raw Data'!$E553+$Q$2)</f>
        <v>0</v>
      </c>
      <c r="R551" s="38">
        <f>('Raw Data'!F553+Bill!$R$2)*Bill!$AF551</f>
        <v>0</v>
      </c>
      <c r="S551" s="48">
        <f>('Raw Data'!G553/100)*Bill!$AG551</f>
        <v>0</v>
      </c>
      <c r="T551" s="38">
        <f>SUM(Bill!$L551:$R551)</f>
        <v>0</v>
      </c>
      <c r="U551" s="53"/>
      <c r="V551" s="50"/>
      <c r="W551" s="38">
        <f>Bill!$U551-Bill!$T551</f>
        <v>0</v>
      </c>
      <c r="Y551" s="37">
        <f>'Raw Data'!D553</f>
        <v>46109</v>
      </c>
      <c r="Z551" s="47">
        <v>0.0</v>
      </c>
      <c r="AA551" s="47"/>
      <c r="AB551" s="47"/>
      <c r="AC551" s="47"/>
      <c r="AD551" s="47"/>
      <c r="AE551" s="47"/>
      <c r="AF551" s="47"/>
      <c r="AG551" s="47"/>
    </row>
    <row r="552" ht="15.75" customHeight="1">
      <c r="A552" s="35">
        <f>Bill!$Y552</f>
        <v>46110</v>
      </c>
      <c r="B552" s="43">
        <f>'Raw Data'!E554+Bill!$L$2</f>
        <v>20</v>
      </c>
      <c r="C552" s="43">
        <f>'Raw Data'!E554+Bill!$M$2</f>
        <v>25</v>
      </c>
      <c r="D552" s="43">
        <f>('Raw Data'!$F554*2)-10</f>
        <v>-10</v>
      </c>
      <c r="E552" s="43">
        <f>'Raw Data'!F554+Bill!$O$2</f>
        <v>20</v>
      </c>
      <c r="F552" s="43">
        <f>'Raw Data'!F554+Bill!$P$2</f>
        <v>25</v>
      </c>
      <c r="G552" s="43">
        <f>'Raw Data'!E554+Bill!$Q$2</f>
        <v>50</v>
      </c>
      <c r="H552" s="43">
        <f>('Raw Data'!F554+Bill!$R$2)</f>
        <v>20</v>
      </c>
      <c r="I552" s="36">
        <f>'Raw Data'!G554/100</f>
        <v>0</v>
      </c>
      <c r="K552" s="37">
        <f>Bill!$Y552</f>
        <v>46110</v>
      </c>
      <c r="L552" s="38">
        <f>Bill!$AA552*('Raw Data'!$E554+$L$2)</f>
        <v>0</v>
      </c>
      <c r="M552" s="38">
        <f>Bill!$AB552*('Raw Data'!$E554+$M$2)</f>
        <v>0</v>
      </c>
      <c r="N552" s="38">
        <f>(('Raw Data'!$F554 * 2)-10)*Bill!$AC552</f>
        <v>0</v>
      </c>
      <c r="O552" s="38">
        <f>('Raw Data'!F554+Bill!$O$2)*Bill!$AD552</f>
        <v>0</v>
      </c>
      <c r="P552" s="38">
        <f>('Raw Data'!F554+Bill!$P$2)*Bill!$AE552</f>
        <v>0</v>
      </c>
      <c r="Q552" s="38">
        <f>Bill!$Z552*('Raw Data'!$E554+$Q$2)</f>
        <v>0</v>
      </c>
      <c r="R552" s="38">
        <f>('Raw Data'!F554+Bill!$R$2)*Bill!$AF552</f>
        <v>0</v>
      </c>
      <c r="S552" s="48">
        <f>('Raw Data'!G554/100)*Bill!$AG552</f>
        <v>0</v>
      </c>
      <c r="T552" s="38">
        <f>SUM(Bill!$L552:$R552)</f>
        <v>0</v>
      </c>
      <c r="U552" s="53"/>
      <c r="V552" s="50"/>
      <c r="W552" s="38">
        <f>Bill!$U552-Bill!$T552</f>
        <v>0</v>
      </c>
      <c r="Y552" s="37">
        <f>'Raw Data'!D554</f>
        <v>46110</v>
      </c>
      <c r="Z552" s="47">
        <v>0.0</v>
      </c>
      <c r="AA552" s="47"/>
      <c r="AB552" s="47"/>
      <c r="AC552" s="47"/>
      <c r="AD552" s="47"/>
      <c r="AE552" s="47"/>
      <c r="AF552" s="47"/>
      <c r="AG552" s="47"/>
    </row>
    <row r="553" ht="15.75" customHeight="1">
      <c r="A553" s="35">
        <f>Bill!$Y553</f>
        <v>46111</v>
      </c>
      <c r="B553" s="43">
        <f>'Raw Data'!E555+Bill!$L$2</f>
        <v>20</v>
      </c>
      <c r="C553" s="43">
        <f>'Raw Data'!E555+Bill!$M$2</f>
        <v>25</v>
      </c>
      <c r="D553" s="43">
        <f>('Raw Data'!$F555*2)-10</f>
        <v>-10</v>
      </c>
      <c r="E553" s="43">
        <f>'Raw Data'!F555+Bill!$O$2</f>
        <v>20</v>
      </c>
      <c r="F553" s="43">
        <f>'Raw Data'!F555+Bill!$P$2</f>
        <v>25</v>
      </c>
      <c r="G553" s="43">
        <f>'Raw Data'!E555+Bill!$Q$2</f>
        <v>50</v>
      </c>
      <c r="H553" s="43">
        <f>('Raw Data'!F555+Bill!$R$2)</f>
        <v>20</v>
      </c>
      <c r="I553" s="36">
        <f>'Raw Data'!G555/100</f>
        <v>0</v>
      </c>
      <c r="K553" s="37">
        <f>Bill!$Y553</f>
        <v>46111</v>
      </c>
      <c r="L553" s="38">
        <f>Bill!$AA553*('Raw Data'!$E555+$L$2)</f>
        <v>0</v>
      </c>
      <c r="M553" s="38">
        <f>Bill!$AB553*('Raw Data'!$E555+$M$2)</f>
        <v>0</v>
      </c>
      <c r="N553" s="38">
        <f>(('Raw Data'!$F555 * 2)-10)*Bill!$AC553</f>
        <v>0</v>
      </c>
      <c r="O553" s="38">
        <f>('Raw Data'!F555+Bill!$O$2)*Bill!$AD553</f>
        <v>0</v>
      </c>
      <c r="P553" s="38">
        <f>('Raw Data'!F555+Bill!$P$2)*Bill!$AE553</f>
        <v>0</v>
      </c>
      <c r="Q553" s="38">
        <f>Bill!$Z553*('Raw Data'!$E555+$Q$2)</f>
        <v>0</v>
      </c>
      <c r="R553" s="38">
        <f>('Raw Data'!F555+Bill!$R$2)*Bill!$AF553</f>
        <v>0</v>
      </c>
      <c r="S553" s="48">
        <f>('Raw Data'!G555/100)*Bill!$AG553</f>
        <v>0</v>
      </c>
      <c r="T553" s="38">
        <f>SUM(Bill!$L553:$R553)</f>
        <v>0</v>
      </c>
      <c r="U553" s="53"/>
      <c r="V553" s="50"/>
      <c r="W553" s="38">
        <f>Bill!$U553-Bill!$T553</f>
        <v>0</v>
      </c>
      <c r="Y553" s="37">
        <f>'Raw Data'!D555</f>
        <v>46111</v>
      </c>
      <c r="Z553" s="47">
        <v>0.0</v>
      </c>
      <c r="AA553" s="47"/>
      <c r="AB553" s="47"/>
      <c r="AC553" s="47"/>
      <c r="AD553" s="47"/>
      <c r="AE553" s="47"/>
      <c r="AF553" s="47"/>
      <c r="AG553" s="47"/>
    </row>
    <row r="554" ht="15.75" customHeight="1">
      <c r="A554" s="35">
        <f>Bill!$Y554</f>
        <v>46112</v>
      </c>
      <c r="B554" s="43">
        <f>'Raw Data'!E556+Bill!$L$2</f>
        <v>20</v>
      </c>
      <c r="C554" s="43">
        <f>'Raw Data'!E556+Bill!$M$2</f>
        <v>25</v>
      </c>
      <c r="D554" s="43">
        <f>('Raw Data'!$F556*2)-10</f>
        <v>-10</v>
      </c>
      <c r="E554" s="43">
        <f>'Raw Data'!F556+Bill!$O$2</f>
        <v>20</v>
      </c>
      <c r="F554" s="43">
        <f>'Raw Data'!F556+Bill!$P$2</f>
        <v>25</v>
      </c>
      <c r="G554" s="43">
        <f>'Raw Data'!E556+Bill!$Q$2</f>
        <v>50</v>
      </c>
      <c r="H554" s="43">
        <f>('Raw Data'!F556+Bill!$R$2)</f>
        <v>20</v>
      </c>
      <c r="I554" s="36">
        <f>'Raw Data'!G556/100</f>
        <v>0</v>
      </c>
      <c r="K554" s="37">
        <f>Bill!$Y554</f>
        <v>46112</v>
      </c>
      <c r="L554" s="38">
        <f>Bill!$AA554*('Raw Data'!$E556+$L$2)</f>
        <v>0</v>
      </c>
      <c r="M554" s="38">
        <f>Bill!$AB554*('Raw Data'!$E556+$M$2)</f>
        <v>0</v>
      </c>
      <c r="N554" s="38">
        <f>(('Raw Data'!$F556 * 2)-10)*Bill!$AC554</f>
        <v>0</v>
      </c>
      <c r="O554" s="38">
        <f>('Raw Data'!F556+Bill!$O$2)*Bill!$AD554</f>
        <v>0</v>
      </c>
      <c r="P554" s="38">
        <f>('Raw Data'!F556+Bill!$P$2)*Bill!$AE554</f>
        <v>0</v>
      </c>
      <c r="Q554" s="38">
        <f>Bill!$Z554*('Raw Data'!$E556+$Q$2)</f>
        <v>0</v>
      </c>
      <c r="R554" s="38">
        <f>('Raw Data'!F556+Bill!$R$2)*Bill!$AF554</f>
        <v>0</v>
      </c>
      <c r="S554" s="48">
        <f>('Raw Data'!G556/100)*Bill!$AG554</f>
        <v>0</v>
      </c>
      <c r="T554" s="38">
        <f>SUM(Bill!$L554:$R554)</f>
        <v>0</v>
      </c>
      <c r="U554" s="53"/>
      <c r="V554" s="50"/>
      <c r="W554" s="38">
        <f>Bill!$U554-Bill!$T554</f>
        <v>0</v>
      </c>
      <c r="Y554" s="37">
        <f>'Raw Data'!D556</f>
        <v>46112</v>
      </c>
      <c r="Z554" s="47">
        <v>0.0</v>
      </c>
      <c r="AA554" s="47"/>
      <c r="AB554" s="47"/>
      <c r="AC554" s="47"/>
      <c r="AD554" s="47"/>
      <c r="AE554" s="47"/>
      <c r="AF554" s="47"/>
      <c r="AG554" s="47"/>
    </row>
    <row r="555" ht="15.75" customHeight="1">
      <c r="A555" s="35">
        <f>Bill!$Y555</f>
        <v>46113</v>
      </c>
      <c r="B555" s="43">
        <f>'Raw Data'!E557+Bill!$L$2</f>
        <v>20</v>
      </c>
      <c r="C555" s="43">
        <f>'Raw Data'!E557+Bill!$M$2</f>
        <v>25</v>
      </c>
      <c r="D555" s="43">
        <f>('Raw Data'!$F557*2)-10</f>
        <v>-10</v>
      </c>
      <c r="E555" s="43">
        <f>'Raw Data'!F557+Bill!$O$2</f>
        <v>20</v>
      </c>
      <c r="F555" s="43">
        <f>'Raw Data'!F557+Bill!$P$2</f>
        <v>25</v>
      </c>
      <c r="G555" s="43">
        <f>'Raw Data'!E557+Bill!$Q$2</f>
        <v>50</v>
      </c>
      <c r="H555" s="43">
        <f>('Raw Data'!F557+Bill!$R$2)</f>
        <v>20</v>
      </c>
      <c r="I555" s="36">
        <f>'Raw Data'!G557/100</f>
        <v>0</v>
      </c>
      <c r="K555" s="37">
        <f>Bill!$Y555</f>
        <v>46113</v>
      </c>
      <c r="L555" s="38">
        <f>Bill!$AA555*('Raw Data'!$E557+$L$2)</f>
        <v>0</v>
      </c>
      <c r="M555" s="38">
        <f>Bill!$AB555*('Raw Data'!$E557+$M$2)</f>
        <v>0</v>
      </c>
      <c r="N555" s="38">
        <f>(('Raw Data'!$F557 * 2)-10)*Bill!$AC555</f>
        <v>0</v>
      </c>
      <c r="O555" s="38">
        <f>('Raw Data'!F557+Bill!$O$2)*Bill!$AD555</f>
        <v>0</v>
      </c>
      <c r="P555" s="38">
        <f>('Raw Data'!F557+Bill!$P$2)*Bill!$AE555</f>
        <v>0</v>
      </c>
      <c r="Q555" s="38">
        <f>Bill!$Z555*('Raw Data'!$E557+$Q$2)</f>
        <v>0</v>
      </c>
      <c r="R555" s="38">
        <f>('Raw Data'!F557+Bill!$R$2)*Bill!$AF555</f>
        <v>0</v>
      </c>
      <c r="S555" s="48">
        <f>('Raw Data'!G557/100)*Bill!$AG555</f>
        <v>0</v>
      </c>
      <c r="T555" s="38">
        <f>SUM(Bill!$L555:$R555)</f>
        <v>0</v>
      </c>
      <c r="U555" s="53"/>
      <c r="V555" s="50"/>
      <c r="W555" s="38">
        <f>Bill!$U555-Bill!$T555</f>
        <v>0</v>
      </c>
      <c r="Y555" s="37">
        <f>'Raw Data'!D557</f>
        <v>46113</v>
      </c>
      <c r="Z555" s="47">
        <v>0.0</v>
      </c>
      <c r="AA555" s="47"/>
      <c r="AB555" s="47"/>
      <c r="AC555" s="47"/>
      <c r="AD555" s="47"/>
      <c r="AE555" s="47"/>
      <c r="AF555" s="47"/>
      <c r="AG555" s="47"/>
    </row>
    <row r="556" ht="15.75" customHeight="1">
      <c r="A556" s="35">
        <f>Bill!$Y556</f>
        <v>46114</v>
      </c>
      <c r="B556" s="43">
        <f>'Raw Data'!E558+Bill!$L$2</f>
        <v>20</v>
      </c>
      <c r="C556" s="43">
        <f>'Raw Data'!E558+Bill!$M$2</f>
        <v>25</v>
      </c>
      <c r="D556" s="43">
        <f>('Raw Data'!$F558*2)-10</f>
        <v>-10</v>
      </c>
      <c r="E556" s="43">
        <f>'Raw Data'!F558+Bill!$O$2</f>
        <v>20</v>
      </c>
      <c r="F556" s="43">
        <f>'Raw Data'!F558+Bill!$P$2</f>
        <v>25</v>
      </c>
      <c r="G556" s="43">
        <f>'Raw Data'!E558+Bill!$Q$2</f>
        <v>50</v>
      </c>
      <c r="H556" s="43">
        <f>('Raw Data'!F558+Bill!$R$2)</f>
        <v>20</v>
      </c>
      <c r="I556" s="36">
        <f>'Raw Data'!G558/100</f>
        <v>0</v>
      </c>
      <c r="K556" s="37">
        <f>Bill!$Y556</f>
        <v>46114</v>
      </c>
      <c r="L556" s="38">
        <f>Bill!$AA556*('Raw Data'!$E558+$L$2)</f>
        <v>0</v>
      </c>
      <c r="M556" s="38">
        <f>Bill!$AB556*('Raw Data'!$E558+$M$2)</f>
        <v>0</v>
      </c>
      <c r="N556" s="38">
        <f>(('Raw Data'!$F558 * 2)-10)*Bill!$AC556</f>
        <v>0</v>
      </c>
      <c r="O556" s="38">
        <f>('Raw Data'!F558+Bill!$O$2)*Bill!$AD556</f>
        <v>0</v>
      </c>
      <c r="P556" s="38">
        <f>('Raw Data'!F558+Bill!$P$2)*Bill!$AE556</f>
        <v>0</v>
      </c>
      <c r="Q556" s="38">
        <f>Bill!$Z556*('Raw Data'!$E558+$Q$2)</f>
        <v>0</v>
      </c>
      <c r="R556" s="38">
        <f>('Raw Data'!F558+Bill!$R$2)*Bill!$AF556</f>
        <v>0</v>
      </c>
      <c r="S556" s="48">
        <f>('Raw Data'!G558/100)*Bill!$AG556</f>
        <v>0</v>
      </c>
      <c r="T556" s="38">
        <f>SUM(Bill!$L556:$R556)</f>
        <v>0</v>
      </c>
      <c r="U556" s="53"/>
      <c r="V556" s="50"/>
      <c r="W556" s="38">
        <f>Bill!$U556-Bill!$T556</f>
        <v>0</v>
      </c>
      <c r="Y556" s="37">
        <f>'Raw Data'!D558</f>
        <v>46114</v>
      </c>
      <c r="Z556" s="47">
        <v>0.0</v>
      </c>
      <c r="AA556" s="47"/>
      <c r="AB556" s="47"/>
      <c r="AC556" s="47"/>
      <c r="AD556" s="47"/>
      <c r="AE556" s="47"/>
      <c r="AF556" s="47"/>
      <c r="AG556" s="47"/>
    </row>
    <row r="557" ht="15.75" customHeight="1">
      <c r="A557" s="35">
        <f>Bill!$Y557</f>
        <v>46115</v>
      </c>
      <c r="B557" s="43">
        <f>'Raw Data'!E559+Bill!$L$2</f>
        <v>20</v>
      </c>
      <c r="C557" s="43">
        <f>'Raw Data'!E559+Bill!$M$2</f>
        <v>25</v>
      </c>
      <c r="D557" s="43">
        <f>('Raw Data'!$F559*2)-10</f>
        <v>-10</v>
      </c>
      <c r="E557" s="43">
        <f>'Raw Data'!F559+Bill!$O$2</f>
        <v>20</v>
      </c>
      <c r="F557" s="43">
        <f>'Raw Data'!F559+Bill!$P$2</f>
        <v>25</v>
      </c>
      <c r="G557" s="43">
        <f>'Raw Data'!E559+Bill!$Q$2</f>
        <v>50</v>
      </c>
      <c r="H557" s="43">
        <f>('Raw Data'!F559+Bill!$R$2)</f>
        <v>20</v>
      </c>
      <c r="I557" s="36">
        <f>'Raw Data'!G559/100</f>
        <v>0</v>
      </c>
      <c r="K557" s="37">
        <f>Bill!$Y557</f>
        <v>46115</v>
      </c>
      <c r="L557" s="38">
        <f>Bill!$AA557*('Raw Data'!$E559+$L$2)</f>
        <v>0</v>
      </c>
      <c r="M557" s="38">
        <f>Bill!$AB557*('Raw Data'!$E559+$M$2)</f>
        <v>0</v>
      </c>
      <c r="N557" s="38">
        <f>(('Raw Data'!$F559 * 2)-10)*Bill!$AC557</f>
        <v>0</v>
      </c>
      <c r="O557" s="38">
        <f>('Raw Data'!F559+Bill!$O$2)*Bill!$AD557</f>
        <v>0</v>
      </c>
      <c r="P557" s="38">
        <f>('Raw Data'!F559+Bill!$P$2)*Bill!$AE557</f>
        <v>0</v>
      </c>
      <c r="Q557" s="38">
        <f>Bill!$Z557*('Raw Data'!$E559+$Q$2)</f>
        <v>0</v>
      </c>
      <c r="R557" s="38">
        <f>('Raw Data'!F559+Bill!$R$2)*Bill!$AF557</f>
        <v>0</v>
      </c>
      <c r="S557" s="48">
        <f>('Raw Data'!G559/100)*Bill!$AG557</f>
        <v>0</v>
      </c>
      <c r="T557" s="38">
        <f>SUM(Bill!$L557:$R557)</f>
        <v>0</v>
      </c>
      <c r="U557" s="53"/>
      <c r="V557" s="50"/>
      <c r="W557" s="38">
        <f>Bill!$U557-Bill!$T557</f>
        <v>0</v>
      </c>
      <c r="Y557" s="37">
        <f>'Raw Data'!D559</f>
        <v>46115</v>
      </c>
      <c r="Z557" s="47">
        <v>0.0</v>
      </c>
      <c r="AA557" s="47"/>
      <c r="AB557" s="47"/>
      <c r="AC557" s="47"/>
      <c r="AD557" s="47"/>
      <c r="AE557" s="47"/>
      <c r="AF557" s="47"/>
      <c r="AG557" s="47"/>
    </row>
    <row r="558" ht="15.75" customHeight="1">
      <c r="A558" s="35">
        <f>Bill!$Y558</f>
        <v>46116</v>
      </c>
      <c r="B558" s="43">
        <f>'Raw Data'!E560+Bill!$L$2</f>
        <v>20</v>
      </c>
      <c r="C558" s="43">
        <f>'Raw Data'!E560+Bill!$M$2</f>
        <v>25</v>
      </c>
      <c r="D558" s="43">
        <f>('Raw Data'!$F560*2)-10</f>
        <v>-10</v>
      </c>
      <c r="E558" s="43">
        <f>'Raw Data'!F560+Bill!$O$2</f>
        <v>20</v>
      </c>
      <c r="F558" s="43">
        <f>'Raw Data'!F560+Bill!$P$2</f>
        <v>25</v>
      </c>
      <c r="G558" s="43">
        <f>'Raw Data'!E560+Bill!$Q$2</f>
        <v>50</v>
      </c>
      <c r="H558" s="43">
        <f>('Raw Data'!F560+Bill!$R$2)</f>
        <v>20</v>
      </c>
      <c r="I558" s="36">
        <f>'Raw Data'!G560/100</f>
        <v>0</v>
      </c>
      <c r="K558" s="37">
        <f>Bill!$Y558</f>
        <v>46116</v>
      </c>
      <c r="L558" s="38">
        <f>Bill!$AA558*('Raw Data'!$E560+$L$2)</f>
        <v>0</v>
      </c>
      <c r="M558" s="38">
        <f>Bill!$AB558*('Raw Data'!$E560+$M$2)</f>
        <v>0</v>
      </c>
      <c r="N558" s="38">
        <f>(('Raw Data'!$F560 * 2)-10)*Bill!$AC558</f>
        <v>0</v>
      </c>
      <c r="O558" s="38">
        <f>('Raw Data'!F560+Bill!$O$2)*Bill!$AD558</f>
        <v>0</v>
      </c>
      <c r="P558" s="38">
        <f>('Raw Data'!F560+Bill!$P$2)*Bill!$AE558</f>
        <v>0</v>
      </c>
      <c r="Q558" s="38">
        <f>Bill!$Z558*('Raw Data'!$E560+$Q$2)</f>
        <v>0</v>
      </c>
      <c r="R558" s="38">
        <f>('Raw Data'!F560+Bill!$R$2)*Bill!$AF558</f>
        <v>0</v>
      </c>
      <c r="S558" s="48">
        <f>('Raw Data'!G560/100)*Bill!$AG558</f>
        <v>0</v>
      </c>
      <c r="T558" s="38">
        <f>SUM(Bill!$L558:$R558)</f>
        <v>0</v>
      </c>
      <c r="U558" s="53"/>
      <c r="V558" s="50"/>
      <c r="W558" s="38">
        <f>Bill!$U558-Bill!$T558</f>
        <v>0</v>
      </c>
      <c r="Y558" s="37">
        <f>'Raw Data'!D560</f>
        <v>46116</v>
      </c>
      <c r="Z558" s="47">
        <v>0.0</v>
      </c>
      <c r="AA558" s="47"/>
      <c r="AB558" s="47"/>
      <c r="AC558" s="47"/>
      <c r="AD558" s="47"/>
      <c r="AE558" s="47"/>
      <c r="AF558" s="47"/>
      <c r="AG558" s="47"/>
    </row>
    <row r="559" ht="15.75" customHeight="1">
      <c r="A559" s="35">
        <f>Bill!$Y559</f>
        <v>46117</v>
      </c>
      <c r="B559" s="43">
        <f>'Raw Data'!E561+Bill!$L$2</f>
        <v>20</v>
      </c>
      <c r="C559" s="43">
        <f>'Raw Data'!E561+Bill!$M$2</f>
        <v>25</v>
      </c>
      <c r="D559" s="43">
        <f>('Raw Data'!$F561*2)-10</f>
        <v>-10</v>
      </c>
      <c r="E559" s="43">
        <f>'Raw Data'!F561+Bill!$O$2</f>
        <v>20</v>
      </c>
      <c r="F559" s="43">
        <f>'Raw Data'!F561+Bill!$P$2</f>
        <v>25</v>
      </c>
      <c r="G559" s="43">
        <f>'Raw Data'!E561+Bill!$Q$2</f>
        <v>50</v>
      </c>
      <c r="H559" s="43">
        <f>('Raw Data'!F561+Bill!$R$2)</f>
        <v>20</v>
      </c>
      <c r="I559" s="36">
        <f>'Raw Data'!G561/100</f>
        <v>0</v>
      </c>
      <c r="K559" s="37">
        <f>Bill!$Y559</f>
        <v>46117</v>
      </c>
      <c r="L559" s="38">
        <f>Bill!$AA559*('Raw Data'!$E561+$L$2)</f>
        <v>0</v>
      </c>
      <c r="M559" s="38">
        <f>Bill!$AB559*('Raw Data'!$E561+$M$2)</f>
        <v>0</v>
      </c>
      <c r="N559" s="38">
        <f>(('Raw Data'!$F561 * 2)-10)*Bill!$AC559</f>
        <v>0</v>
      </c>
      <c r="O559" s="38">
        <f>('Raw Data'!F561+Bill!$O$2)*Bill!$AD559</f>
        <v>0</v>
      </c>
      <c r="P559" s="38">
        <f>('Raw Data'!F561+Bill!$P$2)*Bill!$AE559</f>
        <v>0</v>
      </c>
      <c r="Q559" s="38">
        <f>Bill!$Z559*('Raw Data'!$E561+$Q$2)</f>
        <v>0</v>
      </c>
      <c r="R559" s="38">
        <f>('Raw Data'!F561+Bill!$R$2)*Bill!$AF559</f>
        <v>0</v>
      </c>
      <c r="S559" s="48">
        <f>('Raw Data'!G561/100)*Bill!$AG559</f>
        <v>0</v>
      </c>
      <c r="T559" s="38">
        <f>SUM(Bill!$L559:$R559)</f>
        <v>0</v>
      </c>
      <c r="U559" s="53"/>
      <c r="V559" s="50"/>
      <c r="W559" s="38">
        <f>Bill!$U559-Bill!$T559</f>
        <v>0</v>
      </c>
      <c r="Y559" s="37">
        <f>'Raw Data'!D561</f>
        <v>46117</v>
      </c>
      <c r="Z559" s="47">
        <v>0.0</v>
      </c>
      <c r="AA559" s="47"/>
      <c r="AB559" s="47"/>
      <c r="AC559" s="47"/>
      <c r="AD559" s="47"/>
      <c r="AE559" s="47"/>
      <c r="AF559" s="47"/>
      <c r="AG559" s="47"/>
    </row>
    <row r="560" ht="15.75" customHeight="1">
      <c r="A560" s="35">
        <f>Bill!$Y560</f>
        <v>46118</v>
      </c>
      <c r="B560" s="43">
        <f>'Raw Data'!E562+Bill!$L$2</f>
        <v>20</v>
      </c>
      <c r="C560" s="43">
        <f>'Raw Data'!E562+Bill!$M$2</f>
        <v>25</v>
      </c>
      <c r="D560" s="43">
        <f>('Raw Data'!$F562*2)-10</f>
        <v>-10</v>
      </c>
      <c r="E560" s="43">
        <f>'Raw Data'!F562+Bill!$O$2</f>
        <v>20</v>
      </c>
      <c r="F560" s="43">
        <f>'Raw Data'!F562+Bill!$P$2</f>
        <v>25</v>
      </c>
      <c r="G560" s="43">
        <f>'Raw Data'!E562+Bill!$Q$2</f>
        <v>50</v>
      </c>
      <c r="H560" s="43">
        <f>('Raw Data'!F562+Bill!$R$2)</f>
        <v>20</v>
      </c>
      <c r="I560" s="36">
        <f>'Raw Data'!G562/100</f>
        <v>0</v>
      </c>
      <c r="K560" s="37">
        <f>Bill!$Y560</f>
        <v>46118</v>
      </c>
      <c r="L560" s="38">
        <f>Bill!$AA560*('Raw Data'!$E562+$L$2)</f>
        <v>0</v>
      </c>
      <c r="M560" s="38">
        <f>Bill!$AB560*('Raw Data'!$E562+$M$2)</f>
        <v>0</v>
      </c>
      <c r="N560" s="38">
        <f>(('Raw Data'!$F562 * 2)-10)*Bill!$AC560</f>
        <v>0</v>
      </c>
      <c r="O560" s="38">
        <f>('Raw Data'!F562+Bill!$O$2)*Bill!$AD560</f>
        <v>0</v>
      </c>
      <c r="P560" s="38">
        <f>('Raw Data'!F562+Bill!$P$2)*Bill!$AE560</f>
        <v>0</v>
      </c>
      <c r="Q560" s="38">
        <f>Bill!$Z560*('Raw Data'!$E562+$Q$2)</f>
        <v>0</v>
      </c>
      <c r="R560" s="38">
        <f>('Raw Data'!F562+Bill!$R$2)*Bill!$AF560</f>
        <v>0</v>
      </c>
      <c r="S560" s="48">
        <f>('Raw Data'!G562/100)*Bill!$AG560</f>
        <v>0</v>
      </c>
      <c r="T560" s="38">
        <f>SUM(Bill!$L560:$R560)</f>
        <v>0</v>
      </c>
      <c r="U560" s="53"/>
      <c r="V560" s="50"/>
      <c r="W560" s="38">
        <f>Bill!$U560-Bill!$T560</f>
        <v>0</v>
      </c>
      <c r="Y560" s="37">
        <f>'Raw Data'!D562</f>
        <v>46118</v>
      </c>
      <c r="Z560" s="47">
        <v>0.0</v>
      </c>
      <c r="AA560" s="47"/>
      <c r="AB560" s="47"/>
      <c r="AC560" s="47"/>
      <c r="AD560" s="47"/>
      <c r="AE560" s="47"/>
      <c r="AF560" s="47"/>
      <c r="AG560" s="47"/>
    </row>
    <row r="561" ht="15.75" customHeight="1">
      <c r="A561" s="35">
        <f>Bill!$Y561</f>
        <v>46119</v>
      </c>
      <c r="B561" s="43">
        <f>'Raw Data'!E563+Bill!$L$2</f>
        <v>20</v>
      </c>
      <c r="C561" s="43">
        <f>'Raw Data'!E563+Bill!$M$2</f>
        <v>25</v>
      </c>
      <c r="D561" s="43">
        <f>('Raw Data'!$F563*2)-10</f>
        <v>-10</v>
      </c>
      <c r="E561" s="43">
        <f>'Raw Data'!F563+Bill!$O$2</f>
        <v>20</v>
      </c>
      <c r="F561" s="43">
        <f>'Raw Data'!F563+Bill!$P$2</f>
        <v>25</v>
      </c>
      <c r="G561" s="43">
        <f>'Raw Data'!E563+Bill!$Q$2</f>
        <v>50</v>
      </c>
      <c r="H561" s="43">
        <f>('Raw Data'!F563+Bill!$R$2)</f>
        <v>20</v>
      </c>
      <c r="I561" s="36">
        <f>'Raw Data'!G563/100</f>
        <v>0</v>
      </c>
      <c r="K561" s="37">
        <f>Bill!$Y561</f>
        <v>46119</v>
      </c>
      <c r="L561" s="38">
        <f>Bill!$AA561*('Raw Data'!$E563+$L$2)</f>
        <v>0</v>
      </c>
      <c r="M561" s="38">
        <f>Bill!$AB561*('Raw Data'!$E563+$M$2)</f>
        <v>0</v>
      </c>
      <c r="N561" s="38">
        <f>(('Raw Data'!$F563 * 2)-10)*Bill!$AC561</f>
        <v>0</v>
      </c>
      <c r="O561" s="38">
        <f>('Raw Data'!F563+Bill!$O$2)*Bill!$AD561</f>
        <v>0</v>
      </c>
      <c r="P561" s="38">
        <f>('Raw Data'!F563+Bill!$P$2)*Bill!$AE561</f>
        <v>0</v>
      </c>
      <c r="Q561" s="38">
        <f>Bill!$Z561*('Raw Data'!$E563+$Q$2)</f>
        <v>0</v>
      </c>
      <c r="R561" s="38">
        <f>('Raw Data'!F563+Bill!$R$2)*Bill!$AF561</f>
        <v>0</v>
      </c>
      <c r="S561" s="48">
        <f>('Raw Data'!G563/100)*Bill!$AG561</f>
        <v>0</v>
      </c>
      <c r="T561" s="38">
        <f>SUM(Bill!$L561:$R561)</f>
        <v>0</v>
      </c>
      <c r="U561" s="53"/>
      <c r="V561" s="50"/>
      <c r="W561" s="38">
        <f>Bill!$U561-Bill!$T561</f>
        <v>0</v>
      </c>
      <c r="Y561" s="37">
        <f>'Raw Data'!D563</f>
        <v>46119</v>
      </c>
      <c r="Z561" s="47">
        <v>0.0</v>
      </c>
      <c r="AA561" s="47"/>
      <c r="AB561" s="47"/>
      <c r="AC561" s="47"/>
      <c r="AD561" s="47"/>
      <c r="AE561" s="47"/>
      <c r="AF561" s="47"/>
      <c r="AG561" s="47"/>
    </row>
    <row r="562" ht="15.75" customHeight="1">
      <c r="A562" s="35">
        <f>Bill!$Y562</f>
        <v>46120</v>
      </c>
      <c r="B562" s="43">
        <f>'Raw Data'!E564+Bill!$L$2</f>
        <v>20</v>
      </c>
      <c r="C562" s="43">
        <f>'Raw Data'!E564+Bill!$M$2</f>
        <v>25</v>
      </c>
      <c r="D562" s="43">
        <f>('Raw Data'!$F564*2)-10</f>
        <v>-10</v>
      </c>
      <c r="E562" s="43">
        <f>'Raw Data'!F564+Bill!$O$2</f>
        <v>20</v>
      </c>
      <c r="F562" s="43">
        <f>'Raw Data'!F564+Bill!$P$2</f>
        <v>25</v>
      </c>
      <c r="G562" s="43">
        <f>'Raw Data'!E564+Bill!$Q$2</f>
        <v>50</v>
      </c>
      <c r="H562" s="43">
        <f>('Raw Data'!F564+Bill!$R$2)</f>
        <v>20</v>
      </c>
      <c r="I562" s="36">
        <f>'Raw Data'!G564/100</f>
        <v>0</v>
      </c>
      <c r="K562" s="37">
        <f>Bill!$Y562</f>
        <v>46120</v>
      </c>
      <c r="L562" s="38">
        <f>Bill!$AA562*('Raw Data'!$E564+$L$2)</f>
        <v>0</v>
      </c>
      <c r="M562" s="38">
        <f>Bill!$AB562*('Raw Data'!$E564+$M$2)</f>
        <v>0</v>
      </c>
      <c r="N562" s="38">
        <f>(('Raw Data'!$F564 * 2)-10)*Bill!$AC562</f>
        <v>0</v>
      </c>
      <c r="O562" s="38">
        <f>('Raw Data'!F564+Bill!$O$2)*Bill!$AD562</f>
        <v>0</v>
      </c>
      <c r="P562" s="38">
        <f>('Raw Data'!F564+Bill!$P$2)*Bill!$AE562</f>
        <v>0</v>
      </c>
      <c r="Q562" s="38">
        <f>Bill!$Z562*('Raw Data'!$E564+$Q$2)</f>
        <v>0</v>
      </c>
      <c r="R562" s="38">
        <f>('Raw Data'!F564+Bill!$R$2)*Bill!$AF562</f>
        <v>0</v>
      </c>
      <c r="S562" s="48">
        <f>('Raw Data'!G564/100)*Bill!$AG562</f>
        <v>0</v>
      </c>
      <c r="T562" s="38">
        <f>SUM(Bill!$L562:$R562)</f>
        <v>0</v>
      </c>
      <c r="U562" s="53"/>
      <c r="V562" s="50"/>
      <c r="W562" s="38">
        <f>Bill!$U562-Bill!$T562</f>
        <v>0</v>
      </c>
      <c r="Y562" s="37">
        <f>'Raw Data'!D564</f>
        <v>46120</v>
      </c>
      <c r="Z562" s="47">
        <v>0.0</v>
      </c>
      <c r="AA562" s="47"/>
      <c r="AB562" s="47"/>
      <c r="AC562" s="47"/>
      <c r="AD562" s="47"/>
      <c r="AE562" s="47"/>
      <c r="AF562" s="47"/>
      <c r="AG562" s="47"/>
    </row>
    <row r="563" ht="15.75" customHeight="1">
      <c r="A563" s="35">
        <f>Bill!$Y563</f>
        <v>46121</v>
      </c>
      <c r="B563" s="43">
        <f>'Raw Data'!E565+Bill!$L$2</f>
        <v>20</v>
      </c>
      <c r="C563" s="43">
        <f>'Raw Data'!E565+Bill!$M$2</f>
        <v>25</v>
      </c>
      <c r="D563" s="43">
        <f>('Raw Data'!$F565*2)-10</f>
        <v>-10</v>
      </c>
      <c r="E563" s="43">
        <f>'Raw Data'!F565+Bill!$O$2</f>
        <v>20</v>
      </c>
      <c r="F563" s="43">
        <f>'Raw Data'!F565+Bill!$P$2</f>
        <v>25</v>
      </c>
      <c r="G563" s="43">
        <f>'Raw Data'!E565+Bill!$Q$2</f>
        <v>50</v>
      </c>
      <c r="H563" s="43">
        <f>('Raw Data'!F565+Bill!$R$2)</f>
        <v>20</v>
      </c>
      <c r="I563" s="36">
        <f>'Raw Data'!G565/100</f>
        <v>0</v>
      </c>
      <c r="K563" s="37">
        <f>Bill!$Y563</f>
        <v>46121</v>
      </c>
      <c r="L563" s="38">
        <f>Bill!$AA563*('Raw Data'!$E565+$L$2)</f>
        <v>0</v>
      </c>
      <c r="M563" s="38">
        <f>Bill!$AB563*('Raw Data'!$E565+$M$2)</f>
        <v>0</v>
      </c>
      <c r="N563" s="38">
        <f>(('Raw Data'!$F565 * 2)-10)*Bill!$AC563</f>
        <v>0</v>
      </c>
      <c r="O563" s="38">
        <f>('Raw Data'!F565+Bill!$O$2)*Bill!$AD563</f>
        <v>0</v>
      </c>
      <c r="P563" s="38">
        <f>('Raw Data'!F565+Bill!$P$2)*Bill!$AE563</f>
        <v>0</v>
      </c>
      <c r="Q563" s="38">
        <f>Bill!$Z563*('Raw Data'!$E565+$Q$2)</f>
        <v>0</v>
      </c>
      <c r="R563" s="38">
        <f>('Raw Data'!F565+Bill!$R$2)*Bill!$AF563</f>
        <v>0</v>
      </c>
      <c r="S563" s="48">
        <f>('Raw Data'!G565/100)*Bill!$AG563</f>
        <v>0</v>
      </c>
      <c r="T563" s="38">
        <f>SUM(Bill!$L563:$R563)</f>
        <v>0</v>
      </c>
      <c r="U563" s="53"/>
      <c r="V563" s="50"/>
      <c r="W563" s="38">
        <f>Bill!$U563-Bill!$T563</f>
        <v>0</v>
      </c>
      <c r="Y563" s="37">
        <f>'Raw Data'!D565</f>
        <v>46121</v>
      </c>
      <c r="Z563" s="47">
        <v>0.0</v>
      </c>
      <c r="AA563" s="47"/>
      <c r="AB563" s="47"/>
      <c r="AC563" s="47"/>
      <c r="AD563" s="47"/>
      <c r="AE563" s="47"/>
      <c r="AF563" s="47"/>
      <c r="AG563" s="47"/>
    </row>
    <row r="564" ht="15.75" customHeight="1">
      <c r="A564" s="35">
        <f>Bill!$Y564</f>
        <v>46122</v>
      </c>
      <c r="B564" s="43">
        <f>'Raw Data'!E566+Bill!$L$2</f>
        <v>20</v>
      </c>
      <c r="C564" s="43">
        <f>'Raw Data'!E566+Bill!$M$2</f>
        <v>25</v>
      </c>
      <c r="D564" s="43">
        <f>('Raw Data'!$F566*2)-10</f>
        <v>-10</v>
      </c>
      <c r="E564" s="43">
        <f>'Raw Data'!F566+Bill!$O$2</f>
        <v>20</v>
      </c>
      <c r="F564" s="43">
        <f>'Raw Data'!F566+Bill!$P$2</f>
        <v>25</v>
      </c>
      <c r="G564" s="43">
        <f>'Raw Data'!E566+Bill!$Q$2</f>
        <v>50</v>
      </c>
      <c r="H564" s="43">
        <f>('Raw Data'!F566+Bill!$R$2)</f>
        <v>20</v>
      </c>
      <c r="I564" s="36">
        <f>'Raw Data'!G566/100</f>
        <v>0</v>
      </c>
      <c r="K564" s="37">
        <f>Bill!$Y564</f>
        <v>46122</v>
      </c>
      <c r="L564" s="38">
        <f>Bill!$AA564*('Raw Data'!$E566+$L$2)</f>
        <v>0</v>
      </c>
      <c r="M564" s="38">
        <f>Bill!$AB564*('Raw Data'!$E566+$M$2)</f>
        <v>0</v>
      </c>
      <c r="N564" s="38">
        <f>(('Raw Data'!$F566 * 2)-10)*Bill!$AC564</f>
        <v>0</v>
      </c>
      <c r="O564" s="38">
        <f>('Raw Data'!F566+Bill!$O$2)*Bill!$AD564</f>
        <v>0</v>
      </c>
      <c r="P564" s="38">
        <f>('Raw Data'!F566+Bill!$P$2)*Bill!$AE564</f>
        <v>0</v>
      </c>
      <c r="Q564" s="38">
        <f>Bill!$Z564*('Raw Data'!$E566+$Q$2)</f>
        <v>0</v>
      </c>
      <c r="R564" s="38">
        <f>('Raw Data'!F566+Bill!$R$2)*Bill!$AF564</f>
        <v>0</v>
      </c>
      <c r="S564" s="48">
        <f>('Raw Data'!G566/100)*Bill!$AG564</f>
        <v>0</v>
      </c>
      <c r="T564" s="38">
        <f>SUM(Bill!$L564:$R564)</f>
        <v>0</v>
      </c>
      <c r="U564" s="53"/>
      <c r="V564" s="50"/>
      <c r="W564" s="38">
        <f>Bill!$U564-Bill!$T564</f>
        <v>0</v>
      </c>
      <c r="Y564" s="37">
        <f>'Raw Data'!D566</f>
        <v>46122</v>
      </c>
      <c r="Z564" s="47">
        <v>0.0</v>
      </c>
      <c r="AA564" s="47"/>
      <c r="AB564" s="47"/>
      <c r="AC564" s="47"/>
      <c r="AD564" s="47"/>
      <c r="AE564" s="47"/>
      <c r="AF564" s="47"/>
      <c r="AG564" s="47"/>
    </row>
    <row r="565" ht="15.75" customHeight="1">
      <c r="A565" s="35">
        <f>Bill!$Y565</f>
        <v>46123</v>
      </c>
      <c r="B565" s="43">
        <f>'Raw Data'!E567+Bill!$L$2</f>
        <v>20</v>
      </c>
      <c r="C565" s="43">
        <f>'Raw Data'!E567+Bill!$M$2</f>
        <v>25</v>
      </c>
      <c r="D565" s="43">
        <f>('Raw Data'!$F567*2)-10</f>
        <v>-10</v>
      </c>
      <c r="E565" s="43">
        <f>'Raw Data'!F567+Bill!$O$2</f>
        <v>20</v>
      </c>
      <c r="F565" s="43">
        <f>'Raw Data'!F567+Bill!$P$2</f>
        <v>25</v>
      </c>
      <c r="G565" s="43">
        <f>'Raw Data'!E567+Bill!$Q$2</f>
        <v>50</v>
      </c>
      <c r="H565" s="43">
        <f>('Raw Data'!F567+Bill!$R$2)</f>
        <v>20</v>
      </c>
      <c r="I565" s="36">
        <f>'Raw Data'!G567/100</f>
        <v>0</v>
      </c>
      <c r="K565" s="37">
        <f>Bill!$Y565</f>
        <v>46123</v>
      </c>
      <c r="L565" s="38">
        <f>Bill!$AA565*('Raw Data'!$E567+$L$2)</f>
        <v>0</v>
      </c>
      <c r="M565" s="38">
        <f>Bill!$AB565*('Raw Data'!$E567+$M$2)</f>
        <v>0</v>
      </c>
      <c r="N565" s="38">
        <f>(('Raw Data'!$F567 * 2)-10)*Bill!$AC565</f>
        <v>0</v>
      </c>
      <c r="O565" s="38">
        <f>('Raw Data'!F567+Bill!$O$2)*Bill!$AD565</f>
        <v>0</v>
      </c>
      <c r="P565" s="38">
        <f>('Raw Data'!F567+Bill!$P$2)*Bill!$AE565</f>
        <v>0</v>
      </c>
      <c r="Q565" s="38">
        <f>Bill!$Z565*('Raw Data'!$E567+$Q$2)</f>
        <v>0</v>
      </c>
      <c r="R565" s="38">
        <f>('Raw Data'!F567+Bill!$R$2)*Bill!$AF565</f>
        <v>0</v>
      </c>
      <c r="S565" s="48">
        <f>('Raw Data'!G567/100)*Bill!$AG565</f>
        <v>0</v>
      </c>
      <c r="T565" s="38">
        <f>SUM(Bill!$L565:$R565)</f>
        <v>0</v>
      </c>
      <c r="U565" s="53"/>
      <c r="V565" s="50"/>
      <c r="W565" s="38">
        <f>Bill!$U565-Bill!$T565</f>
        <v>0</v>
      </c>
      <c r="Y565" s="37">
        <f>'Raw Data'!D567</f>
        <v>46123</v>
      </c>
      <c r="Z565" s="47">
        <v>0.0</v>
      </c>
      <c r="AA565" s="47"/>
      <c r="AB565" s="47"/>
      <c r="AC565" s="47"/>
      <c r="AD565" s="47"/>
      <c r="AE565" s="47"/>
      <c r="AF565" s="47"/>
      <c r="AG565" s="47"/>
    </row>
    <row r="566" ht="15.75" customHeight="1">
      <c r="A566" s="35">
        <f>Bill!$Y566</f>
        <v>46124</v>
      </c>
      <c r="B566" s="43">
        <f>'Raw Data'!E568+Bill!$L$2</f>
        <v>20</v>
      </c>
      <c r="C566" s="43">
        <f>'Raw Data'!E568+Bill!$M$2</f>
        <v>25</v>
      </c>
      <c r="D566" s="43">
        <f>('Raw Data'!$F568*2)-10</f>
        <v>-10</v>
      </c>
      <c r="E566" s="43">
        <f>'Raw Data'!F568+Bill!$O$2</f>
        <v>20</v>
      </c>
      <c r="F566" s="43">
        <f>'Raw Data'!F568+Bill!$P$2</f>
        <v>25</v>
      </c>
      <c r="G566" s="43">
        <f>'Raw Data'!E568+Bill!$Q$2</f>
        <v>50</v>
      </c>
      <c r="H566" s="43">
        <f>('Raw Data'!F568+Bill!$R$2)</f>
        <v>20</v>
      </c>
      <c r="I566" s="36">
        <f>'Raw Data'!G568/100</f>
        <v>0</v>
      </c>
      <c r="K566" s="37">
        <f>Bill!$Y566</f>
        <v>46124</v>
      </c>
      <c r="L566" s="38">
        <f>Bill!$AA566*('Raw Data'!$E568+$L$2)</f>
        <v>0</v>
      </c>
      <c r="M566" s="38">
        <f>Bill!$AB566*('Raw Data'!$E568+$M$2)</f>
        <v>0</v>
      </c>
      <c r="N566" s="38">
        <f>(('Raw Data'!$F568 * 2)-10)*Bill!$AC566</f>
        <v>0</v>
      </c>
      <c r="O566" s="38">
        <f>('Raw Data'!F568+Bill!$O$2)*Bill!$AD566</f>
        <v>0</v>
      </c>
      <c r="P566" s="38">
        <f>('Raw Data'!F568+Bill!$P$2)*Bill!$AE566</f>
        <v>0</v>
      </c>
      <c r="Q566" s="38">
        <f>Bill!$Z566*('Raw Data'!$E568+$Q$2)</f>
        <v>0</v>
      </c>
      <c r="R566" s="38">
        <f>('Raw Data'!F568+Bill!$R$2)*Bill!$AF566</f>
        <v>0</v>
      </c>
      <c r="S566" s="48">
        <f>('Raw Data'!G568/100)*Bill!$AG566</f>
        <v>0</v>
      </c>
      <c r="T566" s="38">
        <f>SUM(Bill!$L566:$R566)</f>
        <v>0</v>
      </c>
      <c r="U566" s="53"/>
      <c r="V566" s="50"/>
      <c r="W566" s="38">
        <f>Bill!$U566-Bill!$T566</f>
        <v>0</v>
      </c>
      <c r="Y566" s="37">
        <f>'Raw Data'!D568</f>
        <v>46124</v>
      </c>
      <c r="Z566" s="47">
        <v>0.0</v>
      </c>
      <c r="AA566" s="47"/>
      <c r="AB566" s="47"/>
      <c r="AC566" s="47"/>
      <c r="AD566" s="47"/>
      <c r="AE566" s="47"/>
      <c r="AF566" s="47"/>
      <c r="AG566" s="47"/>
    </row>
    <row r="567" ht="15.75" customHeight="1">
      <c r="A567" s="35">
        <f>Bill!$Y567</f>
        <v>46125</v>
      </c>
      <c r="B567" s="43">
        <f>'Raw Data'!E569+Bill!$L$2</f>
        <v>20</v>
      </c>
      <c r="C567" s="43">
        <f>'Raw Data'!E569+Bill!$M$2</f>
        <v>25</v>
      </c>
      <c r="D567" s="43">
        <f>('Raw Data'!$F569*2)-10</f>
        <v>-10</v>
      </c>
      <c r="E567" s="43">
        <f>'Raw Data'!F569+Bill!$O$2</f>
        <v>20</v>
      </c>
      <c r="F567" s="43">
        <f>'Raw Data'!F569+Bill!$P$2</f>
        <v>25</v>
      </c>
      <c r="G567" s="43">
        <f>'Raw Data'!E569+Bill!$Q$2</f>
        <v>50</v>
      </c>
      <c r="H567" s="43">
        <f>('Raw Data'!F569+Bill!$R$2)</f>
        <v>20</v>
      </c>
      <c r="I567" s="36">
        <f>'Raw Data'!G569/100</f>
        <v>0</v>
      </c>
      <c r="K567" s="37">
        <f>Bill!$Y567</f>
        <v>46125</v>
      </c>
      <c r="L567" s="38">
        <f>Bill!$AA567*('Raw Data'!$E569+$L$2)</f>
        <v>0</v>
      </c>
      <c r="M567" s="38">
        <f>Bill!$AB567*('Raw Data'!$E569+$M$2)</f>
        <v>0</v>
      </c>
      <c r="N567" s="38">
        <f>(('Raw Data'!$F569 * 2)-10)*Bill!$AC567</f>
        <v>0</v>
      </c>
      <c r="O567" s="38">
        <f>('Raw Data'!F569+Bill!$O$2)*Bill!$AD567</f>
        <v>0</v>
      </c>
      <c r="P567" s="38">
        <f>('Raw Data'!F569+Bill!$P$2)*Bill!$AE567</f>
        <v>0</v>
      </c>
      <c r="Q567" s="38">
        <f>Bill!$Z567*('Raw Data'!$E569+$Q$2)</f>
        <v>0</v>
      </c>
      <c r="R567" s="38">
        <f>('Raw Data'!F569+Bill!$R$2)*Bill!$AF567</f>
        <v>0</v>
      </c>
      <c r="S567" s="48">
        <f>('Raw Data'!G569/100)*Bill!$AG567</f>
        <v>0</v>
      </c>
      <c r="T567" s="38">
        <f>SUM(Bill!$L567:$R567)</f>
        <v>0</v>
      </c>
      <c r="U567" s="53"/>
      <c r="V567" s="50"/>
      <c r="W567" s="38">
        <f>Bill!$U567-Bill!$T567</f>
        <v>0</v>
      </c>
      <c r="Y567" s="37">
        <f>'Raw Data'!D569</f>
        <v>46125</v>
      </c>
      <c r="Z567" s="47">
        <v>0.0</v>
      </c>
      <c r="AA567" s="47"/>
      <c r="AB567" s="47"/>
      <c r="AC567" s="47"/>
      <c r="AD567" s="47"/>
      <c r="AE567" s="47"/>
      <c r="AF567" s="47"/>
      <c r="AG567" s="47"/>
    </row>
    <row r="568" ht="15.75" customHeight="1">
      <c r="A568" s="35">
        <f>Bill!$Y568</f>
        <v>46126</v>
      </c>
      <c r="B568" s="43">
        <f>'Raw Data'!E570+Bill!$L$2</f>
        <v>20</v>
      </c>
      <c r="C568" s="43">
        <f>'Raw Data'!E570+Bill!$M$2</f>
        <v>25</v>
      </c>
      <c r="D568" s="43">
        <f>('Raw Data'!$F570*2)-10</f>
        <v>-10</v>
      </c>
      <c r="E568" s="43">
        <f>'Raw Data'!F570+Bill!$O$2</f>
        <v>20</v>
      </c>
      <c r="F568" s="43">
        <f>'Raw Data'!F570+Bill!$P$2</f>
        <v>25</v>
      </c>
      <c r="G568" s="43">
        <f>'Raw Data'!E570+Bill!$Q$2</f>
        <v>50</v>
      </c>
      <c r="H568" s="43">
        <f>('Raw Data'!F570+Bill!$R$2)</f>
        <v>20</v>
      </c>
      <c r="I568" s="36">
        <f>'Raw Data'!G570/100</f>
        <v>0</v>
      </c>
      <c r="K568" s="37">
        <f>Bill!$Y568</f>
        <v>46126</v>
      </c>
      <c r="L568" s="38">
        <f>Bill!$AA568*('Raw Data'!$E570+$L$2)</f>
        <v>0</v>
      </c>
      <c r="M568" s="38">
        <f>Bill!$AB568*('Raw Data'!$E570+$M$2)</f>
        <v>0</v>
      </c>
      <c r="N568" s="38">
        <f>(('Raw Data'!$F570 * 2)-10)*Bill!$AC568</f>
        <v>0</v>
      </c>
      <c r="O568" s="38">
        <f>('Raw Data'!F570+Bill!$O$2)*Bill!$AD568</f>
        <v>0</v>
      </c>
      <c r="P568" s="38">
        <f>('Raw Data'!F570+Bill!$P$2)*Bill!$AE568</f>
        <v>0</v>
      </c>
      <c r="Q568" s="38">
        <f>Bill!$Z568*('Raw Data'!$E570+$Q$2)</f>
        <v>0</v>
      </c>
      <c r="R568" s="38">
        <f>('Raw Data'!F570+Bill!$R$2)*Bill!$AF568</f>
        <v>0</v>
      </c>
      <c r="S568" s="48">
        <f>('Raw Data'!G570/100)*Bill!$AG568</f>
        <v>0</v>
      </c>
      <c r="T568" s="38">
        <f>SUM(Bill!$L568:$R568)</f>
        <v>0</v>
      </c>
      <c r="U568" s="53"/>
      <c r="V568" s="50"/>
      <c r="W568" s="38">
        <f>Bill!$U568-Bill!$T568</f>
        <v>0</v>
      </c>
      <c r="Y568" s="37">
        <f>'Raw Data'!D570</f>
        <v>46126</v>
      </c>
      <c r="Z568" s="47">
        <v>0.0</v>
      </c>
      <c r="AA568" s="47"/>
      <c r="AB568" s="47"/>
      <c r="AC568" s="47"/>
      <c r="AD568" s="47"/>
      <c r="AE568" s="47"/>
      <c r="AF568" s="47"/>
      <c r="AG568" s="47"/>
    </row>
    <row r="569" ht="15.75" customHeight="1">
      <c r="A569" s="35">
        <f>Bill!$Y569</f>
        <v>46127</v>
      </c>
      <c r="B569" s="43">
        <f>'Raw Data'!E571+Bill!$L$2</f>
        <v>20</v>
      </c>
      <c r="C569" s="43">
        <f>'Raw Data'!E571+Bill!$M$2</f>
        <v>25</v>
      </c>
      <c r="D569" s="43">
        <f>('Raw Data'!$F571*2)-10</f>
        <v>-10</v>
      </c>
      <c r="E569" s="43">
        <f>'Raw Data'!F571+Bill!$O$2</f>
        <v>20</v>
      </c>
      <c r="F569" s="43">
        <f>'Raw Data'!F571+Bill!$P$2</f>
        <v>25</v>
      </c>
      <c r="G569" s="43">
        <f>'Raw Data'!E571+Bill!$Q$2</f>
        <v>50</v>
      </c>
      <c r="H569" s="43">
        <f>('Raw Data'!F571+Bill!$R$2)</f>
        <v>20</v>
      </c>
      <c r="I569" s="36">
        <f>'Raw Data'!G571/100</f>
        <v>0</v>
      </c>
      <c r="K569" s="37">
        <f>Bill!$Y569</f>
        <v>46127</v>
      </c>
      <c r="L569" s="38">
        <f>Bill!$AA569*('Raw Data'!$E571+$L$2)</f>
        <v>0</v>
      </c>
      <c r="M569" s="38">
        <f>Bill!$AB569*('Raw Data'!$E571+$M$2)</f>
        <v>0</v>
      </c>
      <c r="N569" s="38">
        <f>(('Raw Data'!$F571 * 2)-10)*Bill!$AC569</f>
        <v>0</v>
      </c>
      <c r="O569" s="38">
        <f>('Raw Data'!F571+Bill!$O$2)*Bill!$AD569</f>
        <v>0</v>
      </c>
      <c r="P569" s="38">
        <f>('Raw Data'!F571+Bill!$P$2)*Bill!$AE569</f>
        <v>0</v>
      </c>
      <c r="Q569" s="38">
        <f>Bill!$Z569*('Raw Data'!$E571+$Q$2)</f>
        <v>0</v>
      </c>
      <c r="R569" s="38">
        <f>('Raw Data'!F571+Bill!$R$2)*Bill!$AF569</f>
        <v>0</v>
      </c>
      <c r="S569" s="48">
        <f>('Raw Data'!G571/100)*Bill!$AG569</f>
        <v>0</v>
      </c>
      <c r="T569" s="38">
        <f>SUM(Bill!$L569:$R569)</f>
        <v>0</v>
      </c>
      <c r="U569" s="53"/>
      <c r="V569" s="50"/>
      <c r="W569" s="38">
        <f>Bill!$U569-Bill!$T569</f>
        <v>0</v>
      </c>
      <c r="Y569" s="37">
        <f>'Raw Data'!D571</f>
        <v>46127</v>
      </c>
      <c r="Z569" s="47">
        <v>0.0</v>
      </c>
      <c r="AA569" s="47"/>
      <c r="AB569" s="47"/>
      <c r="AC569" s="47"/>
      <c r="AD569" s="47"/>
      <c r="AE569" s="47"/>
      <c r="AF569" s="47"/>
      <c r="AG569" s="47"/>
    </row>
    <row r="570" ht="15.75" customHeight="1">
      <c r="A570" s="35">
        <f>Bill!$Y570</f>
        <v>46128</v>
      </c>
      <c r="B570" s="43">
        <f>'Raw Data'!E572+Bill!$L$2</f>
        <v>20</v>
      </c>
      <c r="C570" s="43">
        <f>'Raw Data'!E572+Bill!$M$2</f>
        <v>25</v>
      </c>
      <c r="D570" s="43">
        <f>('Raw Data'!$F572*2)-10</f>
        <v>-10</v>
      </c>
      <c r="E570" s="43">
        <f>'Raw Data'!F572+Bill!$O$2</f>
        <v>20</v>
      </c>
      <c r="F570" s="43">
        <f>'Raw Data'!F572+Bill!$P$2</f>
        <v>25</v>
      </c>
      <c r="G570" s="43">
        <f>'Raw Data'!E572+Bill!$Q$2</f>
        <v>50</v>
      </c>
      <c r="H570" s="43">
        <f>('Raw Data'!F572+Bill!$R$2)</f>
        <v>20</v>
      </c>
      <c r="I570" s="36">
        <f>'Raw Data'!G572/100</f>
        <v>0</v>
      </c>
      <c r="K570" s="37">
        <f>Bill!$Y570</f>
        <v>46128</v>
      </c>
      <c r="L570" s="38">
        <f>Bill!$AA570*('Raw Data'!$E572+$L$2)</f>
        <v>0</v>
      </c>
      <c r="M570" s="38">
        <f>Bill!$AB570*('Raw Data'!$E572+$M$2)</f>
        <v>0</v>
      </c>
      <c r="N570" s="38">
        <f>(('Raw Data'!$F572 * 2)-10)*Bill!$AC570</f>
        <v>0</v>
      </c>
      <c r="O570" s="38">
        <f>('Raw Data'!F572+Bill!$O$2)*Bill!$AD570</f>
        <v>0</v>
      </c>
      <c r="P570" s="38">
        <f>('Raw Data'!F572+Bill!$P$2)*Bill!$AE570</f>
        <v>0</v>
      </c>
      <c r="Q570" s="38">
        <f>Bill!$Z570*('Raw Data'!$E572+$Q$2)</f>
        <v>0</v>
      </c>
      <c r="R570" s="38">
        <f>('Raw Data'!F572+Bill!$R$2)*Bill!$AF570</f>
        <v>0</v>
      </c>
      <c r="S570" s="48">
        <f>('Raw Data'!G572/100)*Bill!$AG570</f>
        <v>0</v>
      </c>
      <c r="T570" s="38">
        <f>SUM(Bill!$L570:$R570)</f>
        <v>0</v>
      </c>
      <c r="U570" s="53"/>
      <c r="V570" s="50"/>
      <c r="W570" s="38">
        <f>Bill!$U570-Bill!$T570</f>
        <v>0</v>
      </c>
      <c r="Y570" s="37">
        <f>'Raw Data'!D572</f>
        <v>46128</v>
      </c>
      <c r="Z570" s="47">
        <v>0.0</v>
      </c>
      <c r="AA570" s="47"/>
      <c r="AB570" s="47"/>
      <c r="AC570" s="47"/>
      <c r="AD570" s="47"/>
      <c r="AE570" s="47"/>
      <c r="AF570" s="47"/>
      <c r="AG570" s="47"/>
    </row>
    <row r="571" ht="15.75" customHeight="1">
      <c r="A571" s="35">
        <f>Bill!$Y571</f>
        <v>46129</v>
      </c>
      <c r="B571" s="43">
        <f>'Raw Data'!E573+Bill!$L$2</f>
        <v>20</v>
      </c>
      <c r="C571" s="43">
        <f>'Raw Data'!E573+Bill!$M$2</f>
        <v>25</v>
      </c>
      <c r="D571" s="43">
        <f>('Raw Data'!$F573*2)-10</f>
        <v>-10</v>
      </c>
      <c r="E571" s="43">
        <f>'Raw Data'!F573+Bill!$O$2</f>
        <v>20</v>
      </c>
      <c r="F571" s="43">
        <f>'Raw Data'!F573+Bill!$P$2</f>
        <v>25</v>
      </c>
      <c r="G571" s="43">
        <f>'Raw Data'!E573+Bill!$Q$2</f>
        <v>50</v>
      </c>
      <c r="H571" s="43">
        <f>('Raw Data'!F573+Bill!$R$2)</f>
        <v>20</v>
      </c>
      <c r="I571" s="36">
        <f>'Raw Data'!G573/100</f>
        <v>0</v>
      </c>
      <c r="K571" s="37">
        <f>Bill!$Y571</f>
        <v>46129</v>
      </c>
      <c r="L571" s="38">
        <f>Bill!$AA571*('Raw Data'!$E573+$L$2)</f>
        <v>0</v>
      </c>
      <c r="M571" s="38">
        <f>Bill!$AB571*('Raw Data'!$E573+$M$2)</f>
        <v>0</v>
      </c>
      <c r="N571" s="38">
        <f>(('Raw Data'!$F573 * 2)-10)*Bill!$AC571</f>
        <v>0</v>
      </c>
      <c r="O571" s="38">
        <f>('Raw Data'!F573+Bill!$O$2)*Bill!$AD571</f>
        <v>0</v>
      </c>
      <c r="P571" s="38">
        <f>('Raw Data'!F573+Bill!$P$2)*Bill!$AE571</f>
        <v>0</v>
      </c>
      <c r="Q571" s="38">
        <f>Bill!$Z571*('Raw Data'!$E573+$Q$2)</f>
        <v>0</v>
      </c>
      <c r="R571" s="38">
        <f>('Raw Data'!F573+Bill!$R$2)*Bill!$AF571</f>
        <v>0</v>
      </c>
      <c r="S571" s="48">
        <f>('Raw Data'!G573/100)*Bill!$AG571</f>
        <v>0</v>
      </c>
      <c r="T571" s="38">
        <f>SUM(Bill!$L571:$R571)</f>
        <v>0</v>
      </c>
      <c r="U571" s="53"/>
      <c r="V571" s="50"/>
      <c r="W571" s="38">
        <f>Bill!$U571-Bill!$T571</f>
        <v>0</v>
      </c>
      <c r="Y571" s="37">
        <f>'Raw Data'!D573</f>
        <v>46129</v>
      </c>
      <c r="Z571" s="47">
        <v>0.0</v>
      </c>
      <c r="AA571" s="47"/>
      <c r="AB571" s="47"/>
      <c r="AC571" s="47"/>
      <c r="AD571" s="47"/>
      <c r="AE571" s="47"/>
      <c r="AF571" s="47"/>
      <c r="AG571" s="47"/>
    </row>
    <row r="572" ht="15.75" customHeight="1">
      <c r="A572" s="35">
        <f>Bill!$Y572</f>
        <v>46130</v>
      </c>
      <c r="B572" s="43">
        <f>'Raw Data'!E574+Bill!$L$2</f>
        <v>20</v>
      </c>
      <c r="C572" s="43">
        <f>'Raw Data'!E574+Bill!$M$2</f>
        <v>25</v>
      </c>
      <c r="D572" s="43">
        <f>('Raw Data'!$F574*2)-10</f>
        <v>-10</v>
      </c>
      <c r="E572" s="43">
        <f>'Raw Data'!F574+Bill!$O$2</f>
        <v>20</v>
      </c>
      <c r="F572" s="43">
        <f>'Raw Data'!F574+Bill!$P$2</f>
        <v>25</v>
      </c>
      <c r="G572" s="43">
        <f>'Raw Data'!E574+Bill!$Q$2</f>
        <v>50</v>
      </c>
      <c r="H572" s="43">
        <f>('Raw Data'!F574+Bill!$R$2)</f>
        <v>20</v>
      </c>
      <c r="I572" s="36">
        <f>'Raw Data'!G574/100</f>
        <v>0</v>
      </c>
      <c r="K572" s="37">
        <f>Bill!$Y572</f>
        <v>46130</v>
      </c>
      <c r="L572" s="38">
        <f>Bill!$AA572*('Raw Data'!$E574+$L$2)</f>
        <v>0</v>
      </c>
      <c r="M572" s="38">
        <f>Bill!$AB572*('Raw Data'!$E574+$M$2)</f>
        <v>0</v>
      </c>
      <c r="N572" s="38">
        <f>(('Raw Data'!$F574 * 2)-10)*Bill!$AC572</f>
        <v>0</v>
      </c>
      <c r="O572" s="38">
        <f>('Raw Data'!F574+Bill!$O$2)*Bill!$AD572</f>
        <v>0</v>
      </c>
      <c r="P572" s="38">
        <f>('Raw Data'!F574+Bill!$P$2)*Bill!$AE572</f>
        <v>0</v>
      </c>
      <c r="Q572" s="38">
        <f>Bill!$Z572*('Raw Data'!$E574+$Q$2)</f>
        <v>0</v>
      </c>
      <c r="R572" s="38">
        <f>('Raw Data'!F574+Bill!$R$2)*Bill!$AF572</f>
        <v>0</v>
      </c>
      <c r="S572" s="48">
        <f>('Raw Data'!G574/100)*Bill!$AG572</f>
        <v>0</v>
      </c>
      <c r="T572" s="38">
        <f>SUM(Bill!$L572:$R572)</f>
        <v>0</v>
      </c>
      <c r="U572" s="53"/>
      <c r="V572" s="50"/>
      <c r="W572" s="38">
        <f>Bill!$U572-Bill!$T572</f>
        <v>0</v>
      </c>
      <c r="Y572" s="37">
        <f>'Raw Data'!D574</f>
        <v>46130</v>
      </c>
      <c r="Z572" s="47">
        <v>0.0</v>
      </c>
      <c r="AA572" s="47"/>
      <c r="AB572" s="47"/>
      <c r="AC572" s="47"/>
      <c r="AD572" s="47"/>
      <c r="AE572" s="47"/>
      <c r="AF572" s="47"/>
      <c r="AG572" s="47"/>
    </row>
    <row r="573" ht="15.75" customHeight="1">
      <c r="A573" s="35">
        <f>Bill!$Y573</f>
        <v>46131</v>
      </c>
      <c r="B573" s="43">
        <f>'Raw Data'!E575+Bill!$L$2</f>
        <v>20</v>
      </c>
      <c r="C573" s="43">
        <f>'Raw Data'!E575+Bill!$M$2</f>
        <v>25</v>
      </c>
      <c r="D573" s="43">
        <f>('Raw Data'!$F575*2)-10</f>
        <v>-10</v>
      </c>
      <c r="E573" s="43">
        <f>'Raw Data'!F575+Bill!$O$2</f>
        <v>20</v>
      </c>
      <c r="F573" s="43">
        <f>'Raw Data'!F575+Bill!$P$2</f>
        <v>25</v>
      </c>
      <c r="G573" s="43">
        <f>'Raw Data'!E575+Bill!$Q$2</f>
        <v>50</v>
      </c>
      <c r="H573" s="43">
        <f>('Raw Data'!F575+Bill!$R$2)</f>
        <v>20</v>
      </c>
      <c r="I573" s="36">
        <f>'Raw Data'!G575/100</f>
        <v>0</v>
      </c>
      <c r="K573" s="37">
        <f>Bill!$Y573</f>
        <v>46131</v>
      </c>
      <c r="L573" s="38">
        <f>Bill!$AA573*('Raw Data'!$E575+$L$2)</f>
        <v>0</v>
      </c>
      <c r="M573" s="38">
        <f>Bill!$AB573*('Raw Data'!$E575+$M$2)</f>
        <v>0</v>
      </c>
      <c r="N573" s="38">
        <f>(('Raw Data'!$F575 * 2)-10)*Bill!$AC573</f>
        <v>0</v>
      </c>
      <c r="O573" s="38">
        <f>('Raw Data'!F575+Bill!$O$2)*Bill!$AD573</f>
        <v>0</v>
      </c>
      <c r="P573" s="38">
        <f>('Raw Data'!F575+Bill!$P$2)*Bill!$AE573</f>
        <v>0</v>
      </c>
      <c r="Q573" s="38">
        <f>Bill!$Z573*('Raw Data'!$E575+$Q$2)</f>
        <v>0</v>
      </c>
      <c r="R573" s="38">
        <f>('Raw Data'!F575+Bill!$R$2)*Bill!$AF573</f>
        <v>0</v>
      </c>
      <c r="S573" s="48">
        <f>('Raw Data'!G575/100)*Bill!$AG573</f>
        <v>0</v>
      </c>
      <c r="T573" s="38">
        <f>SUM(Bill!$L573:$R573)</f>
        <v>0</v>
      </c>
      <c r="U573" s="53"/>
      <c r="V573" s="50"/>
      <c r="W573" s="38">
        <f>Bill!$U573-Bill!$T573</f>
        <v>0</v>
      </c>
      <c r="Y573" s="37">
        <f>'Raw Data'!D575</f>
        <v>46131</v>
      </c>
      <c r="Z573" s="47">
        <v>0.0</v>
      </c>
      <c r="AA573" s="47"/>
      <c r="AB573" s="47"/>
      <c r="AC573" s="47"/>
      <c r="AD573" s="47"/>
      <c r="AE573" s="47"/>
      <c r="AF573" s="47"/>
      <c r="AG573" s="47"/>
    </row>
    <row r="574" ht="15.75" customHeight="1">
      <c r="A574" s="35">
        <f>Bill!$Y574</f>
        <v>46132</v>
      </c>
      <c r="B574" s="43">
        <f>'Raw Data'!E576+Bill!$L$2</f>
        <v>20</v>
      </c>
      <c r="C574" s="43">
        <f>'Raw Data'!E576+Bill!$M$2</f>
        <v>25</v>
      </c>
      <c r="D574" s="43">
        <f>('Raw Data'!$F576*2)-10</f>
        <v>-10</v>
      </c>
      <c r="E574" s="43">
        <f>'Raw Data'!F576+Bill!$O$2</f>
        <v>20</v>
      </c>
      <c r="F574" s="43">
        <f>'Raw Data'!F576+Bill!$P$2</f>
        <v>25</v>
      </c>
      <c r="G574" s="43">
        <f>'Raw Data'!E576+Bill!$Q$2</f>
        <v>50</v>
      </c>
      <c r="H574" s="43">
        <f>('Raw Data'!F576+Bill!$R$2)</f>
        <v>20</v>
      </c>
      <c r="I574" s="36">
        <f>'Raw Data'!G576/100</f>
        <v>0</v>
      </c>
      <c r="K574" s="37">
        <f>Bill!$Y574</f>
        <v>46132</v>
      </c>
      <c r="L574" s="38">
        <f>Bill!$AA574*('Raw Data'!$E576+$L$2)</f>
        <v>0</v>
      </c>
      <c r="M574" s="38">
        <f>Bill!$AB574*('Raw Data'!$E576+$M$2)</f>
        <v>0</v>
      </c>
      <c r="N574" s="38">
        <f>(('Raw Data'!$F576 * 2)-10)*Bill!$AC574</f>
        <v>0</v>
      </c>
      <c r="O574" s="38">
        <f>('Raw Data'!F576+Bill!$O$2)*Bill!$AD574</f>
        <v>0</v>
      </c>
      <c r="P574" s="38">
        <f>('Raw Data'!F576+Bill!$P$2)*Bill!$AE574</f>
        <v>0</v>
      </c>
      <c r="Q574" s="38">
        <f>Bill!$Z574*('Raw Data'!$E576+$Q$2)</f>
        <v>0</v>
      </c>
      <c r="R574" s="38">
        <f>('Raw Data'!F576+Bill!$R$2)*Bill!$AF574</f>
        <v>0</v>
      </c>
      <c r="S574" s="48">
        <f>('Raw Data'!G576/100)*Bill!$AG574</f>
        <v>0</v>
      </c>
      <c r="T574" s="38">
        <f>SUM(Bill!$L574:$R574)</f>
        <v>0</v>
      </c>
      <c r="U574" s="53"/>
      <c r="V574" s="50"/>
      <c r="W574" s="38">
        <f>Bill!$U574-Bill!$T574</f>
        <v>0</v>
      </c>
      <c r="Y574" s="37">
        <f>'Raw Data'!D576</f>
        <v>46132</v>
      </c>
      <c r="Z574" s="47">
        <v>0.0</v>
      </c>
      <c r="AA574" s="47"/>
      <c r="AB574" s="47"/>
      <c r="AC574" s="47"/>
      <c r="AD574" s="47"/>
      <c r="AE574" s="47"/>
      <c r="AF574" s="47"/>
      <c r="AG574" s="47"/>
    </row>
    <row r="575" ht="15.75" customHeight="1">
      <c r="A575" s="35">
        <f>Bill!$Y575</f>
        <v>46133</v>
      </c>
      <c r="B575" s="43">
        <f>'Raw Data'!E577+Bill!$L$2</f>
        <v>20</v>
      </c>
      <c r="C575" s="43">
        <f>'Raw Data'!E577+Bill!$M$2</f>
        <v>25</v>
      </c>
      <c r="D575" s="43">
        <f>('Raw Data'!$F577*2)-10</f>
        <v>-10</v>
      </c>
      <c r="E575" s="43">
        <f>'Raw Data'!F577+Bill!$O$2</f>
        <v>20</v>
      </c>
      <c r="F575" s="43">
        <f>'Raw Data'!F577+Bill!$P$2</f>
        <v>25</v>
      </c>
      <c r="G575" s="43">
        <f>'Raw Data'!E577+Bill!$Q$2</f>
        <v>50</v>
      </c>
      <c r="H575" s="43">
        <f>('Raw Data'!F577+Bill!$R$2)</f>
        <v>20</v>
      </c>
      <c r="I575" s="36">
        <f>'Raw Data'!G577/100</f>
        <v>0</v>
      </c>
      <c r="K575" s="37">
        <f>Bill!$Y575</f>
        <v>46133</v>
      </c>
      <c r="L575" s="38">
        <f>Bill!$AA575*('Raw Data'!$E577+$L$2)</f>
        <v>0</v>
      </c>
      <c r="M575" s="38">
        <f>Bill!$AB575*('Raw Data'!$E577+$M$2)</f>
        <v>0</v>
      </c>
      <c r="N575" s="38">
        <f>(('Raw Data'!$F577 * 2)-10)*Bill!$AC575</f>
        <v>0</v>
      </c>
      <c r="O575" s="38">
        <f>('Raw Data'!F577+Bill!$O$2)*Bill!$AD575</f>
        <v>0</v>
      </c>
      <c r="P575" s="38">
        <f>('Raw Data'!F577+Bill!$P$2)*Bill!$AE575</f>
        <v>0</v>
      </c>
      <c r="Q575" s="38">
        <f>Bill!$Z575*('Raw Data'!$E577+$Q$2)</f>
        <v>0</v>
      </c>
      <c r="R575" s="38">
        <f>('Raw Data'!F577+Bill!$R$2)*Bill!$AF575</f>
        <v>0</v>
      </c>
      <c r="S575" s="48">
        <f>('Raw Data'!G577/100)*Bill!$AG575</f>
        <v>0</v>
      </c>
      <c r="T575" s="38">
        <f>SUM(Bill!$L575:$R575)</f>
        <v>0</v>
      </c>
      <c r="U575" s="53"/>
      <c r="V575" s="50"/>
      <c r="W575" s="38">
        <f>Bill!$U575-Bill!$T575</f>
        <v>0</v>
      </c>
      <c r="Y575" s="37">
        <f>'Raw Data'!D577</f>
        <v>46133</v>
      </c>
      <c r="Z575" s="47">
        <v>0.0</v>
      </c>
      <c r="AA575" s="47"/>
      <c r="AB575" s="47"/>
      <c r="AC575" s="47"/>
      <c r="AD575" s="47"/>
      <c r="AE575" s="47"/>
      <c r="AF575" s="47"/>
      <c r="AG575" s="47"/>
    </row>
    <row r="576" ht="15.75" customHeight="1">
      <c r="A576" s="35">
        <f>Bill!$Y576</f>
        <v>46134</v>
      </c>
      <c r="B576" s="43">
        <f>'Raw Data'!E578+Bill!$L$2</f>
        <v>20</v>
      </c>
      <c r="C576" s="43">
        <f>'Raw Data'!E578+Bill!$M$2</f>
        <v>25</v>
      </c>
      <c r="D576" s="43">
        <f>('Raw Data'!$F578*2)-10</f>
        <v>-10</v>
      </c>
      <c r="E576" s="43">
        <f>'Raw Data'!F578+Bill!$O$2</f>
        <v>20</v>
      </c>
      <c r="F576" s="43">
        <f>'Raw Data'!F578+Bill!$P$2</f>
        <v>25</v>
      </c>
      <c r="G576" s="43">
        <f>'Raw Data'!E578+Bill!$Q$2</f>
        <v>50</v>
      </c>
      <c r="H576" s="43">
        <f>('Raw Data'!F578+Bill!$R$2)</f>
        <v>20</v>
      </c>
      <c r="I576" s="36">
        <f>'Raw Data'!G578/100</f>
        <v>0</v>
      </c>
      <c r="K576" s="37">
        <f>Bill!$Y576</f>
        <v>46134</v>
      </c>
      <c r="L576" s="38">
        <f>Bill!$AA576*('Raw Data'!$E578+$L$2)</f>
        <v>0</v>
      </c>
      <c r="M576" s="38">
        <f>Bill!$AB576*('Raw Data'!$E578+$M$2)</f>
        <v>0</v>
      </c>
      <c r="N576" s="38">
        <f>(('Raw Data'!$F578 * 2)-10)*Bill!$AC576</f>
        <v>0</v>
      </c>
      <c r="O576" s="38">
        <f>('Raw Data'!F578+Bill!$O$2)*Bill!$AD576</f>
        <v>0</v>
      </c>
      <c r="P576" s="38">
        <f>('Raw Data'!F578+Bill!$P$2)*Bill!$AE576</f>
        <v>0</v>
      </c>
      <c r="Q576" s="38">
        <f>Bill!$Z576*('Raw Data'!$E578+$Q$2)</f>
        <v>0</v>
      </c>
      <c r="R576" s="38">
        <f>('Raw Data'!F578+Bill!$R$2)*Bill!$AF576</f>
        <v>0</v>
      </c>
      <c r="S576" s="48">
        <f>('Raw Data'!G578/100)*Bill!$AG576</f>
        <v>0</v>
      </c>
      <c r="T576" s="38">
        <f>SUM(Bill!$L576:$R576)</f>
        <v>0</v>
      </c>
      <c r="U576" s="53"/>
      <c r="V576" s="50"/>
      <c r="W576" s="38">
        <f>Bill!$U576-Bill!$T576</f>
        <v>0</v>
      </c>
      <c r="Y576" s="37">
        <f>'Raw Data'!D578</f>
        <v>46134</v>
      </c>
      <c r="Z576" s="47">
        <v>0.0</v>
      </c>
      <c r="AA576" s="47"/>
      <c r="AB576" s="47"/>
      <c r="AC576" s="47"/>
      <c r="AD576" s="47"/>
      <c r="AE576" s="47"/>
      <c r="AF576" s="47"/>
      <c r="AG576" s="47"/>
    </row>
    <row r="577" ht="15.75" customHeight="1">
      <c r="A577" s="35">
        <f>Bill!$Y577</f>
        <v>46135</v>
      </c>
      <c r="B577" s="43">
        <f>'Raw Data'!E579+Bill!$L$2</f>
        <v>20</v>
      </c>
      <c r="C577" s="43">
        <f>'Raw Data'!E579+Bill!$M$2</f>
        <v>25</v>
      </c>
      <c r="D577" s="43">
        <f>('Raw Data'!$F579*2)-10</f>
        <v>-10</v>
      </c>
      <c r="E577" s="43">
        <f>'Raw Data'!F579+Bill!$O$2</f>
        <v>20</v>
      </c>
      <c r="F577" s="43">
        <f>'Raw Data'!F579+Bill!$P$2</f>
        <v>25</v>
      </c>
      <c r="G577" s="43">
        <f>'Raw Data'!E579+Bill!$Q$2</f>
        <v>50</v>
      </c>
      <c r="H577" s="43">
        <f>('Raw Data'!F579+Bill!$R$2)</f>
        <v>20</v>
      </c>
      <c r="I577" s="36">
        <f>'Raw Data'!G579/100</f>
        <v>0</v>
      </c>
      <c r="K577" s="37">
        <f>Bill!$Y577</f>
        <v>46135</v>
      </c>
      <c r="L577" s="38">
        <f>Bill!$AA577*('Raw Data'!$E579+$L$2)</f>
        <v>0</v>
      </c>
      <c r="M577" s="38">
        <f>Bill!$AB577*('Raw Data'!$E579+$M$2)</f>
        <v>0</v>
      </c>
      <c r="N577" s="38">
        <f>(('Raw Data'!$F579 * 2)-10)*Bill!$AC577</f>
        <v>0</v>
      </c>
      <c r="O577" s="38">
        <f>('Raw Data'!F579+Bill!$O$2)*Bill!$AD577</f>
        <v>0</v>
      </c>
      <c r="P577" s="38">
        <f>('Raw Data'!F579+Bill!$P$2)*Bill!$AE577</f>
        <v>0</v>
      </c>
      <c r="Q577" s="38">
        <f>Bill!$Z577*('Raw Data'!$E579+$Q$2)</f>
        <v>0</v>
      </c>
      <c r="R577" s="38">
        <f>('Raw Data'!F579+Bill!$R$2)*Bill!$AF577</f>
        <v>0</v>
      </c>
      <c r="S577" s="48">
        <f>('Raw Data'!G579/100)*Bill!$AG577</f>
        <v>0</v>
      </c>
      <c r="T577" s="38">
        <f>SUM(Bill!$L577:$R577)</f>
        <v>0</v>
      </c>
      <c r="U577" s="53"/>
      <c r="V577" s="50"/>
      <c r="W577" s="38">
        <f>Bill!$U577-Bill!$T577</f>
        <v>0</v>
      </c>
      <c r="Y577" s="37">
        <f>'Raw Data'!D579</f>
        <v>46135</v>
      </c>
      <c r="Z577" s="47">
        <v>0.0</v>
      </c>
      <c r="AA577" s="47"/>
      <c r="AB577" s="47"/>
      <c r="AC577" s="47"/>
      <c r="AD577" s="47"/>
      <c r="AE577" s="47"/>
      <c r="AF577" s="47"/>
      <c r="AG577" s="47"/>
    </row>
    <row r="578" ht="15.75" customHeight="1">
      <c r="A578" s="35">
        <f>Bill!$Y578</f>
        <v>46136</v>
      </c>
      <c r="B578" s="43">
        <f>'Raw Data'!E580+Bill!$L$2</f>
        <v>20</v>
      </c>
      <c r="C578" s="43">
        <f>'Raw Data'!E580+Bill!$M$2</f>
        <v>25</v>
      </c>
      <c r="D578" s="43">
        <f>('Raw Data'!$F580*2)-10</f>
        <v>-10</v>
      </c>
      <c r="E578" s="43">
        <f>'Raw Data'!F580+Bill!$O$2</f>
        <v>20</v>
      </c>
      <c r="F578" s="43">
        <f>'Raw Data'!F580+Bill!$P$2</f>
        <v>25</v>
      </c>
      <c r="G578" s="43">
        <f>'Raw Data'!E580+Bill!$Q$2</f>
        <v>50</v>
      </c>
      <c r="H578" s="43">
        <f>('Raw Data'!F580+Bill!$R$2)</f>
        <v>20</v>
      </c>
      <c r="I578" s="36">
        <f>'Raw Data'!G580/100</f>
        <v>0</v>
      </c>
      <c r="K578" s="37">
        <f>Bill!$Y578</f>
        <v>46136</v>
      </c>
      <c r="L578" s="38">
        <f>Bill!$AA578*('Raw Data'!$E580+$L$2)</f>
        <v>0</v>
      </c>
      <c r="M578" s="38">
        <f>Bill!$AB578*('Raw Data'!$E580+$M$2)</f>
        <v>0</v>
      </c>
      <c r="N578" s="38">
        <f>(('Raw Data'!$F580 * 2)-10)*Bill!$AC578</f>
        <v>0</v>
      </c>
      <c r="O578" s="38">
        <f>('Raw Data'!F580+Bill!$O$2)*Bill!$AD578</f>
        <v>0</v>
      </c>
      <c r="P578" s="38">
        <f>('Raw Data'!F580+Bill!$P$2)*Bill!$AE578</f>
        <v>0</v>
      </c>
      <c r="Q578" s="38">
        <f>Bill!$Z578*('Raw Data'!$E580+$Q$2)</f>
        <v>0</v>
      </c>
      <c r="R578" s="38">
        <f>('Raw Data'!F580+Bill!$R$2)*Bill!$AF578</f>
        <v>0</v>
      </c>
      <c r="S578" s="48">
        <f>('Raw Data'!G580/100)*Bill!$AG578</f>
        <v>0</v>
      </c>
      <c r="T578" s="38">
        <f>SUM(Bill!$L578:$R578)</f>
        <v>0</v>
      </c>
      <c r="U578" s="53"/>
      <c r="V578" s="50"/>
      <c r="W578" s="38">
        <f>Bill!$U578-Bill!$T578</f>
        <v>0</v>
      </c>
      <c r="Y578" s="37">
        <f>'Raw Data'!D580</f>
        <v>46136</v>
      </c>
      <c r="Z578" s="47">
        <v>0.0</v>
      </c>
      <c r="AA578" s="47"/>
      <c r="AB578" s="47"/>
      <c r="AC578" s="47"/>
      <c r="AD578" s="47"/>
      <c r="AE578" s="47"/>
      <c r="AF578" s="47"/>
      <c r="AG578" s="47"/>
    </row>
    <row r="579" ht="15.75" customHeight="1">
      <c r="A579" s="35">
        <f>Bill!$Y579</f>
        <v>46137</v>
      </c>
      <c r="B579" s="43">
        <f>'Raw Data'!E581+Bill!$L$2</f>
        <v>20</v>
      </c>
      <c r="C579" s="43">
        <f>'Raw Data'!E581+Bill!$M$2</f>
        <v>25</v>
      </c>
      <c r="D579" s="43">
        <f>('Raw Data'!$F581*2)-10</f>
        <v>-10</v>
      </c>
      <c r="E579" s="43">
        <f>'Raw Data'!F581+Bill!$O$2</f>
        <v>20</v>
      </c>
      <c r="F579" s="43">
        <f>'Raw Data'!F581+Bill!$P$2</f>
        <v>25</v>
      </c>
      <c r="G579" s="43">
        <f>'Raw Data'!E581+Bill!$Q$2</f>
        <v>50</v>
      </c>
      <c r="H579" s="43">
        <f>('Raw Data'!F581+Bill!$R$2)</f>
        <v>20</v>
      </c>
      <c r="I579" s="36">
        <f>'Raw Data'!G581/100</f>
        <v>0</v>
      </c>
      <c r="K579" s="37">
        <f>Bill!$Y579</f>
        <v>46137</v>
      </c>
      <c r="L579" s="38">
        <f>Bill!$AA579*('Raw Data'!$E581+$L$2)</f>
        <v>0</v>
      </c>
      <c r="M579" s="38">
        <f>Bill!$AB579*('Raw Data'!$E581+$M$2)</f>
        <v>0</v>
      </c>
      <c r="N579" s="38">
        <f>(('Raw Data'!$F581 * 2)-10)*Bill!$AC579</f>
        <v>0</v>
      </c>
      <c r="O579" s="38">
        <f>('Raw Data'!F581+Bill!$O$2)*Bill!$AD579</f>
        <v>0</v>
      </c>
      <c r="P579" s="38">
        <f>('Raw Data'!F581+Bill!$P$2)*Bill!$AE579</f>
        <v>0</v>
      </c>
      <c r="Q579" s="38">
        <f>Bill!$Z579*('Raw Data'!$E581+$Q$2)</f>
        <v>0</v>
      </c>
      <c r="R579" s="38">
        <f>('Raw Data'!F581+Bill!$R$2)*Bill!$AF579</f>
        <v>0</v>
      </c>
      <c r="S579" s="48">
        <f>('Raw Data'!G581/100)*Bill!$AG579</f>
        <v>0</v>
      </c>
      <c r="T579" s="38">
        <f>SUM(Bill!$L579:$R579)</f>
        <v>0</v>
      </c>
      <c r="U579" s="53"/>
      <c r="V579" s="50"/>
      <c r="W579" s="38">
        <f>Bill!$U579-Bill!$T579</f>
        <v>0</v>
      </c>
      <c r="Y579" s="37">
        <f>'Raw Data'!D581</f>
        <v>46137</v>
      </c>
      <c r="Z579" s="47">
        <v>0.0</v>
      </c>
      <c r="AA579" s="47"/>
      <c r="AB579" s="47"/>
      <c r="AC579" s="47"/>
      <c r="AD579" s="47"/>
      <c r="AE579" s="47"/>
      <c r="AF579" s="47"/>
      <c r="AG579" s="47"/>
    </row>
    <row r="580" ht="15.75" customHeight="1">
      <c r="A580" s="35">
        <f>Bill!$Y580</f>
        <v>46138</v>
      </c>
      <c r="B580" s="43">
        <f>'Raw Data'!E582+Bill!$L$2</f>
        <v>20</v>
      </c>
      <c r="C580" s="43">
        <f>'Raw Data'!E582+Bill!$M$2</f>
        <v>25</v>
      </c>
      <c r="D580" s="43">
        <f>('Raw Data'!$F582*2)-10</f>
        <v>-10</v>
      </c>
      <c r="E580" s="43">
        <f>'Raw Data'!F582+Bill!$O$2</f>
        <v>20</v>
      </c>
      <c r="F580" s="43">
        <f>'Raw Data'!F582+Bill!$P$2</f>
        <v>25</v>
      </c>
      <c r="G580" s="43">
        <f>'Raw Data'!E582+Bill!$Q$2</f>
        <v>50</v>
      </c>
      <c r="H580" s="43">
        <f>('Raw Data'!F582+Bill!$R$2)</f>
        <v>20</v>
      </c>
      <c r="I580" s="36">
        <f>'Raw Data'!G582/100</f>
        <v>0</v>
      </c>
      <c r="K580" s="37">
        <f>Bill!$Y580</f>
        <v>46138</v>
      </c>
      <c r="L580" s="38">
        <f>Bill!$AA580*('Raw Data'!$E582+$L$2)</f>
        <v>0</v>
      </c>
      <c r="M580" s="38">
        <f>Bill!$AB580*('Raw Data'!$E582+$M$2)</f>
        <v>0</v>
      </c>
      <c r="N580" s="38">
        <f>(('Raw Data'!$F582 * 2)-10)*Bill!$AC580</f>
        <v>0</v>
      </c>
      <c r="O580" s="38">
        <f>('Raw Data'!F582+Bill!$O$2)*Bill!$AD580</f>
        <v>0</v>
      </c>
      <c r="P580" s="38">
        <f>('Raw Data'!F582+Bill!$P$2)*Bill!$AE580</f>
        <v>0</v>
      </c>
      <c r="Q580" s="38">
        <f>Bill!$Z580*('Raw Data'!$E582+$Q$2)</f>
        <v>0</v>
      </c>
      <c r="R580" s="38">
        <f>('Raw Data'!F582+Bill!$R$2)*Bill!$AF580</f>
        <v>0</v>
      </c>
      <c r="S580" s="48">
        <f>('Raw Data'!G582/100)*Bill!$AG580</f>
        <v>0</v>
      </c>
      <c r="T580" s="38">
        <f>SUM(Bill!$L580:$R580)</f>
        <v>0</v>
      </c>
      <c r="U580" s="53"/>
      <c r="V580" s="50"/>
      <c r="W580" s="38">
        <f>Bill!$U580-Bill!$T580</f>
        <v>0</v>
      </c>
      <c r="Y580" s="37">
        <f>'Raw Data'!D582</f>
        <v>46138</v>
      </c>
      <c r="Z580" s="47">
        <v>0.0</v>
      </c>
      <c r="AA580" s="47"/>
      <c r="AB580" s="47"/>
      <c r="AC580" s="47"/>
      <c r="AD580" s="47"/>
      <c r="AE580" s="47"/>
      <c r="AF580" s="47"/>
      <c r="AG580" s="47"/>
    </row>
    <row r="581" ht="15.75" customHeight="1">
      <c r="A581" s="35">
        <f>Bill!$Y581</f>
        <v>46139</v>
      </c>
      <c r="B581" s="43">
        <f>'Raw Data'!E583+Bill!$L$2</f>
        <v>20</v>
      </c>
      <c r="C581" s="43">
        <f>'Raw Data'!E583+Bill!$M$2</f>
        <v>25</v>
      </c>
      <c r="D581" s="43">
        <f>('Raw Data'!$F583*2)-10</f>
        <v>-10</v>
      </c>
      <c r="E581" s="43">
        <f>'Raw Data'!F583+Bill!$O$2</f>
        <v>20</v>
      </c>
      <c r="F581" s="43">
        <f>'Raw Data'!F583+Bill!$P$2</f>
        <v>25</v>
      </c>
      <c r="G581" s="43">
        <f>'Raw Data'!E583+Bill!$Q$2</f>
        <v>50</v>
      </c>
      <c r="H581" s="43">
        <f>('Raw Data'!F583+Bill!$R$2)</f>
        <v>20</v>
      </c>
      <c r="I581" s="36">
        <f>'Raw Data'!G583/100</f>
        <v>0</v>
      </c>
      <c r="K581" s="37">
        <f>Bill!$Y581</f>
        <v>46139</v>
      </c>
      <c r="L581" s="38">
        <f>Bill!$AA581*('Raw Data'!$E583+$L$2)</f>
        <v>0</v>
      </c>
      <c r="M581" s="38">
        <f>Bill!$AB581*('Raw Data'!$E583+$M$2)</f>
        <v>0</v>
      </c>
      <c r="N581" s="38">
        <f>(('Raw Data'!$F583 * 2)-10)*Bill!$AC581</f>
        <v>0</v>
      </c>
      <c r="O581" s="38">
        <f>('Raw Data'!F583+Bill!$O$2)*Bill!$AD581</f>
        <v>0</v>
      </c>
      <c r="P581" s="38">
        <f>('Raw Data'!F583+Bill!$P$2)*Bill!$AE581</f>
        <v>0</v>
      </c>
      <c r="Q581" s="38">
        <f>Bill!$Z581*('Raw Data'!$E583+$Q$2)</f>
        <v>0</v>
      </c>
      <c r="R581" s="38">
        <f>('Raw Data'!F583+Bill!$R$2)*Bill!$AF581</f>
        <v>0</v>
      </c>
      <c r="S581" s="48">
        <f>('Raw Data'!G583/100)*Bill!$AG581</f>
        <v>0</v>
      </c>
      <c r="T581" s="38">
        <f>SUM(Bill!$L581:$R581)</f>
        <v>0</v>
      </c>
      <c r="U581" s="53"/>
      <c r="V581" s="50"/>
      <c r="W581" s="38">
        <f>Bill!$U581-Bill!$T581</f>
        <v>0</v>
      </c>
      <c r="Y581" s="37">
        <f>'Raw Data'!D583</f>
        <v>46139</v>
      </c>
      <c r="Z581" s="47">
        <v>0.0</v>
      </c>
      <c r="AA581" s="47"/>
      <c r="AB581" s="47"/>
      <c r="AC581" s="47"/>
      <c r="AD581" s="47"/>
      <c r="AE581" s="47"/>
      <c r="AF581" s="47"/>
      <c r="AG581" s="47"/>
    </row>
    <row r="582" ht="15.75" customHeight="1">
      <c r="A582" s="35">
        <f>Bill!$Y582</f>
        <v>46140</v>
      </c>
      <c r="B582" s="43">
        <f>'Raw Data'!E584+Bill!$L$2</f>
        <v>20</v>
      </c>
      <c r="C582" s="43">
        <f>'Raw Data'!E584+Bill!$M$2</f>
        <v>25</v>
      </c>
      <c r="D582" s="43">
        <f>('Raw Data'!$F584*2)-10</f>
        <v>-10</v>
      </c>
      <c r="E582" s="43">
        <f>'Raw Data'!F584+Bill!$O$2</f>
        <v>20</v>
      </c>
      <c r="F582" s="43">
        <f>'Raw Data'!F584+Bill!$P$2</f>
        <v>25</v>
      </c>
      <c r="G582" s="43">
        <f>'Raw Data'!E584+Bill!$Q$2</f>
        <v>50</v>
      </c>
      <c r="H582" s="43">
        <f>('Raw Data'!F584+Bill!$R$2)</f>
        <v>20</v>
      </c>
      <c r="I582" s="36">
        <f>'Raw Data'!G584/100</f>
        <v>0</v>
      </c>
      <c r="K582" s="37">
        <f>Bill!$Y582</f>
        <v>46140</v>
      </c>
      <c r="L582" s="38">
        <f>Bill!$AA582*('Raw Data'!$E584+$L$2)</f>
        <v>0</v>
      </c>
      <c r="M582" s="38">
        <f>Bill!$AB582*('Raw Data'!$E584+$M$2)</f>
        <v>0</v>
      </c>
      <c r="N582" s="38">
        <f>(('Raw Data'!$F584 * 2)-10)*Bill!$AC582</f>
        <v>0</v>
      </c>
      <c r="O582" s="38">
        <f>('Raw Data'!F584+Bill!$O$2)*Bill!$AD582</f>
        <v>0</v>
      </c>
      <c r="P582" s="38">
        <f>('Raw Data'!F584+Bill!$P$2)*Bill!$AE582</f>
        <v>0</v>
      </c>
      <c r="Q582" s="38">
        <f>Bill!$Z582*('Raw Data'!$E584+$Q$2)</f>
        <v>0</v>
      </c>
      <c r="R582" s="38">
        <f>('Raw Data'!F584+Bill!$R$2)*Bill!$AF582</f>
        <v>0</v>
      </c>
      <c r="S582" s="48">
        <f>('Raw Data'!G584/100)*Bill!$AG582</f>
        <v>0</v>
      </c>
      <c r="T582" s="38">
        <f>SUM(Bill!$L582:$R582)</f>
        <v>0</v>
      </c>
      <c r="U582" s="53"/>
      <c r="V582" s="50"/>
      <c r="W582" s="38">
        <f>Bill!$U582-Bill!$T582</f>
        <v>0</v>
      </c>
      <c r="Y582" s="37">
        <f>'Raw Data'!D584</f>
        <v>46140</v>
      </c>
      <c r="Z582" s="47">
        <v>0.0</v>
      </c>
      <c r="AA582" s="47"/>
      <c r="AB582" s="47"/>
      <c r="AC582" s="47"/>
      <c r="AD582" s="47"/>
      <c r="AE582" s="47"/>
      <c r="AF582" s="47"/>
      <c r="AG582" s="47"/>
    </row>
    <row r="583" ht="15.75" customHeight="1">
      <c r="A583" s="35">
        <f>Bill!$Y583</f>
        <v>46141</v>
      </c>
      <c r="B583" s="43">
        <f>'Raw Data'!E585+Bill!$L$2</f>
        <v>20</v>
      </c>
      <c r="C583" s="43">
        <f>'Raw Data'!E585+Bill!$M$2</f>
        <v>25</v>
      </c>
      <c r="D583" s="43">
        <f>('Raw Data'!$F585*2)-10</f>
        <v>-10</v>
      </c>
      <c r="E583" s="43">
        <f>'Raw Data'!F585+Bill!$O$2</f>
        <v>20</v>
      </c>
      <c r="F583" s="43">
        <f>'Raw Data'!F585+Bill!$P$2</f>
        <v>25</v>
      </c>
      <c r="G583" s="43">
        <f>'Raw Data'!E585+Bill!$Q$2</f>
        <v>50</v>
      </c>
      <c r="H583" s="43">
        <f>('Raw Data'!F585+Bill!$R$2)</f>
        <v>20</v>
      </c>
      <c r="I583" s="36">
        <f>'Raw Data'!G585/100</f>
        <v>0</v>
      </c>
      <c r="K583" s="37">
        <f>Bill!$Y583</f>
        <v>46141</v>
      </c>
      <c r="L583" s="38">
        <f>Bill!$AA583*('Raw Data'!$E585+$L$2)</f>
        <v>0</v>
      </c>
      <c r="M583" s="38">
        <f>Bill!$AB583*('Raw Data'!$E585+$M$2)</f>
        <v>0</v>
      </c>
      <c r="N583" s="38">
        <f>(('Raw Data'!$F585 * 2)-10)*Bill!$AC583</f>
        <v>0</v>
      </c>
      <c r="O583" s="38">
        <f>('Raw Data'!F585+Bill!$O$2)*Bill!$AD583</f>
        <v>0</v>
      </c>
      <c r="P583" s="38">
        <f>('Raw Data'!F585+Bill!$P$2)*Bill!$AE583</f>
        <v>0</v>
      </c>
      <c r="Q583" s="38">
        <f>Bill!$Z583*('Raw Data'!$E585+$Q$2)</f>
        <v>0</v>
      </c>
      <c r="R583" s="38">
        <f>('Raw Data'!F585+Bill!$R$2)*Bill!$AF583</f>
        <v>0</v>
      </c>
      <c r="S583" s="48">
        <f>('Raw Data'!G585/100)*Bill!$AG583</f>
        <v>0</v>
      </c>
      <c r="T583" s="38">
        <f>SUM(Bill!$L583:$R583)</f>
        <v>0</v>
      </c>
      <c r="U583" s="53"/>
      <c r="V583" s="50"/>
      <c r="W583" s="38">
        <f>Bill!$U583-Bill!$T583</f>
        <v>0</v>
      </c>
      <c r="Y583" s="37">
        <f>'Raw Data'!D585</f>
        <v>46141</v>
      </c>
      <c r="Z583" s="47">
        <v>0.0</v>
      </c>
      <c r="AA583" s="47"/>
      <c r="AB583" s="47"/>
      <c r="AC583" s="47"/>
      <c r="AD583" s="47"/>
      <c r="AE583" s="47"/>
      <c r="AF583" s="47"/>
      <c r="AG583" s="47"/>
    </row>
    <row r="584" ht="15.75" customHeight="1">
      <c r="A584" s="35">
        <f>Bill!$Y584</f>
        <v>46142</v>
      </c>
      <c r="B584" s="43">
        <f>'Raw Data'!E586+Bill!$L$2</f>
        <v>20</v>
      </c>
      <c r="C584" s="43">
        <f>'Raw Data'!E586+Bill!$M$2</f>
        <v>25</v>
      </c>
      <c r="D584" s="43">
        <f>('Raw Data'!$F586*2)-10</f>
        <v>-10</v>
      </c>
      <c r="E584" s="43">
        <f>'Raw Data'!F586+Bill!$O$2</f>
        <v>20</v>
      </c>
      <c r="F584" s="43">
        <f>'Raw Data'!F586+Bill!$P$2</f>
        <v>25</v>
      </c>
      <c r="G584" s="43">
        <f>'Raw Data'!E586+Bill!$Q$2</f>
        <v>50</v>
      </c>
      <c r="H584" s="43">
        <f>('Raw Data'!F586+Bill!$R$2)</f>
        <v>20</v>
      </c>
      <c r="I584" s="36">
        <f>'Raw Data'!G586/100</f>
        <v>0</v>
      </c>
      <c r="K584" s="37">
        <f>Bill!$Y584</f>
        <v>46142</v>
      </c>
      <c r="L584" s="38">
        <f>Bill!$AA584*('Raw Data'!$E586+$L$2)</f>
        <v>0</v>
      </c>
      <c r="M584" s="38">
        <f>Bill!$AB584*('Raw Data'!$E586+$M$2)</f>
        <v>0</v>
      </c>
      <c r="N584" s="38">
        <f>(('Raw Data'!$F586 * 2)-10)*Bill!$AC584</f>
        <v>0</v>
      </c>
      <c r="O584" s="38">
        <f>('Raw Data'!F586+Bill!$O$2)*Bill!$AD584</f>
        <v>0</v>
      </c>
      <c r="P584" s="38">
        <f>('Raw Data'!F586+Bill!$P$2)*Bill!$AE584</f>
        <v>0</v>
      </c>
      <c r="Q584" s="38">
        <f>Bill!$Z584*('Raw Data'!$E586+$Q$2)</f>
        <v>0</v>
      </c>
      <c r="R584" s="38">
        <f>('Raw Data'!F586+Bill!$R$2)*Bill!$AF584</f>
        <v>0</v>
      </c>
      <c r="S584" s="48">
        <f>('Raw Data'!G586/100)*Bill!$AG584</f>
        <v>0</v>
      </c>
      <c r="T584" s="38">
        <f>SUM(Bill!$L584:$R584)</f>
        <v>0</v>
      </c>
      <c r="U584" s="53"/>
      <c r="V584" s="50"/>
      <c r="W584" s="38">
        <f>Bill!$U584-Bill!$T584</f>
        <v>0</v>
      </c>
      <c r="Y584" s="37">
        <f>'Raw Data'!D586</f>
        <v>46142</v>
      </c>
      <c r="Z584" s="47">
        <v>0.0</v>
      </c>
      <c r="AA584" s="47"/>
      <c r="AB584" s="47"/>
      <c r="AC584" s="47"/>
      <c r="AD584" s="47"/>
      <c r="AE584" s="47"/>
      <c r="AF584" s="47"/>
      <c r="AG584" s="47"/>
    </row>
    <row r="585" ht="15.75" customHeight="1">
      <c r="A585" s="35">
        <f>Bill!$Y585</f>
        <v>46143</v>
      </c>
      <c r="B585" s="43">
        <f>'Raw Data'!E587+Bill!$L$2</f>
        <v>20</v>
      </c>
      <c r="C585" s="43">
        <f>'Raw Data'!E587+Bill!$M$2</f>
        <v>25</v>
      </c>
      <c r="D585" s="43">
        <f>('Raw Data'!$F587*2)-10</f>
        <v>-10</v>
      </c>
      <c r="E585" s="43">
        <f>'Raw Data'!F587+Bill!$O$2</f>
        <v>20</v>
      </c>
      <c r="F585" s="43">
        <f>'Raw Data'!F587+Bill!$P$2</f>
        <v>25</v>
      </c>
      <c r="G585" s="43">
        <f>'Raw Data'!E587+Bill!$Q$2</f>
        <v>50</v>
      </c>
      <c r="H585" s="43">
        <f>('Raw Data'!F587+Bill!$R$2)</f>
        <v>20</v>
      </c>
      <c r="I585" s="36">
        <f>'Raw Data'!G587/100</f>
        <v>0</v>
      </c>
      <c r="K585" s="37">
        <f>Bill!$Y585</f>
        <v>46143</v>
      </c>
      <c r="L585" s="38">
        <f>Bill!$AA585*('Raw Data'!$E587+$L$2)</f>
        <v>0</v>
      </c>
      <c r="M585" s="38">
        <f>Bill!$AB585*('Raw Data'!$E587+$M$2)</f>
        <v>0</v>
      </c>
      <c r="N585" s="38">
        <f>(('Raw Data'!$F587 * 2)-10)*Bill!$AC585</f>
        <v>0</v>
      </c>
      <c r="O585" s="38">
        <f>('Raw Data'!F587+Bill!$O$2)*Bill!$AD585</f>
        <v>0</v>
      </c>
      <c r="P585" s="38">
        <f>('Raw Data'!F587+Bill!$P$2)*Bill!$AE585</f>
        <v>0</v>
      </c>
      <c r="Q585" s="38">
        <f>Bill!$Z585*('Raw Data'!$E587+$Q$2)</f>
        <v>0</v>
      </c>
      <c r="R585" s="38">
        <f>('Raw Data'!F587+Bill!$R$2)*Bill!$AF585</f>
        <v>0</v>
      </c>
      <c r="S585" s="48">
        <f>('Raw Data'!G587/100)*Bill!$AG585</f>
        <v>0</v>
      </c>
      <c r="T585" s="38">
        <f>SUM(Bill!$L585:$R585)</f>
        <v>0</v>
      </c>
      <c r="U585" s="53"/>
      <c r="V585" s="50"/>
      <c r="W585" s="38">
        <f>Bill!$U585-Bill!$T585</f>
        <v>0</v>
      </c>
      <c r="Y585" s="37">
        <f>'Raw Data'!D587</f>
        <v>46143</v>
      </c>
      <c r="Z585" s="47">
        <v>0.0</v>
      </c>
      <c r="AA585" s="47"/>
      <c r="AB585" s="47"/>
      <c r="AC585" s="47"/>
      <c r="AD585" s="47"/>
      <c r="AE585" s="47"/>
      <c r="AF585" s="47"/>
      <c r="AG585" s="47"/>
    </row>
    <row r="586" ht="15.75" customHeight="1">
      <c r="A586" s="35">
        <f>Bill!$Y586</f>
        <v>46144</v>
      </c>
      <c r="B586" s="43">
        <f>'Raw Data'!E588+Bill!$L$2</f>
        <v>20</v>
      </c>
      <c r="C586" s="43">
        <f>'Raw Data'!E588+Bill!$M$2</f>
        <v>25</v>
      </c>
      <c r="D586" s="43">
        <f>('Raw Data'!$F588*2)-10</f>
        <v>-10</v>
      </c>
      <c r="E586" s="43">
        <f>'Raw Data'!F588+Bill!$O$2</f>
        <v>20</v>
      </c>
      <c r="F586" s="43">
        <f>'Raw Data'!F588+Bill!$P$2</f>
        <v>25</v>
      </c>
      <c r="G586" s="43">
        <f>'Raw Data'!E588+Bill!$Q$2</f>
        <v>50</v>
      </c>
      <c r="H586" s="43">
        <f>('Raw Data'!F588+Bill!$R$2)</f>
        <v>20</v>
      </c>
      <c r="I586" s="36">
        <f>'Raw Data'!G588/100</f>
        <v>0</v>
      </c>
      <c r="K586" s="37">
        <f>Bill!$Y586</f>
        <v>46144</v>
      </c>
      <c r="L586" s="38">
        <f>Bill!$AA586*('Raw Data'!$E588+$L$2)</f>
        <v>0</v>
      </c>
      <c r="M586" s="38">
        <f>Bill!$AB586*('Raw Data'!$E588+$M$2)</f>
        <v>0</v>
      </c>
      <c r="N586" s="38">
        <f>(('Raw Data'!$F588 * 2)-10)*Bill!$AC586</f>
        <v>0</v>
      </c>
      <c r="O586" s="38">
        <f>('Raw Data'!F588+Bill!$O$2)*Bill!$AD586</f>
        <v>0</v>
      </c>
      <c r="P586" s="38">
        <f>('Raw Data'!F588+Bill!$P$2)*Bill!$AE586</f>
        <v>0</v>
      </c>
      <c r="Q586" s="38">
        <f>Bill!$Z586*('Raw Data'!$E588+$Q$2)</f>
        <v>0</v>
      </c>
      <c r="R586" s="38">
        <f>('Raw Data'!F588+Bill!$R$2)*Bill!$AF586</f>
        <v>0</v>
      </c>
      <c r="S586" s="48">
        <f>('Raw Data'!G588/100)*Bill!$AG586</f>
        <v>0</v>
      </c>
      <c r="T586" s="38">
        <f>SUM(Bill!$L586:$R586)</f>
        <v>0</v>
      </c>
      <c r="U586" s="53"/>
      <c r="V586" s="50"/>
      <c r="W586" s="38">
        <f>Bill!$U586-Bill!$T586</f>
        <v>0</v>
      </c>
      <c r="Y586" s="37">
        <f>'Raw Data'!D588</f>
        <v>46144</v>
      </c>
      <c r="Z586" s="47">
        <v>0.0</v>
      </c>
      <c r="AA586" s="47"/>
      <c r="AB586" s="47"/>
      <c r="AC586" s="47"/>
      <c r="AD586" s="47"/>
      <c r="AE586" s="47"/>
      <c r="AF586" s="47"/>
      <c r="AG586" s="47"/>
    </row>
    <row r="587" ht="15.75" customHeight="1">
      <c r="A587" s="35">
        <f>Bill!$Y587</f>
        <v>46145</v>
      </c>
      <c r="B587" s="43">
        <f>'Raw Data'!E589+Bill!$L$2</f>
        <v>20</v>
      </c>
      <c r="C587" s="43">
        <f>'Raw Data'!E589+Bill!$M$2</f>
        <v>25</v>
      </c>
      <c r="D587" s="43">
        <f>('Raw Data'!$F589*2)-10</f>
        <v>-10</v>
      </c>
      <c r="E587" s="43">
        <f>'Raw Data'!F589+Bill!$O$2</f>
        <v>20</v>
      </c>
      <c r="F587" s="43">
        <f>'Raw Data'!F589+Bill!$P$2</f>
        <v>25</v>
      </c>
      <c r="G587" s="43">
        <f>'Raw Data'!E589+Bill!$Q$2</f>
        <v>50</v>
      </c>
      <c r="H587" s="43">
        <f>('Raw Data'!F589+Bill!$R$2)</f>
        <v>20</v>
      </c>
      <c r="I587" s="36">
        <f>'Raw Data'!G589/100</f>
        <v>0</v>
      </c>
      <c r="K587" s="37">
        <f>Bill!$Y587</f>
        <v>46145</v>
      </c>
      <c r="L587" s="38">
        <f>Bill!$AA587*('Raw Data'!$E589+$L$2)</f>
        <v>0</v>
      </c>
      <c r="M587" s="38">
        <f>Bill!$AB587*('Raw Data'!$E589+$M$2)</f>
        <v>0</v>
      </c>
      <c r="N587" s="38">
        <f>(('Raw Data'!$F589 * 2)-10)*Bill!$AC587</f>
        <v>0</v>
      </c>
      <c r="O587" s="38">
        <f>('Raw Data'!F589+Bill!$O$2)*Bill!$AD587</f>
        <v>0</v>
      </c>
      <c r="P587" s="38">
        <f>('Raw Data'!F589+Bill!$P$2)*Bill!$AE587</f>
        <v>0</v>
      </c>
      <c r="Q587" s="38">
        <f>Bill!$Z587*('Raw Data'!$E589+$Q$2)</f>
        <v>0</v>
      </c>
      <c r="R587" s="38">
        <f>('Raw Data'!F589+Bill!$R$2)*Bill!$AF587</f>
        <v>0</v>
      </c>
      <c r="S587" s="48">
        <f>('Raw Data'!G589/100)*Bill!$AG587</f>
        <v>0</v>
      </c>
      <c r="T587" s="38">
        <f>SUM(Bill!$L587:$R587)</f>
        <v>0</v>
      </c>
      <c r="U587" s="53"/>
      <c r="V587" s="50"/>
      <c r="W587" s="38">
        <f>Bill!$U587-Bill!$T587</f>
        <v>0</v>
      </c>
      <c r="Y587" s="37">
        <f>'Raw Data'!D589</f>
        <v>46145</v>
      </c>
      <c r="Z587" s="47">
        <v>0.0</v>
      </c>
      <c r="AA587" s="47"/>
      <c r="AB587" s="47"/>
      <c r="AC587" s="47"/>
      <c r="AD587" s="47"/>
      <c r="AE587" s="47"/>
      <c r="AF587" s="47"/>
      <c r="AG587" s="47"/>
    </row>
    <row r="588" ht="15.75" customHeight="1">
      <c r="A588" s="35">
        <f>Bill!$Y588</f>
        <v>46146</v>
      </c>
      <c r="B588" s="43">
        <f>'Raw Data'!E590+Bill!$L$2</f>
        <v>20</v>
      </c>
      <c r="C588" s="43">
        <f>'Raw Data'!E590+Bill!$M$2</f>
        <v>25</v>
      </c>
      <c r="D588" s="43">
        <f>('Raw Data'!$F590*2)-10</f>
        <v>-10</v>
      </c>
      <c r="E588" s="43">
        <f>'Raw Data'!F590+Bill!$O$2</f>
        <v>20</v>
      </c>
      <c r="F588" s="43">
        <f>'Raw Data'!F590+Bill!$P$2</f>
        <v>25</v>
      </c>
      <c r="G588" s="43">
        <f>'Raw Data'!E590+Bill!$Q$2</f>
        <v>50</v>
      </c>
      <c r="H588" s="43">
        <f>('Raw Data'!F590+Bill!$R$2)</f>
        <v>20</v>
      </c>
      <c r="I588" s="36">
        <f>'Raw Data'!G590/100</f>
        <v>0</v>
      </c>
      <c r="K588" s="37">
        <f>Bill!$Y588</f>
        <v>46146</v>
      </c>
      <c r="L588" s="38">
        <f>Bill!$AA588*('Raw Data'!$E590+$L$2)</f>
        <v>0</v>
      </c>
      <c r="M588" s="38">
        <f>Bill!$AB588*('Raw Data'!$E590+$M$2)</f>
        <v>0</v>
      </c>
      <c r="N588" s="38">
        <f>(('Raw Data'!$F590 * 2)-10)*Bill!$AC588</f>
        <v>0</v>
      </c>
      <c r="O588" s="38">
        <f>('Raw Data'!F590+Bill!$O$2)*Bill!$AD588</f>
        <v>0</v>
      </c>
      <c r="P588" s="38">
        <f>('Raw Data'!F590+Bill!$P$2)*Bill!$AE588</f>
        <v>0</v>
      </c>
      <c r="Q588" s="38">
        <f>Bill!$Z588*('Raw Data'!$E590+$Q$2)</f>
        <v>0</v>
      </c>
      <c r="R588" s="38">
        <f>('Raw Data'!F590+Bill!$R$2)*Bill!$AF588</f>
        <v>0</v>
      </c>
      <c r="S588" s="48">
        <f>('Raw Data'!G590/100)*Bill!$AG588</f>
        <v>0</v>
      </c>
      <c r="T588" s="38">
        <f>SUM(Bill!$L588:$R588)</f>
        <v>0</v>
      </c>
      <c r="U588" s="53"/>
      <c r="V588" s="50"/>
      <c r="W588" s="38">
        <f>Bill!$U588-Bill!$T588</f>
        <v>0</v>
      </c>
      <c r="Y588" s="37">
        <f>'Raw Data'!D590</f>
        <v>46146</v>
      </c>
      <c r="Z588" s="47">
        <v>0.0</v>
      </c>
      <c r="AA588" s="47"/>
      <c r="AB588" s="47"/>
      <c r="AC588" s="47"/>
      <c r="AD588" s="47"/>
      <c r="AE588" s="47"/>
      <c r="AF588" s="47"/>
      <c r="AG588" s="47"/>
    </row>
    <row r="589" ht="15.75" customHeight="1">
      <c r="A589" s="35">
        <f>Bill!$Y589</f>
        <v>46147</v>
      </c>
      <c r="B589" s="43">
        <f>'Raw Data'!E591+Bill!$L$2</f>
        <v>20</v>
      </c>
      <c r="C589" s="43">
        <f>'Raw Data'!E591+Bill!$M$2</f>
        <v>25</v>
      </c>
      <c r="D589" s="43">
        <f>('Raw Data'!$F591*2)-10</f>
        <v>-10</v>
      </c>
      <c r="E589" s="43">
        <f>'Raw Data'!F591+Bill!$O$2</f>
        <v>20</v>
      </c>
      <c r="F589" s="43">
        <f>'Raw Data'!F591+Bill!$P$2</f>
        <v>25</v>
      </c>
      <c r="G589" s="43">
        <f>'Raw Data'!E591+Bill!$Q$2</f>
        <v>50</v>
      </c>
      <c r="H589" s="43">
        <f>('Raw Data'!F591+Bill!$R$2)</f>
        <v>20</v>
      </c>
      <c r="I589" s="36">
        <f>'Raw Data'!G591/100</f>
        <v>0</v>
      </c>
      <c r="K589" s="37">
        <f>Bill!$Y589</f>
        <v>46147</v>
      </c>
      <c r="L589" s="38">
        <f>Bill!$AA589*('Raw Data'!$E591+$L$2)</f>
        <v>0</v>
      </c>
      <c r="M589" s="38">
        <f>Bill!$AB589*('Raw Data'!$E591+$M$2)</f>
        <v>0</v>
      </c>
      <c r="N589" s="38">
        <f>(('Raw Data'!$F591 * 2)-10)*Bill!$AC589</f>
        <v>0</v>
      </c>
      <c r="O589" s="38">
        <f>('Raw Data'!F591+Bill!$O$2)*Bill!$AD589</f>
        <v>0</v>
      </c>
      <c r="P589" s="38">
        <f>('Raw Data'!F591+Bill!$P$2)*Bill!$AE589</f>
        <v>0</v>
      </c>
      <c r="Q589" s="38">
        <f>Bill!$Z589*('Raw Data'!$E591+$Q$2)</f>
        <v>0</v>
      </c>
      <c r="R589" s="38">
        <f>('Raw Data'!F591+Bill!$R$2)*Bill!$AF589</f>
        <v>0</v>
      </c>
      <c r="S589" s="48">
        <f>('Raw Data'!G591/100)*Bill!$AG589</f>
        <v>0</v>
      </c>
      <c r="T589" s="38">
        <f>SUM(Bill!$L589:$R589)</f>
        <v>0</v>
      </c>
      <c r="U589" s="53"/>
      <c r="V589" s="50"/>
      <c r="W589" s="38">
        <f>Bill!$U589-Bill!$T589</f>
        <v>0</v>
      </c>
      <c r="Y589" s="37">
        <f>'Raw Data'!D591</f>
        <v>46147</v>
      </c>
      <c r="Z589" s="47">
        <v>0.0</v>
      </c>
      <c r="AA589" s="47"/>
      <c r="AB589" s="47"/>
      <c r="AC589" s="47"/>
      <c r="AD589" s="47"/>
      <c r="AE589" s="47"/>
      <c r="AF589" s="47"/>
      <c r="AG589" s="47"/>
    </row>
    <row r="590" ht="15.75" customHeight="1">
      <c r="A590" s="35">
        <f>Bill!$Y590</f>
        <v>46148</v>
      </c>
      <c r="B590" s="43">
        <f>'Raw Data'!E592+Bill!$L$2</f>
        <v>20</v>
      </c>
      <c r="C590" s="43">
        <f>'Raw Data'!E592+Bill!$M$2</f>
        <v>25</v>
      </c>
      <c r="D590" s="43">
        <f>('Raw Data'!$F592*2)-10</f>
        <v>-10</v>
      </c>
      <c r="E590" s="43">
        <f>'Raw Data'!F592+Bill!$O$2</f>
        <v>20</v>
      </c>
      <c r="F590" s="43">
        <f>'Raw Data'!F592+Bill!$P$2</f>
        <v>25</v>
      </c>
      <c r="G590" s="43">
        <f>'Raw Data'!E592+Bill!$Q$2</f>
        <v>50</v>
      </c>
      <c r="H590" s="43">
        <f>('Raw Data'!F592+Bill!$R$2)</f>
        <v>20</v>
      </c>
      <c r="I590" s="36">
        <f>'Raw Data'!G592/100</f>
        <v>0</v>
      </c>
      <c r="K590" s="37">
        <f>Bill!$Y590</f>
        <v>46148</v>
      </c>
      <c r="L590" s="38">
        <f>Bill!$AA590*('Raw Data'!$E592+$L$2)</f>
        <v>0</v>
      </c>
      <c r="M590" s="38">
        <f>Bill!$AB590*('Raw Data'!$E592+$M$2)</f>
        <v>0</v>
      </c>
      <c r="N590" s="38">
        <f>(('Raw Data'!$F592 * 2)-10)*Bill!$AC590</f>
        <v>0</v>
      </c>
      <c r="O590" s="38">
        <f>('Raw Data'!F592+Bill!$O$2)*Bill!$AD590</f>
        <v>0</v>
      </c>
      <c r="P590" s="38">
        <f>('Raw Data'!F592+Bill!$P$2)*Bill!$AE590</f>
        <v>0</v>
      </c>
      <c r="Q590" s="38">
        <f>Bill!$Z590*('Raw Data'!$E592+$Q$2)</f>
        <v>0</v>
      </c>
      <c r="R590" s="38">
        <f>('Raw Data'!F592+Bill!$R$2)*Bill!$AF590</f>
        <v>0</v>
      </c>
      <c r="S590" s="48">
        <f>('Raw Data'!G592/100)*Bill!$AG590</f>
        <v>0</v>
      </c>
      <c r="T590" s="38">
        <f>SUM(Bill!$L590:$R590)</f>
        <v>0</v>
      </c>
      <c r="U590" s="53"/>
      <c r="V590" s="50"/>
      <c r="W590" s="38">
        <f>Bill!$U590-Bill!$T590</f>
        <v>0</v>
      </c>
      <c r="Y590" s="37">
        <f>'Raw Data'!D592</f>
        <v>46148</v>
      </c>
      <c r="Z590" s="47">
        <v>0.0</v>
      </c>
      <c r="AA590" s="47"/>
      <c r="AB590" s="47"/>
      <c r="AC590" s="47"/>
      <c r="AD590" s="47"/>
      <c r="AE590" s="47"/>
      <c r="AF590" s="47"/>
      <c r="AG590" s="47"/>
    </row>
    <row r="591" ht="15.75" customHeight="1">
      <c r="A591" s="35">
        <f>Bill!$Y591</f>
        <v>46149</v>
      </c>
      <c r="B591" s="43">
        <f>'Raw Data'!E593+Bill!$L$2</f>
        <v>20</v>
      </c>
      <c r="C591" s="43">
        <f>'Raw Data'!E593+Bill!$M$2</f>
        <v>25</v>
      </c>
      <c r="D591" s="43">
        <f>('Raw Data'!$F593*2)-10</f>
        <v>-10</v>
      </c>
      <c r="E591" s="43">
        <f>'Raw Data'!F593+Bill!$O$2</f>
        <v>20</v>
      </c>
      <c r="F591" s="43">
        <f>'Raw Data'!F593+Bill!$P$2</f>
        <v>25</v>
      </c>
      <c r="G591" s="43">
        <f>'Raw Data'!E593+Bill!$Q$2</f>
        <v>50</v>
      </c>
      <c r="H591" s="43">
        <f>('Raw Data'!F593+Bill!$R$2)</f>
        <v>20</v>
      </c>
      <c r="I591" s="36">
        <f>'Raw Data'!G593/100</f>
        <v>0</v>
      </c>
      <c r="K591" s="37">
        <f>Bill!$Y591</f>
        <v>46149</v>
      </c>
      <c r="L591" s="38">
        <f>Bill!$AA591*('Raw Data'!$E593+$L$2)</f>
        <v>0</v>
      </c>
      <c r="M591" s="38">
        <f>Bill!$AB591*('Raw Data'!$E593+$M$2)</f>
        <v>0</v>
      </c>
      <c r="N591" s="38">
        <f>(('Raw Data'!$F593 * 2)-10)*Bill!$AC591</f>
        <v>0</v>
      </c>
      <c r="O591" s="38">
        <f>('Raw Data'!F593+Bill!$O$2)*Bill!$AD591</f>
        <v>0</v>
      </c>
      <c r="P591" s="38">
        <f>('Raw Data'!F593+Bill!$P$2)*Bill!$AE591</f>
        <v>0</v>
      </c>
      <c r="Q591" s="38">
        <f>Bill!$Z591*('Raw Data'!$E593+$Q$2)</f>
        <v>0</v>
      </c>
      <c r="R591" s="38">
        <f>('Raw Data'!F593+Bill!$R$2)*Bill!$AF591</f>
        <v>0</v>
      </c>
      <c r="S591" s="48">
        <f>('Raw Data'!G593/100)*Bill!$AG591</f>
        <v>0</v>
      </c>
      <c r="T591" s="38">
        <f>SUM(Bill!$L591:$R591)</f>
        <v>0</v>
      </c>
      <c r="U591" s="53"/>
      <c r="V591" s="50"/>
      <c r="W591" s="38">
        <f>Bill!$U591-Bill!$T591</f>
        <v>0</v>
      </c>
      <c r="Y591" s="37">
        <f>'Raw Data'!D593</f>
        <v>46149</v>
      </c>
      <c r="Z591" s="47">
        <v>0.0</v>
      </c>
      <c r="AA591" s="47"/>
      <c r="AB591" s="47"/>
      <c r="AC591" s="47"/>
      <c r="AD591" s="47"/>
      <c r="AE591" s="47"/>
      <c r="AF591" s="47"/>
      <c r="AG591" s="47"/>
    </row>
    <row r="592" ht="15.75" customHeight="1">
      <c r="A592" s="35">
        <f>Bill!$Y592</f>
        <v>46150</v>
      </c>
      <c r="B592" s="43">
        <f>'Raw Data'!E594+Bill!$L$2</f>
        <v>20</v>
      </c>
      <c r="C592" s="43">
        <f>'Raw Data'!E594+Bill!$M$2</f>
        <v>25</v>
      </c>
      <c r="D592" s="43">
        <f>('Raw Data'!$F594*2)-10</f>
        <v>-10</v>
      </c>
      <c r="E592" s="43">
        <f>'Raw Data'!F594+Bill!$O$2</f>
        <v>20</v>
      </c>
      <c r="F592" s="43">
        <f>'Raw Data'!F594+Bill!$P$2</f>
        <v>25</v>
      </c>
      <c r="G592" s="43">
        <f>'Raw Data'!E594+Bill!$Q$2</f>
        <v>50</v>
      </c>
      <c r="H592" s="43">
        <f>('Raw Data'!F594+Bill!$R$2)</f>
        <v>20</v>
      </c>
      <c r="I592" s="36">
        <f>'Raw Data'!G594/100</f>
        <v>0</v>
      </c>
      <c r="K592" s="37">
        <f>Bill!$Y592</f>
        <v>46150</v>
      </c>
      <c r="L592" s="38">
        <f>Bill!$AA592*('Raw Data'!$E594+$L$2)</f>
        <v>0</v>
      </c>
      <c r="M592" s="38">
        <f>Bill!$AB592*('Raw Data'!$E594+$M$2)</f>
        <v>0</v>
      </c>
      <c r="N592" s="38">
        <f>(('Raw Data'!$F594 * 2)-10)*Bill!$AC592</f>
        <v>0</v>
      </c>
      <c r="O592" s="38">
        <f>('Raw Data'!F594+Bill!$O$2)*Bill!$AD592</f>
        <v>0</v>
      </c>
      <c r="P592" s="38">
        <f>('Raw Data'!F594+Bill!$P$2)*Bill!$AE592</f>
        <v>0</v>
      </c>
      <c r="Q592" s="38">
        <f>Bill!$Z592*('Raw Data'!$E594+$Q$2)</f>
        <v>0</v>
      </c>
      <c r="R592" s="38">
        <f>('Raw Data'!F594+Bill!$R$2)*Bill!$AF592</f>
        <v>0</v>
      </c>
      <c r="S592" s="48">
        <f>('Raw Data'!G594/100)*Bill!$AG592</f>
        <v>0</v>
      </c>
      <c r="T592" s="38">
        <f>SUM(Bill!$L592:$R592)</f>
        <v>0</v>
      </c>
      <c r="U592" s="53"/>
      <c r="V592" s="50"/>
      <c r="W592" s="38">
        <f>Bill!$U592-Bill!$T592</f>
        <v>0</v>
      </c>
      <c r="Y592" s="37">
        <f>'Raw Data'!D594</f>
        <v>46150</v>
      </c>
      <c r="Z592" s="47">
        <v>0.0</v>
      </c>
      <c r="AA592" s="47"/>
      <c r="AB592" s="47"/>
      <c r="AC592" s="47"/>
      <c r="AD592" s="47"/>
      <c r="AE592" s="47"/>
      <c r="AF592" s="47"/>
      <c r="AG592" s="47"/>
    </row>
    <row r="593" ht="15.75" customHeight="1">
      <c r="A593" s="35">
        <f>Bill!$Y593</f>
        <v>46151</v>
      </c>
      <c r="B593" s="43">
        <f>'Raw Data'!E595+Bill!$L$2</f>
        <v>20</v>
      </c>
      <c r="C593" s="43">
        <f>'Raw Data'!E595+Bill!$M$2</f>
        <v>25</v>
      </c>
      <c r="D593" s="43">
        <f>('Raw Data'!$F595*2)-10</f>
        <v>-10</v>
      </c>
      <c r="E593" s="43">
        <f>'Raw Data'!F595+Bill!$O$2</f>
        <v>20</v>
      </c>
      <c r="F593" s="43">
        <f>'Raw Data'!F595+Bill!$P$2</f>
        <v>25</v>
      </c>
      <c r="G593" s="43">
        <f>'Raw Data'!E595+Bill!$Q$2</f>
        <v>50</v>
      </c>
      <c r="H593" s="43">
        <f>('Raw Data'!F595+Bill!$R$2)</f>
        <v>20</v>
      </c>
      <c r="I593" s="36">
        <f>'Raw Data'!G595/100</f>
        <v>0</v>
      </c>
      <c r="K593" s="37">
        <f>Bill!$Y593</f>
        <v>46151</v>
      </c>
      <c r="L593" s="38">
        <f>Bill!$AA593*('Raw Data'!$E595+$L$2)</f>
        <v>0</v>
      </c>
      <c r="M593" s="38">
        <f>Bill!$AB593*('Raw Data'!$E595+$M$2)</f>
        <v>0</v>
      </c>
      <c r="N593" s="38">
        <f>(('Raw Data'!$F595 * 2)-10)*Bill!$AC593</f>
        <v>0</v>
      </c>
      <c r="O593" s="38">
        <f>('Raw Data'!F595+Bill!$O$2)*Bill!$AD593</f>
        <v>0</v>
      </c>
      <c r="P593" s="38">
        <f>('Raw Data'!F595+Bill!$P$2)*Bill!$AE593</f>
        <v>0</v>
      </c>
      <c r="Q593" s="38">
        <f>Bill!$Z593*('Raw Data'!$E595+$Q$2)</f>
        <v>0</v>
      </c>
      <c r="R593" s="38">
        <f>('Raw Data'!F595+Bill!$R$2)*Bill!$AF593</f>
        <v>0</v>
      </c>
      <c r="S593" s="48">
        <f>('Raw Data'!G595/100)*Bill!$AG593</f>
        <v>0</v>
      </c>
      <c r="T593" s="38">
        <f>SUM(Bill!$L593:$R593)</f>
        <v>0</v>
      </c>
      <c r="U593" s="53"/>
      <c r="V593" s="50"/>
      <c r="W593" s="38">
        <f>Bill!$U593-Bill!$T593</f>
        <v>0</v>
      </c>
      <c r="Y593" s="37">
        <f>'Raw Data'!D595</f>
        <v>46151</v>
      </c>
      <c r="Z593" s="47">
        <v>0.0</v>
      </c>
      <c r="AA593" s="47"/>
      <c r="AB593" s="47"/>
      <c r="AC593" s="47"/>
      <c r="AD593" s="47"/>
      <c r="AE593" s="47"/>
      <c r="AF593" s="47"/>
      <c r="AG593" s="47"/>
    </row>
    <row r="594" ht="15.75" customHeight="1">
      <c r="A594" s="35">
        <f>Bill!$Y594</f>
        <v>46152</v>
      </c>
      <c r="B594" s="43">
        <f>'Raw Data'!E596+Bill!$L$2</f>
        <v>20</v>
      </c>
      <c r="C594" s="43">
        <f>'Raw Data'!E596+Bill!$M$2</f>
        <v>25</v>
      </c>
      <c r="D594" s="43">
        <f>('Raw Data'!$F596*2)-10</f>
        <v>-10</v>
      </c>
      <c r="E594" s="43">
        <f>'Raw Data'!F596+Bill!$O$2</f>
        <v>20</v>
      </c>
      <c r="F594" s="43">
        <f>'Raw Data'!F596+Bill!$P$2</f>
        <v>25</v>
      </c>
      <c r="G594" s="43">
        <f>'Raw Data'!E596+Bill!$Q$2</f>
        <v>50</v>
      </c>
      <c r="H594" s="43">
        <f>('Raw Data'!F596+Bill!$R$2)</f>
        <v>20</v>
      </c>
      <c r="I594" s="36">
        <f>'Raw Data'!G596/100</f>
        <v>0</v>
      </c>
      <c r="K594" s="37">
        <f>Bill!$Y594</f>
        <v>46152</v>
      </c>
      <c r="L594" s="38">
        <f>Bill!$AA594*('Raw Data'!$E596+$L$2)</f>
        <v>0</v>
      </c>
      <c r="M594" s="38">
        <f>Bill!$AB594*('Raw Data'!$E596+$M$2)</f>
        <v>0</v>
      </c>
      <c r="N594" s="38">
        <f>(('Raw Data'!$F596 * 2)-10)*Bill!$AC594</f>
        <v>0</v>
      </c>
      <c r="O594" s="38">
        <f>('Raw Data'!F596+Bill!$O$2)*Bill!$AD594</f>
        <v>0</v>
      </c>
      <c r="P594" s="38">
        <f>('Raw Data'!F596+Bill!$P$2)*Bill!$AE594</f>
        <v>0</v>
      </c>
      <c r="Q594" s="38">
        <f>Bill!$Z594*('Raw Data'!$E596+$Q$2)</f>
        <v>0</v>
      </c>
      <c r="R594" s="38">
        <f>('Raw Data'!F596+Bill!$R$2)*Bill!$AF594</f>
        <v>0</v>
      </c>
      <c r="S594" s="48">
        <f>('Raw Data'!G596/100)*Bill!$AG594</f>
        <v>0</v>
      </c>
      <c r="T594" s="38">
        <f>SUM(Bill!$L594:$R594)</f>
        <v>0</v>
      </c>
      <c r="U594" s="53"/>
      <c r="V594" s="50"/>
      <c r="W594" s="38">
        <f>Bill!$U594-Bill!$T594</f>
        <v>0</v>
      </c>
      <c r="Y594" s="37">
        <f>'Raw Data'!D596</f>
        <v>46152</v>
      </c>
      <c r="Z594" s="47">
        <v>0.0</v>
      </c>
      <c r="AA594" s="47"/>
      <c r="AB594" s="47"/>
      <c r="AC594" s="47"/>
      <c r="AD594" s="47"/>
      <c r="AE594" s="47"/>
      <c r="AF594" s="47"/>
      <c r="AG594" s="47"/>
    </row>
    <row r="595" ht="15.75" customHeight="1">
      <c r="A595" s="35">
        <f>Bill!$Y595</f>
        <v>46153</v>
      </c>
      <c r="B595" s="43">
        <f>'Raw Data'!E597+Bill!$L$2</f>
        <v>20</v>
      </c>
      <c r="C595" s="43">
        <f>'Raw Data'!E597+Bill!$M$2</f>
        <v>25</v>
      </c>
      <c r="D595" s="43">
        <f>('Raw Data'!$F597*2)-10</f>
        <v>-10</v>
      </c>
      <c r="E595" s="43">
        <f>'Raw Data'!F597+Bill!$O$2</f>
        <v>20</v>
      </c>
      <c r="F595" s="43">
        <f>'Raw Data'!F597+Bill!$P$2</f>
        <v>25</v>
      </c>
      <c r="G595" s="43">
        <f>'Raw Data'!E597+Bill!$Q$2</f>
        <v>50</v>
      </c>
      <c r="H595" s="43">
        <f>('Raw Data'!F597+Bill!$R$2)</f>
        <v>20</v>
      </c>
      <c r="I595" s="36">
        <f>'Raw Data'!G597/100</f>
        <v>0</v>
      </c>
      <c r="K595" s="37">
        <f>Bill!$Y595</f>
        <v>46153</v>
      </c>
      <c r="L595" s="38">
        <f>Bill!$AA595*('Raw Data'!$E597+$L$2)</f>
        <v>0</v>
      </c>
      <c r="M595" s="38">
        <f>Bill!$AB595*('Raw Data'!$E597+$M$2)</f>
        <v>0</v>
      </c>
      <c r="N595" s="38">
        <f>(('Raw Data'!$F597 * 2)-10)*Bill!$AC595</f>
        <v>0</v>
      </c>
      <c r="O595" s="38">
        <f>('Raw Data'!F597+Bill!$O$2)*Bill!$AD595</f>
        <v>0</v>
      </c>
      <c r="P595" s="38">
        <f>('Raw Data'!F597+Bill!$P$2)*Bill!$AE595</f>
        <v>0</v>
      </c>
      <c r="Q595" s="38">
        <f>Bill!$Z595*('Raw Data'!$E597+$Q$2)</f>
        <v>0</v>
      </c>
      <c r="R595" s="38">
        <f>('Raw Data'!F597+Bill!$R$2)*Bill!$AF595</f>
        <v>0</v>
      </c>
      <c r="S595" s="48">
        <f>('Raw Data'!G597/100)*Bill!$AG595</f>
        <v>0</v>
      </c>
      <c r="T595" s="38">
        <f>SUM(Bill!$L595:$R595)</f>
        <v>0</v>
      </c>
      <c r="U595" s="53"/>
      <c r="V595" s="50"/>
      <c r="W595" s="38">
        <f>Bill!$U595-Bill!$T595</f>
        <v>0</v>
      </c>
      <c r="Y595" s="37">
        <f>'Raw Data'!D597</f>
        <v>46153</v>
      </c>
      <c r="Z595" s="47">
        <v>0.0</v>
      </c>
      <c r="AA595" s="47"/>
      <c r="AB595" s="47"/>
      <c r="AC595" s="47"/>
      <c r="AD595" s="47"/>
      <c r="AE595" s="47"/>
      <c r="AF595" s="47"/>
      <c r="AG595" s="47"/>
    </row>
    <row r="596" ht="15.75" customHeight="1">
      <c r="A596" s="35">
        <f>Bill!$Y596</f>
        <v>46154</v>
      </c>
      <c r="B596" s="43">
        <f>'Raw Data'!E598+Bill!$L$2</f>
        <v>20</v>
      </c>
      <c r="C596" s="43">
        <f>'Raw Data'!E598+Bill!$M$2</f>
        <v>25</v>
      </c>
      <c r="D596" s="43">
        <f>('Raw Data'!$F598*2)-10</f>
        <v>-10</v>
      </c>
      <c r="E596" s="43">
        <f>'Raw Data'!F598+Bill!$O$2</f>
        <v>20</v>
      </c>
      <c r="F596" s="43">
        <f>'Raw Data'!F598+Bill!$P$2</f>
        <v>25</v>
      </c>
      <c r="G596" s="43">
        <f>'Raw Data'!E598+Bill!$Q$2</f>
        <v>50</v>
      </c>
      <c r="H596" s="43">
        <f>('Raw Data'!F598+Bill!$R$2)</f>
        <v>20</v>
      </c>
      <c r="I596" s="36">
        <f>'Raw Data'!G598/100</f>
        <v>0</v>
      </c>
      <c r="K596" s="37">
        <f>Bill!$Y596</f>
        <v>46154</v>
      </c>
      <c r="L596" s="38">
        <f>Bill!$AA596*('Raw Data'!$E598+$L$2)</f>
        <v>0</v>
      </c>
      <c r="M596" s="38">
        <f>Bill!$AB596*('Raw Data'!$E598+$M$2)</f>
        <v>0</v>
      </c>
      <c r="N596" s="38">
        <f>(('Raw Data'!$F598 * 2)-10)*Bill!$AC596</f>
        <v>0</v>
      </c>
      <c r="O596" s="38">
        <f>('Raw Data'!F598+Bill!$O$2)*Bill!$AD596</f>
        <v>0</v>
      </c>
      <c r="P596" s="38">
        <f>('Raw Data'!F598+Bill!$P$2)*Bill!$AE596</f>
        <v>0</v>
      </c>
      <c r="Q596" s="38">
        <f>Bill!$Z596*('Raw Data'!$E598+$Q$2)</f>
        <v>0</v>
      </c>
      <c r="R596" s="38">
        <f>('Raw Data'!F598+Bill!$R$2)*Bill!$AF596</f>
        <v>0</v>
      </c>
      <c r="S596" s="48">
        <f>('Raw Data'!G598/100)*Bill!$AG596</f>
        <v>0</v>
      </c>
      <c r="T596" s="38">
        <f>SUM(Bill!$L596:$R596)</f>
        <v>0</v>
      </c>
      <c r="U596" s="53"/>
      <c r="V596" s="50"/>
      <c r="W596" s="38">
        <f>Bill!$U596-Bill!$T596</f>
        <v>0</v>
      </c>
      <c r="Y596" s="37">
        <f>'Raw Data'!D598</f>
        <v>46154</v>
      </c>
      <c r="Z596" s="47">
        <v>0.0</v>
      </c>
      <c r="AA596" s="47"/>
      <c r="AB596" s="47"/>
      <c r="AC596" s="47"/>
      <c r="AD596" s="47"/>
      <c r="AE596" s="47"/>
      <c r="AF596" s="47"/>
      <c r="AG596" s="47"/>
    </row>
    <row r="597" ht="15.75" customHeight="1">
      <c r="A597" s="35">
        <f>Bill!$Y597</f>
        <v>46155</v>
      </c>
      <c r="B597" s="43">
        <f>'Raw Data'!E599+Bill!$L$2</f>
        <v>20</v>
      </c>
      <c r="C597" s="43">
        <f>'Raw Data'!E599+Bill!$M$2</f>
        <v>25</v>
      </c>
      <c r="D597" s="43">
        <f>('Raw Data'!$F599*2)-10</f>
        <v>-10</v>
      </c>
      <c r="E597" s="43">
        <f>'Raw Data'!F599+Bill!$O$2</f>
        <v>20</v>
      </c>
      <c r="F597" s="43">
        <f>'Raw Data'!F599+Bill!$P$2</f>
        <v>25</v>
      </c>
      <c r="G597" s="43">
        <f>'Raw Data'!E599+Bill!$Q$2</f>
        <v>50</v>
      </c>
      <c r="H597" s="43">
        <f>('Raw Data'!F599+Bill!$R$2)</f>
        <v>20</v>
      </c>
      <c r="I597" s="36">
        <f>'Raw Data'!G599/100</f>
        <v>0</v>
      </c>
      <c r="K597" s="37">
        <f>Bill!$Y597</f>
        <v>46155</v>
      </c>
      <c r="L597" s="38">
        <f>Bill!$AA597*('Raw Data'!$E599+$L$2)</f>
        <v>0</v>
      </c>
      <c r="M597" s="38">
        <f>Bill!$AB597*('Raw Data'!$E599+$M$2)</f>
        <v>0</v>
      </c>
      <c r="N597" s="38">
        <f>(('Raw Data'!$F599 * 2)-10)*Bill!$AC597</f>
        <v>0</v>
      </c>
      <c r="O597" s="38">
        <f>('Raw Data'!F599+Bill!$O$2)*Bill!$AD597</f>
        <v>0</v>
      </c>
      <c r="P597" s="38">
        <f>('Raw Data'!F599+Bill!$P$2)*Bill!$AE597</f>
        <v>0</v>
      </c>
      <c r="Q597" s="38">
        <f>Bill!$Z597*('Raw Data'!$E599+$Q$2)</f>
        <v>0</v>
      </c>
      <c r="R597" s="38">
        <f>('Raw Data'!F599+Bill!$R$2)*Bill!$AF597</f>
        <v>0</v>
      </c>
      <c r="S597" s="48">
        <f>('Raw Data'!G599/100)*Bill!$AG597</f>
        <v>0</v>
      </c>
      <c r="T597" s="38">
        <f>SUM(Bill!$L597:$R597)</f>
        <v>0</v>
      </c>
      <c r="U597" s="53"/>
      <c r="V597" s="50"/>
      <c r="W597" s="38">
        <f>Bill!$U597-Bill!$T597</f>
        <v>0</v>
      </c>
      <c r="Y597" s="37">
        <f>'Raw Data'!D599</f>
        <v>46155</v>
      </c>
      <c r="Z597" s="47">
        <v>0.0</v>
      </c>
      <c r="AA597" s="47"/>
      <c r="AB597" s="47"/>
      <c r="AC597" s="47"/>
      <c r="AD597" s="47"/>
      <c r="AE597" s="47"/>
      <c r="AF597" s="47"/>
      <c r="AG597" s="47"/>
    </row>
    <row r="598" ht="15.75" customHeight="1">
      <c r="A598" s="35">
        <f>Bill!$Y598</f>
        <v>46156</v>
      </c>
      <c r="B598" s="43">
        <f>'Raw Data'!E600+Bill!$L$2</f>
        <v>20</v>
      </c>
      <c r="C598" s="43">
        <f>'Raw Data'!E600+Bill!$M$2</f>
        <v>25</v>
      </c>
      <c r="D598" s="43">
        <f>('Raw Data'!$F600*2)-10</f>
        <v>-10</v>
      </c>
      <c r="E598" s="43">
        <f>'Raw Data'!F600+Bill!$O$2</f>
        <v>20</v>
      </c>
      <c r="F598" s="43">
        <f>'Raw Data'!F600+Bill!$P$2</f>
        <v>25</v>
      </c>
      <c r="G598" s="43">
        <f>'Raw Data'!E600+Bill!$Q$2</f>
        <v>50</v>
      </c>
      <c r="H598" s="43">
        <f>('Raw Data'!F600+Bill!$R$2)</f>
        <v>20</v>
      </c>
      <c r="I598" s="36">
        <f>'Raw Data'!G600/100</f>
        <v>0</v>
      </c>
      <c r="K598" s="37">
        <f>Bill!$Y598</f>
        <v>46156</v>
      </c>
      <c r="L598" s="38">
        <f>Bill!$AA598*('Raw Data'!$E600+$L$2)</f>
        <v>0</v>
      </c>
      <c r="M598" s="38">
        <f>Bill!$AB598*('Raw Data'!$E600+$M$2)</f>
        <v>0</v>
      </c>
      <c r="N598" s="38">
        <f>(('Raw Data'!$F600 * 2)-10)*Bill!$AC598</f>
        <v>0</v>
      </c>
      <c r="O598" s="38">
        <f>('Raw Data'!F600+Bill!$O$2)*Bill!$AD598</f>
        <v>0</v>
      </c>
      <c r="P598" s="38">
        <f>('Raw Data'!F600+Bill!$P$2)*Bill!$AE598</f>
        <v>0</v>
      </c>
      <c r="Q598" s="38">
        <f>Bill!$Z598*('Raw Data'!$E600+$Q$2)</f>
        <v>0</v>
      </c>
      <c r="R598" s="38">
        <f>('Raw Data'!F600+Bill!$R$2)*Bill!$AF598</f>
        <v>0</v>
      </c>
      <c r="S598" s="48">
        <f>('Raw Data'!G600/100)*Bill!$AG598</f>
        <v>0</v>
      </c>
      <c r="T598" s="38">
        <f>SUM(Bill!$L598:$R598)</f>
        <v>0</v>
      </c>
      <c r="U598" s="53"/>
      <c r="V598" s="50"/>
      <c r="W598" s="38">
        <f>Bill!$U598-Bill!$T598</f>
        <v>0</v>
      </c>
      <c r="Y598" s="37">
        <f>'Raw Data'!D600</f>
        <v>46156</v>
      </c>
      <c r="Z598" s="47">
        <v>0.0</v>
      </c>
      <c r="AA598" s="47"/>
      <c r="AB598" s="47"/>
      <c r="AC598" s="47"/>
      <c r="AD598" s="47"/>
      <c r="AE598" s="47"/>
      <c r="AF598" s="47"/>
      <c r="AG598" s="47"/>
    </row>
    <row r="599" ht="15.75" customHeight="1">
      <c r="A599" s="35">
        <f>Bill!$Y599</f>
        <v>46157</v>
      </c>
      <c r="B599" s="43">
        <f>'Raw Data'!E601+Bill!$L$2</f>
        <v>20</v>
      </c>
      <c r="C599" s="43">
        <f>'Raw Data'!E601+Bill!$M$2</f>
        <v>25</v>
      </c>
      <c r="D599" s="43">
        <f>('Raw Data'!$F601*2)-10</f>
        <v>-10</v>
      </c>
      <c r="E599" s="43">
        <f>'Raw Data'!F601+Bill!$O$2</f>
        <v>20</v>
      </c>
      <c r="F599" s="43">
        <f>'Raw Data'!F601+Bill!$P$2</f>
        <v>25</v>
      </c>
      <c r="G599" s="43">
        <f>'Raw Data'!E601+Bill!$Q$2</f>
        <v>50</v>
      </c>
      <c r="H599" s="43">
        <f>('Raw Data'!F601+Bill!$R$2)</f>
        <v>20</v>
      </c>
      <c r="I599" s="36">
        <f>'Raw Data'!G601/100</f>
        <v>0</v>
      </c>
      <c r="K599" s="37">
        <f>Bill!$Y599</f>
        <v>46157</v>
      </c>
      <c r="L599" s="38">
        <f>Bill!$AA599*('Raw Data'!$E601+$L$2)</f>
        <v>0</v>
      </c>
      <c r="M599" s="38">
        <f>Bill!$AB599*('Raw Data'!$E601+$M$2)</f>
        <v>0</v>
      </c>
      <c r="N599" s="38">
        <f>(('Raw Data'!$F601 * 2)-10)*Bill!$AC599</f>
        <v>0</v>
      </c>
      <c r="O599" s="38">
        <f>('Raw Data'!F601+Bill!$O$2)*Bill!$AD599</f>
        <v>0</v>
      </c>
      <c r="P599" s="38">
        <f>('Raw Data'!F601+Bill!$P$2)*Bill!$AE599</f>
        <v>0</v>
      </c>
      <c r="Q599" s="38">
        <f>Bill!$Z599*('Raw Data'!$E601+$Q$2)</f>
        <v>0</v>
      </c>
      <c r="R599" s="38">
        <f>('Raw Data'!F601+Bill!$R$2)*Bill!$AF599</f>
        <v>0</v>
      </c>
      <c r="S599" s="48">
        <f>('Raw Data'!G601/100)*Bill!$AG599</f>
        <v>0</v>
      </c>
      <c r="T599" s="38">
        <f>SUM(Bill!$L599:$R599)</f>
        <v>0</v>
      </c>
      <c r="U599" s="53"/>
      <c r="V599" s="50"/>
      <c r="W599" s="38">
        <f>Bill!$U599-Bill!$T599</f>
        <v>0</v>
      </c>
      <c r="Y599" s="37">
        <f>'Raw Data'!D601</f>
        <v>46157</v>
      </c>
      <c r="Z599" s="47">
        <v>0.0</v>
      </c>
      <c r="AA599" s="47"/>
      <c r="AB599" s="47"/>
      <c r="AC599" s="47"/>
      <c r="AD599" s="47"/>
      <c r="AE599" s="47"/>
      <c r="AF599" s="47"/>
      <c r="AG599" s="47"/>
    </row>
    <row r="600" ht="15.75" customHeight="1">
      <c r="A600" s="35">
        <f>Bill!$Y600</f>
        <v>46158</v>
      </c>
      <c r="B600" s="43">
        <f>'Raw Data'!E602+Bill!$L$2</f>
        <v>20</v>
      </c>
      <c r="C600" s="43">
        <f>'Raw Data'!E602+Bill!$M$2</f>
        <v>25</v>
      </c>
      <c r="D600" s="43">
        <f>('Raw Data'!$F602*2)-10</f>
        <v>-10</v>
      </c>
      <c r="E600" s="43">
        <f>'Raw Data'!F602+Bill!$O$2</f>
        <v>20</v>
      </c>
      <c r="F600" s="43">
        <f>'Raw Data'!F602+Bill!$P$2</f>
        <v>25</v>
      </c>
      <c r="G600" s="43">
        <f>'Raw Data'!E602+Bill!$Q$2</f>
        <v>50</v>
      </c>
      <c r="H600" s="43">
        <f>('Raw Data'!F602+Bill!$R$2)</f>
        <v>20</v>
      </c>
      <c r="I600" s="36">
        <f>'Raw Data'!G602/100</f>
        <v>0</v>
      </c>
      <c r="K600" s="37">
        <f>Bill!$Y600</f>
        <v>46158</v>
      </c>
      <c r="L600" s="38">
        <f>Bill!$AA600*('Raw Data'!$E602+$L$2)</f>
        <v>0</v>
      </c>
      <c r="M600" s="38">
        <f>Bill!$AB600*('Raw Data'!$E602+$M$2)</f>
        <v>0</v>
      </c>
      <c r="N600" s="38">
        <f>(('Raw Data'!$F602 * 2)-10)*Bill!$AC600</f>
        <v>0</v>
      </c>
      <c r="O600" s="38">
        <f>('Raw Data'!F602+Bill!$O$2)*Bill!$AD600</f>
        <v>0</v>
      </c>
      <c r="P600" s="38">
        <f>('Raw Data'!F602+Bill!$P$2)*Bill!$AE600</f>
        <v>0</v>
      </c>
      <c r="Q600" s="38">
        <f>Bill!$Z600*('Raw Data'!$E602+$Q$2)</f>
        <v>0</v>
      </c>
      <c r="R600" s="38">
        <f>('Raw Data'!F602+Bill!$R$2)*Bill!$AF600</f>
        <v>0</v>
      </c>
      <c r="S600" s="48">
        <f>('Raw Data'!G602/100)*Bill!$AG600</f>
        <v>0</v>
      </c>
      <c r="T600" s="38">
        <f>SUM(Bill!$L600:$R600)</f>
        <v>0</v>
      </c>
      <c r="U600" s="53"/>
      <c r="V600" s="50"/>
      <c r="W600" s="38">
        <f>Bill!$U600-Bill!$T600</f>
        <v>0</v>
      </c>
      <c r="Y600" s="37">
        <f>'Raw Data'!D602</f>
        <v>46158</v>
      </c>
      <c r="Z600" s="47">
        <v>0.0</v>
      </c>
      <c r="AA600" s="47"/>
      <c r="AB600" s="47"/>
      <c r="AC600" s="47"/>
      <c r="AD600" s="47"/>
      <c r="AE600" s="47"/>
      <c r="AF600" s="47"/>
      <c r="AG600" s="47"/>
    </row>
    <row r="601" ht="15.75" customHeight="1">
      <c r="A601" s="35">
        <f>Bill!$Y601</f>
        <v>46159</v>
      </c>
      <c r="B601" s="43">
        <f>'Raw Data'!E603+Bill!$L$2</f>
        <v>20</v>
      </c>
      <c r="C601" s="43">
        <f>'Raw Data'!E603+Bill!$M$2</f>
        <v>25</v>
      </c>
      <c r="D601" s="43">
        <f>('Raw Data'!$F603*2)-10</f>
        <v>-10</v>
      </c>
      <c r="E601" s="43">
        <f>'Raw Data'!F603+Bill!$O$2</f>
        <v>20</v>
      </c>
      <c r="F601" s="43">
        <f>'Raw Data'!F603+Bill!$P$2</f>
        <v>25</v>
      </c>
      <c r="G601" s="43">
        <f>'Raw Data'!E603+Bill!$Q$2</f>
        <v>50</v>
      </c>
      <c r="H601" s="43">
        <f>('Raw Data'!F603+Bill!$R$2)</f>
        <v>20</v>
      </c>
      <c r="I601" s="36">
        <f>'Raw Data'!G603/100</f>
        <v>0</v>
      </c>
      <c r="K601" s="37">
        <f>Bill!$Y601</f>
        <v>46159</v>
      </c>
      <c r="L601" s="38">
        <f>Bill!$AA601*('Raw Data'!$E603+$L$2)</f>
        <v>0</v>
      </c>
      <c r="M601" s="38">
        <f>Bill!$AB601*('Raw Data'!$E603+$M$2)</f>
        <v>0</v>
      </c>
      <c r="N601" s="38">
        <f>(('Raw Data'!$F603 * 2)-10)*Bill!$AC601</f>
        <v>0</v>
      </c>
      <c r="O601" s="38">
        <f>('Raw Data'!F603+Bill!$O$2)*Bill!$AD601</f>
        <v>0</v>
      </c>
      <c r="P601" s="38">
        <f>('Raw Data'!F603+Bill!$P$2)*Bill!$AE601</f>
        <v>0</v>
      </c>
      <c r="Q601" s="38">
        <f>Bill!$Z601*('Raw Data'!$E603+$Q$2)</f>
        <v>0</v>
      </c>
      <c r="R601" s="38">
        <f>('Raw Data'!F603+Bill!$R$2)*Bill!$AF601</f>
        <v>0</v>
      </c>
      <c r="S601" s="48">
        <f>('Raw Data'!G603/100)*Bill!$AG601</f>
        <v>0</v>
      </c>
      <c r="T601" s="38">
        <f>SUM(Bill!$L601:$R601)</f>
        <v>0</v>
      </c>
      <c r="U601" s="53"/>
      <c r="V601" s="50"/>
      <c r="W601" s="38">
        <f>Bill!$U601-Bill!$T601</f>
        <v>0</v>
      </c>
      <c r="Y601" s="37">
        <f>'Raw Data'!D603</f>
        <v>46159</v>
      </c>
      <c r="Z601" s="47">
        <v>0.0</v>
      </c>
      <c r="AA601" s="47"/>
      <c r="AB601" s="47"/>
      <c r="AC601" s="47"/>
      <c r="AD601" s="47"/>
      <c r="AE601" s="47"/>
      <c r="AF601" s="47"/>
      <c r="AG601" s="47"/>
    </row>
    <row r="602" ht="15.75" customHeight="1">
      <c r="A602" s="35">
        <f>Bill!$Y602</f>
        <v>46160</v>
      </c>
      <c r="B602" s="43">
        <f>'Raw Data'!E604+Bill!$L$2</f>
        <v>20</v>
      </c>
      <c r="C602" s="43">
        <f>'Raw Data'!E604+Bill!$M$2</f>
        <v>25</v>
      </c>
      <c r="D602" s="43">
        <f>('Raw Data'!$F604*2)-10</f>
        <v>-10</v>
      </c>
      <c r="E602" s="43">
        <f>'Raw Data'!F604+Bill!$O$2</f>
        <v>20</v>
      </c>
      <c r="F602" s="43">
        <f>'Raw Data'!F604+Bill!$P$2</f>
        <v>25</v>
      </c>
      <c r="G602" s="43">
        <f>'Raw Data'!E604+Bill!$Q$2</f>
        <v>50</v>
      </c>
      <c r="H602" s="43">
        <f>('Raw Data'!F604+Bill!$R$2)</f>
        <v>20</v>
      </c>
      <c r="I602" s="36">
        <f>'Raw Data'!G604/100</f>
        <v>0</v>
      </c>
      <c r="K602" s="37">
        <f>Bill!$Y602</f>
        <v>46160</v>
      </c>
      <c r="L602" s="38">
        <f>Bill!$AA602*('Raw Data'!$E604+$L$2)</f>
        <v>0</v>
      </c>
      <c r="M602" s="38">
        <f>Bill!$AB602*('Raw Data'!$E604+$M$2)</f>
        <v>0</v>
      </c>
      <c r="N602" s="38">
        <f>(('Raw Data'!$F604 * 2)-10)*Bill!$AC602</f>
        <v>0</v>
      </c>
      <c r="O602" s="38">
        <f>('Raw Data'!F604+Bill!$O$2)*Bill!$AD602</f>
        <v>0</v>
      </c>
      <c r="P602" s="38">
        <f>('Raw Data'!F604+Bill!$P$2)*Bill!$AE602</f>
        <v>0</v>
      </c>
      <c r="Q602" s="38">
        <f>Bill!$Z602*('Raw Data'!$E604+$Q$2)</f>
        <v>0</v>
      </c>
      <c r="R602" s="38">
        <f>('Raw Data'!F604+Bill!$R$2)*Bill!$AF602</f>
        <v>0</v>
      </c>
      <c r="S602" s="48">
        <f>('Raw Data'!G604/100)*Bill!$AG602</f>
        <v>0</v>
      </c>
      <c r="T602" s="38">
        <f>SUM(Bill!$L602:$R602)</f>
        <v>0</v>
      </c>
      <c r="U602" s="53"/>
      <c r="V602" s="50"/>
      <c r="W602" s="38">
        <f>Bill!$U602-Bill!$T602</f>
        <v>0</v>
      </c>
      <c r="Y602" s="37">
        <f>'Raw Data'!D604</f>
        <v>46160</v>
      </c>
      <c r="Z602" s="47">
        <v>0.0</v>
      </c>
      <c r="AA602" s="47"/>
      <c r="AB602" s="47"/>
      <c r="AC602" s="47"/>
      <c r="AD602" s="47"/>
      <c r="AE602" s="47"/>
      <c r="AF602" s="47"/>
      <c r="AG602" s="47"/>
    </row>
    <row r="603" ht="15.75" customHeight="1">
      <c r="A603" s="35">
        <f>Bill!$Y603</f>
        <v>46161</v>
      </c>
      <c r="B603" s="43">
        <f>'Raw Data'!E605+Bill!$L$2</f>
        <v>20</v>
      </c>
      <c r="C603" s="43">
        <f>'Raw Data'!E605+Bill!$M$2</f>
        <v>25</v>
      </c>
      <c r="D603" s="43">
        <f>('Raw Data'!$F605*2)-10</f>
        <v>-10</v>
      </c>
      <c r="E603" s="43">
        <f>'Raw Data'!F605+Bill!$O$2</f>
        <v>20</v>
      </c>
      <c r="F603" s="43">
        <f>'Raw Data'!F605+Bill!$P$2</f>
        <v>25</v>
      </c>
      <c r="G603" s="43">
        <f>'Raw Data'!E605+Bill!$Q$2</f>
        <v>50</v>
      </c>
      <c r="H603" s="43">
        <f>('Raw Data'!F605+Bill!$R$2)</f>
        <v>20</v>
      </c>
      <c r="I603" s="36">
        <f>'Raw Data'!G605/100</f>
        <v>0</v>
      </c>
      <c r="K603" s="37">
        <f>Bill!$Y603</f>
        <v>46161</v>
      </c>
      <c r="L603" s="38">
        <f>Bill!$AA603*('Raw Data'!$E605+$L$2)</f>
        <v>0</v>
      </c>
      <c r="M603" s="38">
        <f>Bill!$AB603*('Raw Data'!$E605+$M$2)</f>
        <v>0</v>
      </c>
      <c r="N603" s="38">
        <f>(('Raw Data'!$F605 * 2)-10)*Bill!$AC603</f>
        <v>0</v>
      </c>
      <c r="O603" s="38">
        <f>('Raw Data'!F605+Bill!$O$2)*Bill!$AD603</f>
        <v>0</v>
      </c>
      <c r="P603" s="38">
        <f>('Raw Data'!F605+Bill!$P$2)*Bill!$AE603</f>
        <v>0</v>
      </c>
      <c r="Q603" s="38">
        <f>Bill!$Z603*('Raw Data'!$E605+$Q$2)</f>
        <v>0</v>
      </c>
      <c r="R603" s="38">
        <f>('Raw Data'!F605+Bill!$R$2)*Bill!$AF603</f>
        <v>0</v>
      </c>
      <c r="S603" s="48">
        <f>('Raw Data'!G605/100)*Bill!$AG603</f>
        <v>0</v>
      </c>
      <c r="T603" s="38">
        <f>SUM(Bill!$L603:$R603)</f>
        <v>0</v>
      </c>
      <c r="U603" s="53"/>
      <c r="V603" s="50"/>
      <c r="W603" s="38">
        <f>Bill!$U603-Bill!$T603</f>
        <v>0</v>
      </c>
      <c r="Y603" s="37">
        <f>'Raw Data'!D605</f>
        <v>46161</v>
      </c>
      <c r="Z603" s="47">
        <v>0.0</v>
      </c>
      <c r="AA603" s="47"/>
      <c r="AB603" s="47"/>
      <c r="AC603" s="47"/>
      <c r="AD603" s="47"/>
      <c r="AE603" s="47"/>
      <c r="AF603" s="47"/>
      <c r="AG603" s="47"/>
    </row>
    <row r="604" ht="15.75" customHeight="1">
      <c r="A604" s="35">
        <f>Bill!$Y604</f>
        <v>46162</v>
      </c>
      <c r="B604" s="43">
        <f>'Raw Data'!E606+Bill!$L$2</f>
        <v>20</v>
      </c>
      <c r="C604" s="43">
        <f>'Raw Data'!E606+Bill!$M$2</f>
        <v>25</v>
      </c>
      <c r="D604" s="43">
        <f>('Raw Data'!$F606*2)-10</f>
        <v>-10</v>
      </c>
      <c r="E604" s="43">
        <f>'Raw Data'!F606+Bill!$O$2</f>
        <v>20</v>
      </c>
      <c r="F604" s="43">
        <f>'Raw Data'!F606+Bill!$P$2</f>
        <v>25</v>
      </c>
      <c r="G604" s="43">
        <f>'Raw Data'!E606+Bill!$Q$2</f>
        <v>50</v>
      </c>
      <c r="H604" s="43">
        <f>('Raw Data'!F606+Bill!$R$2)</f>
        <v>20</v>
      </c>
      <c r="I604" s="36">
        <f>'Raw Data'!G606/100</f>
        <v>0</v>
      </c>
      <c r="K604" s="37">
        <f>Bill!$Y604</f>
        <v>46162</v>
      </c>
      <c r="L604" s="38">
        <f>Bill!$AA604*('Raw Data'!$E606+$L$2)</f>
        <v>0</v>
      </c>
      <c r="M604" s="38">
        <f>Bill!$AB604*('Raw Data'!$E606+$M$2)</f>
        <v>0</v>
      </c>
      <c r="N604" s="38">
        <f>(('Raw Data'!$F606 * 2)-10)*Bill!$AC604</f>
        <v>0</v>
      </c>
      <c r="O604" s="38">
        <f>('Raw Data'!F606+Bill!$O$2)*Bill!$AD604</f>
        <v>0</v>
      </c>
      <c r="P604" s="38">
        <f>('Raw Data'!F606+Bill!$P$2)*Bill!$AE604</f>
        <v>0</v>
      </c>
      <c r="Q604" s="38">
        <f>Bill!$Z604*('Raw Data'!$E606+$Q$2)</f>
        <v>0</v>
      </c>
      <c r="R604" s="38">
        <f>('Raw Data'!F606+Bill!$R$2)*Bill!$AF604</f>
        <v>0</v>
      </c>
      <c r="S604" s="48">
        <f>('Raw Data'!G606/100)*Bill!$AG604</f>
        <v>0</v>
      </c>
      <c r="T604" s="38">
        <f>SUM(Bill!$L604:$R604)</f>
        <v>0</v>
      </c>
      <c r="U604" s="53"/>
      <c r="V604" s="50"/>
      <c r="W604" s="38">
        <f>Bill!$U604-Bill!$T604</f>
        <v>0</v>
      </c>
      <c r="Y604" s="37">
        <f>'Raw Data'!D606</f>
        <v>46162</v>
      </c>
      <c r="Z604" s="47">
        <v>0.0</v>
      </c>
      <c r="AA604" s="47"/>
      <c r="AB604" s="47"/>
      <c r="AC604" s="47"/>
      <c r="AD604" s="47"/>
      <c r="AE604" s="47"/>
      <c r="AF604" s="47"/>
      <c r="AG604" s="47"/>
    </row>
    <row r="605" ht="15.75" customHeight="1">
      <c r="A605" s="35">
        <f>Bill!$Y605</f>
        <v>46163</v>
      </c>
      <c r="B605" s="43">
        <f>'Raw Data'!E607+Bill!$L$2</f>
        <v>20</v>
      </c>
      <c r="C605" s="43">
        <f>'Raw Data'!E607+Bill!$M$2</f>
        <v>25</v>
      </c>
      <c r="D605" s="43">
        <f>('Raw Data'!$F607*2)-10</f>
        <v>-10</v>
      </c>
      <c r="E605" s="43">
        <f>'Raw Data'!F607+Bill!$O$2</f>
        <v>20</v>
      </c>
      <c r="F605" s="43">
        <f>'Raw Data'!F607+Bill!$P$2</f>
        <v>25</v>
      </c>
      <c r="G605" s="43">
        <f>'Raw Data'!E607+Bill!$Q$2</f>
        <v>50</v>
      </c>
      <c r="H605" s="43">
        <f>('Raw Data'!F607+Bill!$R$2)</f>
        <v>20</v>
      </c>
      <c r="I605" s="36">
        <f>'Raw Data'!G607/100</f>
        <v>0</v>
      </c>
      <c r="K605" s="37">
        <f>Bill!$Y605</f>
        <v>46163</v>
      </c>
      <c r="L605" s="38">
        <f>Bill!$AA605*('Raw Data'!$E607+$L$2)</f>
        <v>0</v>
      </c>
      <c r="M605" s="38">
        <f>Bill!$AB605*('Raw Data'!$E607+$M$2)</f>
        <v>0</v>
      </c>
      <c r="N605" s="38">
        <f>(('Raw Data'!$F607 * 2)-10)*Bill!$AC605</f>
        <v>0</v>
      </c>
      <c r="O605" s="38">
        <f>('Raw Data'!F607+Bill!$O$2)*Bill!$AD605</f>
        <v>0</v>
      </c>
      <c r="P605" s="38">
        <f>('Raw Data'!F607+Bill!$P$2)*Bill!$AE605</f>
        <v>0</v>
      </c>
      <c r="Q605" s="38">
        <f>Bill!$Z605*('Raw Data'!$E607+$Q$2)</f>
        <v>0</v>
      </c>
      <c r="R605" s="38">
        <f>('Raw Data'!F607+Bill!$R$2)*Bill!$AF605</f>
        <v>0</v>
      </c>
      <c r="S605" s="48">
        <f>('Raw Data'!G607/100)*Bill!$AG605</f>
        <v>0</v>
      </c>
      <c r="T605" s="38">
        <f>SUM(Bill!$L605:$R605)</f>
        <v>0</v>
      </c>
      <c r="U605" s="53"/>
      <c r="V605" s="50"/>
      <c r="W605" s="38">
        <f>Bill!$U605-Bill!$T605</f>
        <v>0</v>
      </c>
      <c r="Y605" s="37">
        <f>'Raw Data'!D607</f>
        <v>46163</v>
      </c>
      <c r="Z605" s="47">
        <v>0.0</v>
      </c>
      <c r="AA605" s="47"/>
      <c r="AB605" s="47"/>
      <c r="AC605" s="47"/>
      <c r="AD605" s="47"/>
      <c r="AE605" s="47"/>
      <c r="AF605" s="47"/>
      <c r="AG605" s="47"/>
    </row>
    <row r="606" ht="15.75" customHeight="1">
      <c r="A606" s="35">
        <f>Bill!$Y606</f>
        <v>46164</v>
      </c>
      <c r="B606" s="43">
        <f>'Raw Data'!E608+Bill!$L$2</f>
        <v>20</v>
      </c>
      <c r="C606" s="43">
        <f>'Raw Data'!E608+Bill!$M$2</f>
        <v>25</v>
      </c>
      <c r="D606" s="43">
        <f>('Raw Data'!$F608*2)-10</f>
        <v>-10</v>
      </c>
      <c r="E606" s="43">
        <f>'Raw Data'!F608+Bill!$O$2</f>
        <v>20</v>
      </c>
      <c r="F606" s="43">
        <f>'Raw Data'!F608+Bill!$P$2</f>
        <v>25</v>
      </c>
      <c r="G606" s="43">
        <f>'Raw Data'!E608+Bill!$Q$2</f>
        <v>50</v>
      </c>
      <c r="H606" s="43">
        <f>('Raw Data'!F608+Bill!$R$2)</f>
        <v>20</v>
      </c>
      <c r="I606" s="36">
        <f>'Raw Data'!G608/100</f>
        <v>0</v>
      </c>
      <c r="K606" s="37">
        <f>Bill!$Y606</f>
        <v>46164</v>
      </c>
      <c r="L606" s="38">
        <f>Bill!$AA606*('Raw Data'!$E608+$L$2)</f>
        <v>0</v>
      </c>
      <c r="M606" s="38">
        <f>Bill!$AB606*('Raw Data'!$E608+$M$2)</f>
        <v>0</v>
      </c>
      <c r="N606" s="38">
        <f>(('Raw Data'!$F608 * 2)-10)*Bill!$AC606</f>
        <v>0</v>
      </c>
      <c r="O606" s="38">
        <f>('Raw Data'!F608+Bill!$O$2)*Bill!$AD606</f>
        <v>0</v>
      </c>
      <c r="P606" s="38">
        <f>('Raw Data'!F608+Bill!$P$2)*Bill!$AE606</f>
        <v>0</v>
      </c>
      <c r="Q606" s="38">
        <f>Bill!$Z606*('Raw Data'!$E608+$Q$2)</f>
        <v>0</v>
      </c>
      <c r="R606" s="38">
        <f>('Raw Data'!F608+Bill!$R$2)*Bill!$AF606</f>
        <v>0</v>
      </c>
      <c r="S606" s="48">
        <f>('Raw Data'!G608/100)*Bill!$AG606</f>
        <v>0</v>
      </c>
      <c r="T606" s="38">
        <f>SUM(Bill!$L606:$R606)</f>
        <v>0</v>
      </c>
      <c r="U606" s="53"/>
      <c r="V606" s="50"/>
      <c r="W606" s="38">
        <f>Bill!$U606-Bill!$T606</f>
        <v>0</v>
      </c>
      <c r="Y606" s="37">
        <f>'Raw Data'!D608</f>
        <v>46164</v>
      </c>
      <c r="Z606" s="47">
        <v>0.0</v>
      </c>
      <c r="AA606" s="47"/>
      <c r="AB606" s="47"/>
      <c r="AC606" s="47"/>
      <c r="AD606" s="47"/>
      <c r="AE606" s="47"/>
      <c r="AF606" s="47"/>
      <c r="AG606" s="47"/>
    </row>
    <row r="607" ht="15.75" customHeight="1">
      <c r="A607" s="35">
        <f>Bill!$Y607</f>
        <v>46165</v>
      </c>
      <c r="B607" s="43">
        <f>'Raw Data'!E609+Bill!$L$2</f>
        <v>20</v>
      </c>
      <c r="C607" s="43">
        <f>'Raw Data'!E609+Bill!$M$2</f>
        <v>25</v>
      </c>
      <c r="D607" s="43">
        <f>('Raw Data'!$F609*2)-10</f>
        <v>-10</v>
      </c>
      <c r="E607" s="43">
        <f>'Raw Data'!F609+Bill!$O$2</f>
        <v>20</v>
      </c>
      <c r="F607" s="43">
        <f>'Raw Data'!F609+Bill!$P$2</f>
        <v>25</v>
      </c>
      <c r="G607" s="43">
        <f>'Raw Data'!E609+Bill!$Q$2</f>
        <v>50</v>
      </c>
      <c r="H607" s="43">
        <f>('Raw Data'!F609+Bill!$R$2)</f>
        <v>20</v>
      </c>
      <c r="I607" s="36">
        <f>'Raw Data'!G609/100</f>
        <v>0</v>
      </c>
      <c r="K607" s="37">
        <f>Bill!$Y607</f>
        <v>46165</v>
      </c>
      <c r="L607" s="38">
        <f>Bill!$AA607*('Raw Data'!$E609+$L$2)</f>
        <v>0</v>
      </c>
      <c r="M607" s="38">
        <f>Bill!$AB607*('Raw Data'!$E609+$M$2)</f>
        <v>0</v>
      </c>
      <c r="N607" s="38">
        <f>(('Raw Data'!$F609 * 2)-10)*Bill!$AC607</f>
        <v>0</v>
      </c>
      <c r="O607" s="38">
        <f>('Raw Data'!F609+Bill!$O$2)*Bill!$AD607</f>
        <v>0</v>
      </c>
      <c r="P607" s="38">
        <f>('Raw Data'!F609+Bill!$P$2)*Bill!$AE607</f>
        <v>0</v>
      </c>
      <c r="Q607" s="38">
        <f>Bill!$Z607*('Raw Data'!$E609+$Q$2)</f>
        <v>0</v>
      </c>
      <c r="R607" s="38">
        <f>('Raw Data'!F609+Bill!$R$2)*Bill!$AF607</f>
        <v>0</v>
      </c>
      <c r="S607" s="48">
        <f>('Raw Data'!G609/100)*Bill!$AG607</f>
        <v>0</v>
      </c>
      <c r="T607" s="38">
        <f>SUM(Bill!$L607:$R607)</f>
        <v>0</v>
      </c>
      <c r="U607" s="53"/>
      <c r="V607" s="50"/>
      <c r="W607" s="38">
        <f>Bill!$U607-Bill!$T607</f>
        <v>0</v>
      </c>
      <c r="Y607" s="37">
        <f>'Raw Data'!D609</f>
        <v>46165</v>
      </c>
      <c r="Z607" s="47">
        <v>0.0</v>
      </c>
      <c r="AA607" s="47"/>
      <c r="AB607" s="47"/>
      <c r="AC607" s="47"/>
      <c r="AD607" s="47"/>
      <c r="AE607" s="47"/>
      <c r="AF607" s="47"/>
      <c r="AG607" s="47"/>
    </row>
    <row r="608" ht="15.75" customHeight="1">
      <c r="A608" s="35">
        <f>Bill!$Y608</f>
        <v>46166</v>
      </c>
      <c r="B608" s="43">
        <f>'Raw Data'!E610+Bill!$L$2</f>
        <v>20</v>
      </c>
      <c r="C608" s="43">
        <f>'Raw Data'!E610+Bill!$M$2</f>
        <v>25</v>
      </c>
      <c r="D608" s="43">
        <f>('Raw Data'!$F610*2)-10</f>
        <v>-10</v>
      </c>
      <c r="E608" s="43">
        <f>'Raw Data'!F610+Bill!$O$2</f>
        <v>20</v>
      </c>
      <c r="F608" s="43">
        <f>'Raw Data'!F610+Bill!$P$2</f>
        <v>25</v>
      </c>
      <c r="G608" s="43">
        <f>'Raw Data'!E610+Bill!$Q$2</f>
        <v>50</v>
      </c>
      <c r="H608" s="43">
        <f>('Raw Data'!F610+Bill!$R$2)</f>
        <v>20</v>
      </c>
      <c r="I608" s="36">
        <f>'Raw Data'!G610/100</f>
        <v>0</v>
      </c>
      <c r="K608" s="37">
        <f>Bill!$Y608</f>
        <v>46166</v>
      </c>
      <c r="L608" s="38">
        <f>Bill!$AA608*('Raw Data'!$E610+$L$2)</f>
        <v>0</v>
      </c>
      <c r="M608" s="38">
        <f>Bill!$AB608*('Raw Data'!$E610+$M$2)</f>
        <v>0</v>
      </c>
      <c r="N608" s="38">
        <f>(('Raw Data'!$F610 * 2)-10)*Bill!$AC608</f>
        <v>0</v>
      </c>
      <c r="O608" s="38">
        <f>('Raw Data'!F610+Bill!$O$2)*Bill!$AD608</f>
        <v>0</v>
      </c>
      <c r="P608" s="38">
        <f>('Raw Data'!F610+Bill!$P$2)*Bill!$AE608</f>
        <v>0</v>
      </c>
      <c r="Q608" s="38">
        <f>Bill!$Z608*('Raw Data'!$E610+$Q$2)</f>
        <v>0</v>
      </c>
      <c r="R608" s="38">
        <f>('Raw Data'!F610+Bill!$R$2)*Bill!$AF608</f>
        <v>0</v>
      </c>
      <c r="S608" s="48">
        <f>('Raw Data'!G610/100)*Bill!$AG608</f>
        <v>0</v>
      </c>
      <c r="T608" s="38">
        <f>SUM(Bill!$L608:$R608)</f>
        <v>0</v>
      </c>
      <c r="U608" s="53"/>
      <c r="V608" s="50"/>
      <c r="W608" s="38">
        <f>Bill!$U608-Bill!$T608</f>
        <v>0</v>
      </c>
      <c r="Y608" s="37">
        <f>'Raw Data'!D610</f>
        <v>46166</v>
      </c>
      <c r="Z608" s="47">
        <v>0.0</v>
      </c>
      <c r="AA608" s="47"/>
      <c r="AB608" s="47"/>
      <c r="AC608" s="47"/>
      <c r="AD608" s="47"/>
      <c r="AE608" s="47"/>
      <c r="AF608" s="47"/>
      <c r="AG608" s="47"/>
    </row>
    <row r="609" ht="15.75" customHeight="1">
      <c r="A609" s="35">
        <f>Bill!$Y609</f>
        <v>46167</v>
      </c>
      <c r="B609" s="43">
        <f>'Raw Data'!E611+Bill!$L$2</f>
        <v>20</v>
      </c>
      <c r="C609" s="43">
        <f>'Raw Data'!E611+Bill!$M$2</f>
        <v>25</v>
      </c>
      <c r="D609" s="43">
        <f>('Raw Data'!$F611*2)-10</f>
        <v>-10</v>
      </c>
      <c r="E609" s="43">
        <f>'Raw Data'!F611+Bill!$O$2</f>
        <v>20</v>
      </c>
      <c r="F609" s="43">
        <f>'Raw Data'!F611+Bill!$P$2</f>
        <v>25</v>
      </c>
      <c r="G609" s="43">
        <f>'Raw Data'!E611+Bill!$Q$2</f>
        <v>50</v>
      </c>
      <c r="H609" s="43">
        <f>('Raw Data'!F611+Bill!$R$2)</f>
        <v>20</v>
      </c>
      <c r="I609" s="36">
        <f>'Raw Data'!G611/100</f>
        <v>0</v>
      </c>
      <c r="K609" s="37">
        <f>Bill!$Y609</f>
        <v>46167</v>
      </c>
      <c r="L609" s="38">
        <f>Bill!$AA609*('Raw Data'!$E611+$L$2)</f>
        <v>0</v>
      </c>
      <c r="M609" s="38">
        <f>Bill!$AB609*('Raw Data'!$E611+$M$2)</f>
        <v>0</v>
      </c>
      <c r="N609" s="38">
        <f>(('Raw Data'!$F611 * 2)-10)*Bill!$AC609</f>
        <v>0</v>
      </c>
      <c r="O609" s="38">
        <f>('Raw Data'!F611+Bill!$O$2)*Bill!$AD609</f>
        <v>0</v>
      </c>
      <c r="P609" s="38">
        <f>('Raw Data'!F611+Bill!$P$2)*Bill!$AE609</f>
        <v>0</v>
      </c>
      <c r="Q609" s="38">
        <f>Bill!$Z609*('Raw Data'!$E611+$Q$2)</f>
        <v>0</v>
      </c>
      <c r="R609" s="38">
        <f>('Raw Data'!F611+Bill!$R$2)*Bill!$AF609</f>
        <v>0</v>
      </c>
      <c r="S609" s="48">
        <f>('Raw Data'!G611/100)*Bill!$AG609</f>
        <v>0</v>
      </c>
      <c r="T609" s="38">
        <f>SUM(Bill!$L609:$R609)</f>
        <v>0</v>
      </c>
      <c r="U609" s="53"/>
      <c r="V609" s="50"/>
      <c r="W609" s="38">
        <f>Bill!$U609-Bill!$T609</f>
        <v>0</v>
      </c>
      <c r="Y609" s="37">
        <f>'Raw Data'!D611</f>
        <v>46167</v>
      </c>
      <c r="Z609" s="47">
        <v>0.0</v>
      </c>
      <c r="AA609" s="47"/>
      <c r="AB609" s="47"/>
      <c r="AC609" s="47"/>
      <c r="AD609" s="47"/>
      <c r="AE609" s="47"/>
      <c r="AF609" s="47"/>
      <c r="AG609" s="47"/>
    </row>
    <row r="610" ht="15.75" customHeight="1">
      <c r="A610" s="35">
        <f>Bill!$Y610</f>
        <v>46168</v>
      </c>
      <c r="B610" s="43">
        <f>'Raw Data'!E612+Bill!$L$2</f>
        <v>20</v>
      </c>
      <c r="C610" s="43">
        <f>'Raw Data'!E612+Bill!$M$2</f>
        <v>25</v>
      </c>
      <c r="D610" s="43">
        <f>('Raw Data'!$F612*2)-10</f>
        <v>-10</v>
      </c>
      <c r="E610" s="43">
        <f>'Raw Data'!F612+Bill!$O$2</f>
        <v>20</v>
      </c>
      <c r="F610" s="43">
        <f>'Raw Data'!F612+Bill!$P$2</f>
        <v>25</v>
      </c>
      <c r="G610" s="43">
        <f>'Raw Data'!E612+Bill!$Q$2</f>
        <v>50</v>
      </c>
      <c r="H610" s="43">
        <f>('Raw Data'!F612+Bill!$R$2)</f>
        <v>20</v>
      </c>
      <c r="I610" s="36">
        <f>'Raw Data'!G612/100</f>
        <v>0</v>
      </c>
      <c r="K610" s="37">
        <f>Bill!$Y610</f>
        <v>46168</v>
      </c>
      <c r="L610" s="38">
        <f>Bill!$AA610*('Raw Data'!$E612+$L$2)</f>
        <v>0</v>
      </c>
      <c r="M610" s="38">
        <f>Bill!$AB610*('Raw Data'!$E612+$M$2)</f>
        <v>0</v>
      </c>
      <c r="N610" s="38">
        <f>(('Raw Data'!$F612 * 2)-10)*Bill!$AC610</f>
        <v>0</v>
      </c>
      <c r="O610" s="38">
        <f>('Raw Data'!F612+Bill!$O$2)*Bill!$AD610</f>
        <v>0</v>
      </c>
      <c r="P610" s="38">
        <f>('Raw Data'!F612+Bill!$P$2)*Bill!$AE610</f>
        <v>0</v>
      </c>
      <c r="Q610" s="38">
        <f>Bill!$Z610*('Raw Data'!$E612+$Q$2)</f>
        <v>0</v>
      </c>
      <c r="R610" s="38">
        <f>('Raw Data'!F612+Bill!$R$2)*Bill!$AF610</f>
        <v>0</v>
      </c>
      <c r="S610" s="48">
        <f>('Raw Data'!G612/100)*Bill!$AG610</f>
        <v>0</v>
      </c>
      <c r="T610" s="38">
        <f>SUM(Bill!$L610:$R610)</f>
        <v>0</v>
      </c>
      <c r="U610" s="53"/>
      <c r="V610" s="50"/>
      <c r="W610" s="38">
        <f>Bill!$U610-Bill!$T610</f>
        <v>0</v>
      </c>
      <c r="Y610" s="37">
        <f>'Raw Data'!D612</f>
        <v>46168</v>
      </c>
      <c r="Z610" s="47">
        <v>0.0</v>
      </c>
      <c r="AA610" s="47"/>
      <c r="AB610" s="47"/>
      <c r="AC610" s="47"/>
      <c r="AD610" s="47"/>
      <c r="AE610" s="47"/>
      <c r="AF610" s="47"/>
      <c r="AG610" s="47"/>
    </row>
    <row r="611" ht="15.75" customHeight="1">
      <c r="A611" s="35">
        <f>Bill!$Y611</f>
        <v>46169</v>
      </c>
      <c r="B611" s="43">
        <f>'Raw Data'!E613+Bill!$L$2</f>
        <v>20</v>
      </c>
      <c r="C611" s="43">
        <f>'Raw Data'!E613+Bill!$M$2</f>
        <v>25</v>
      </c>
      <c r="D611" s="43">
        <f>('Raw Data'!$F613*2)-10</f>
        <v>-10</v>
      </c>
      <c r="E611" s="43">
        <f>'Raw Data'!F613+Bill!$O$2</f>
        <v>20</v>
      </c>
      <c r="F611" s="43">
        <f>'Raw Data'!F613+Bill!$P$2</f>
        <v>25</v>
      </c>
      <c r="G611" s="43">
        <f>'Raw Data'!E613+Bill!$Q$2</f>
        <v>50</v>
      </c>
      <c r="H611" s="43">
        <f>('Raw Data'!F613+Bill!$R$2)</f>
        <v>20</v>
      </c>
      <c r="I611" s="36">
        <f>'Raw Data'!G613/100</f>
        <v>0</v>
      </c>
      <c r="K611" s="37">
        <f>Bill!$Y611</f>
        <v>46169</v>
      </c>
      <c r="L611" s="38">
        <f>Bill!$AA611*('Raw Data'!$E613+$L$2)</f>
        <v>0</v>
      </c>
      <c r="M611" s="38">
        <f>Bill!$AB611*('Raw Data'!$E613+$M$2)</f>
        <v>0</v>
      </c>
      <c r="N611" s="38">
        <f>(('Raw Data'!$F613 * 2)-10)*Bill!$AC611</f>
        <v>0</v>
      </c>
      <c r="O611" s="38">
        <f>('Raw Data'!F613+Bill!$O$2)*Bill!$AD611</f>
        <v>0</v>
      </c>
      <c r="P611" s="38">
        <f>('Raw Data'!F613+Bill!$P$2)*Bill!$AE611</f>
        <v>0</v>
      </c>
      <c r="Q611" s="38">
        <f>Bill!$Z611*('Raw Data'!$E613+$Q$2)</f>
        <v>0</v>
      </c>
      <c r="R611" s="38">
        <f>('Raw Data'!F613+Bill!$R$2)*Bill!$AF611</f>
        <v>0</v>
      </c>
      <c r="S611" s="48">
        <f>('Raw Data'!G613/100)*Bill!$AG611</f>
        <v>0</v>
      </c>
      <c r="T611" s="38">
        <f>SUM(Bill!$L611:$R611)</f>
        <v>0</v>
      </c>
      <c r="U611" s="53"/>
      <c r="V611" s="50"/>
      <c r="W611" s="38">
        <f>Bill!$U611-Bill!$T611</f>
        <v>0</v>
      </c>
      <c r="Y611" s="37">
        <f>'Raw Data'!D613</f>
        <v>46169</v>
      </c>
      <c r="Z611" s="47">
        <v>0.0</v>
      </c>
      <c r="AA611" s="47"/>
      <c r="AB611" s="47"/>
      <c r="AC611" s="47"/>
      <c r="AD611" s="47"/>
      <c r="AE611" s="47"/>
      <c r="AF611" s="47"/>
      <c r="AG611" s="47"/>
    </row>
    <row r="612" ht="15.75" customHeight="1">
      <c r="A612" s="35">
        <f>Bill!$Y612</f>
        <v>46170</v>
      </c>
      <c r="B612" s="43">
        <f>'Raw Data'!E614+Bill!$L$2</f>
        <v>20</v>
      </c>
      <c r="C612" s="43">
        <f>'Raw Data'!E614+Bill!$M$2</f>
        <v>25</v>
      </c>
      <c r="D612" s="43">
        <f>('Raw Data'!$F614*2)-10</f>
        <v>-10</v>
      </c>
      <c r="E612" s="43">
        <f>'Raw Data'!F614+Bill!$O$2</f>
        <v>20</v>
      </c>
      <c r="F612" s="43">
        <f>'Raw Data'!F614+Bill!$P$2</f>
        <v>25</v>
      </c>
      <c r="G612" s="43">
        <f>'Raw Data'!E614+Bill!$Q$2</f>
        <v>50</v>
      </c>
      <c r="H612" s="43">
        <f>('Raw Data'!F614+Bill!$R$2)</f>
        <v>20</v>
      </c>
      <c r="I612" s="36">
        <f>'Raw Data'!G614/100</f>
        <v>0</v>
      </c>
      <c r="K612" s="37">
        <f>Bill!$Y612</f>
        <v>46170</v>
      </c>
      <c r="L612" s="38">
        <f>Bill!$AA612*('Raw Data'!$E614+$L$2)</f>
        <v>0</v>
      </c>
      <c r="M612" s="38">
        <f>Bill!$AB612*('Raw Data'!$E614+$M$2)</f>
        <v>0</v>
      </c>
      <c r="N612" s="38">
        <f>(('Raw Data'!$F614 * 2)-10)*Bill!$AC612</f>
        <v>0</v>
      </c>
      <c r="O612" s="38">
        <f>('Raw Data'!F614+Bill!$O$2)*Bill!$AD612</f>
        <v>0</v>
      </c>
      <c r="P612" s="38">
        <f>('Raw Data'!F614+Bill!$P$2)*Bill!$AE612</f>
        <v>0</v>
      </c>
      <c r="Q612" s="38">
        <f>Bill!$Z612*('Raw Data'!$E614+$Q$2)</f>
        <v>0</v>
      </c>
      <c r="R612" s="38">
        <f>('Raw Data'!F614+Bill!$R$2)*Bill!$AF612</f>
        <v>0</v>
      </c>
      <c r="S612" s="48">
        <f>('Raw Data'!G614/100)*Bill!$AG612</f>
        <v>0</v>
      </c>
      <c r="T612" s="38">
        <f>SUM(Bill!$L612:$R612)</f>
        <v>0</v>
      </c>
      <c r="U612" s="53"/>
      <c r="V612" s="50"/>
      <c r="W612" s="38">
        <f>Bill!$U612-Bill!$T612</f>
        <v>0</v>
      </c>
      <c r="Y612" s="37">
        <f>'Raw Data'!D614</f>
        <v>46170</v>
      </c>
      <c r="Z612" s="47">
        <v>0.0</v>
      </c>
      <c r="AA612" s="47"/>
      <c r="AB612" s="47"/>
      <c r="AC612" s="47"/>
      <c r="AD612" s="47"/>
      <c r="AE612" s="47"/>
      <c r="AF612" s="47"/>
      <c r="AG612" s="47"/>
    </row>
    <row r="613" ht="15.75" customHeight="1">
      <c r="A613" s="35">
        <f>Bill!$Y613</f>
        <v>46171</v>
      </c>
      <c r="B613" s="43">
        <f>'Raw Data'!E615+Bill!$L$2</f>
        <v>20</v>
      </c>
      <c r="C613" s="43">
        <f>'Raw Data'!E615+Bill!$M$2</f>
        <v>25</v>
      </c>
      <c r="D613" s="43">
        <f>('Raw Data'!$F615*2)-10</f>
        <v>-10</v>
      </c>
      <c r="E613" s="43">
        <f>'Raw Data'!F615+Bill!$O$2</f>
        <v>20</v>
      </c>
      <c r="F613" s="43">
        <f>'Raw Data'!F615+Bill!$P$2</f>
        <v>25</v>
      </c>
      <c r="G613" s="43">
        <f>'Raw Data'!E615+Bill!$Q$2</f>
        <v>50</v>
      </c>
      <c r="H613" s="43">
        <f>('Raw Data'!F615+Bill!$R$2)</f>
        <v>20</v>
      </c>
      <c r="I613" s="36">
        <f>'Raw Data'!G615/100</f>
        <v>0</v>
      </c>
      <c r="K613" s="37">
        <f>Bill!$Y613</f>
        <v>46171</v>
      </c>
      <c r="L613" s="38">
        <f>Bill!$AA613*('Raw Data'!$E615+$L$2)</f>
        <v>0</v>
      </c>
      <c r="M613" s="38">
        <f>Bill!$AB613*('Raw Data'!$E615+$M$2)</f>
        <v>0</v>
      </c>
      <c r="N613" s="38">
        <f>(('Raw Data'!$F615 * 2)-10)*Bill!$AC613</f>
        <v>0</v>
      </c>
      <c r="O613" s="38">
        <f>('Raw Data'!F615+Bill!$O$2)*Bill!$AD613</f>
        <v>0</v>
      </c>
      <c r="P613" s="38">
        <f>('Raw Data'!F615+Bill!$P$2)*Bill!$AE613</f>
        <v>0</v>
      </c>
      <c r="Q613" s="38">
        <f>Bill!$Z613*('Raw Data'!$E615+$Q$2)</f>
        <v>0</v>
      </c>
      <c r="R613" s="38">
        <f>('Raw Data'!F615+Bill!$R$2)*Bill!$AF613</f>
        <v>0</v>
      </c>
      <c r="S613" s="48">
        <f>('Raw Data'!G615/100)*Bill!$AG613</f>
        <v>0</v>
      </c>
      <c r="T613" s="38">
        <f>SUM(Bill!$L613:$R613)</f>
        <v>0</v>
      </c>
      <c r="U613" s="53"/>
      <c r="V613" s="50"/>
      <c r="W613" s="38">
        <f>Bill!$U613-Bill!$T613</f>
        <v>0</v>
      </c>
      <c r="Y613" s="37">
        <f>'Raw Data'!D615</f>
        <v>46171</v>
      </c>
      <c r="Z613" s="47">
        <v>0.0</v>
      </c>
      <c r="AA613" s="47"/>
      <c r="AB613" s="47"/>
      <c r="AC613" s="47"/>
      <c r="AD613" s="47"/>
      <c r="AE613" s="47"/>
      <c r="AF613" s="47"/>
      <c r="AG613" s="47"/>
    </row>
    <row r="614" ht="15.75" customHeight="1">
      <c r="A614" s="35">
        <f>Bill!$Y614</f>
        <v>46172</v>
      </c>
      <c r="B614" s="43">
        <f>'Raw Data'!E616+Bill!$L$2</f>
        <v>20</v>
      </c>
      <c r="C614" s="43">
        <f>'Raw Data'!E616+Bill!$M$2</f>
        <v>25</v>
      </c>
      <c r="D614" s="43">
        <f>('Raw Data'!$F616*2)-10</f>
        <v>-10</v>
      </c>
      <c r="E614" s="43">
        <f>'Raw Data'!F616+Bill!$O$2</f>
        <v>20</v>
      </c>
      <c r="F614" s="43">
        <f>'Raw Data'!F616+Bill!$P$2</f>
        <v>25</v>
      </c>
      <c r="G614" s="43">
        <f>'Raw Data'!E616+Bill!$Q$2</f>
        <v>50</v>
      </c>
      <c r="H614" s="43">
        <f>('Raw Data'!F616+Bill!$R$2)</f>
        <v>20</v>
      </c>
      <c r="I614" s="36">
        <f>'Raw Data'!G616/100</f>
        <v>0</v>
      </c>
      <c r="K614" s="37">
        <f>Bill!$Y614</f>
        <v>46172</v>
      </c>
      <c r="L614" s="38">
        <f>Bill!$AA614*('Raw Data'!$E616+$L$2)</f>
        <v>0</v>
      </c>
      <c r="M614" s="38">
        <f>Bill!$AB614*('Raw Data'!$E616+$M$2)</f>
        <v>0</v>
      </c>
      <c r="N614" s="38">
        <f>(('Raw Data'!$F616 * 2)-10)*Bill!$AC614</f>
        <v>0</v>
      </c>
      <c r="O614" s="38">
        <f>('Raw Data'!F616+Bill!$O$2)*Bill!$AD614</f>
        <v>0</v>
      </c>
      <c r="P614" s="38">
        <f>('Raw Data'!F616+Bill!$P$2)*Bill!$AE614</f>
        <v>0</v>
      </c>
      <c r="Q614" s="38">
        <f>Bill!$Z614*('Raw Data'!$E616+$Q$2)</f>
        <v>0</v>
      </c>
      <c r="R614" s="38">
        <f>('Raw Data'!F616+Bill!$R$2)*Bill!$AF614</f>
        <v>0</v>
      </c>
      <c r="S614" s="48">
        <f>('Raw Data'!G616/100)*Bill!$AG614</f>
        <v>0</v>
      </c>
      <c r="T614" s="38">
        <f>SUM(Bill!$L614:$R614)</f>
        <v>0</v>
      </c>
      <c r="U614" s="53"/>
      <c r="V614" s="50"/>
      <c r="W614" s="38">
        <f>Bill!$U614-Bill!$T614</f>
        <v>0</v>
      </c>
      <c r="Y614" s="37">
        <f>'Raw Data'!D616</f>
        <v>46172</v>
      </c>
      <c r="Z614" s="47">
        <v>0.0</v>
      </c>
      <c r="AA614" s="47"/>
      <c r="AB614" s="47"/>
      <c r="AC614" s="47"/>
      <c r="AD614" s="47"/>
      <c r="AE614" s="47"/>
      <c r="AF614" s="47"/>
      <c r="AG614" s="47"/>
    </row>
    <row r="615" ht="15.75" customHeight="1">
      <c r="A615" s="35">
        <f>Bill!$Y615</f>
        <v>46173</v>
      </c>
      <c r="B615" s="43">
        <f>'Raw Data'!E617+Bill!$L$2</f>
        <v>20</v>
      </c>
      <c r="C615" s="43">
        <f>'Raw Data'!E617+Bill!$M$2</f>
        <v>25</v>
      </c>
      <c r="D615" s="43">
        <f>('Raw Data'!$F617*2)-10</f>
        <v>-10</v>
      </c>
      <c r="E615" s="43">
        <f>'Raw Data'!F617+Bill!$O$2</f>
        <v>20</v>
      </c>
      <c r="F615" s="43">
        <f>'Raw Data'!F617+Bill!$P$2</f>
        <v>25</v>
      </c>
      <c r="G615" s="43">
        <f>'Raw Data'!E617+Bill!$Q$2</f>
        <v>50</v>
      </c>
      <c r="H615" s="43">
        <f>('Raw Data'!F617+Bill!$R$2)</f>
        <v>20</v>
      </c>
      <c r="I615" s="36">
        <f>'Raw Data'!G617/100</f>
        <v>0</v>
      </c>
      <c r="K615" s="37">
        <f>Bill!$Y615</f>
        <v>46173</v>
      </c>
      <c r="L615" s="38">
        <f>Bill!$AA615*('Raw Data'!$E617+$L$2)</f>
        <v>0</v>
      </c>
      <c r="M615" s="38">
        <f>Bill!$AB615*('Raw Data'!$E617+$M$2)</f>
        <v>0</v>
      </c>
      <c r="N615" s="38">
        <f>(('Raw Data'!$F617 * 2)-10)*Bill!$AC615</f>
        <v>0</v>
      </c>
      <c r="O615" s="38">
        <f>('Raw Data'!F617+Bill!$O$2)*Bill!$AD615</f>
        <v>0</v>
      </c>
      <c r="P615" s="38">
        <f>('Raw Data'!F617+Bill!$P$2)*Bill!$AE615</f>
        <v>0</v>
      </c>
      <c r="Q615" s="38">
        <f>Bill!$Z615*('Raw Data'!$E617+$Q$2)</f>
        <v>0</v>
      </c>
      <c r="R615" s="38">
        <f>('Raw Data'!F617+Bill!$R$2)*Bill!$AF615</f>
        <v>0</v>
      </c>
      <c r="S615" s="48">
        <f>('Raw Data'!G617/100)*Bill!$AG615</f>
        <v>0</v>
      </c>
      <c r="T615" s="38">
        <f>SUM(Bill!$L615:$R615)</f>
        <v>0</v>
      </c>
      <c r="U615" s="53"/>
      <c r="V615" s="50"/>
      <c r="W615" s="38">
        <f>Bill!$U615-Bill!$T615</f>
        <v>0</v>
      </c>
      <c r="Y615" s="37">
        <f>'Raw Data'!D617</f>
        <v>46173</v>
      </c>
      <c r="Z615" s="47">
        <v>0.0</v>
      </c>
      <c r="AA615" s="47"/>
      <c r="AB615" s="47"/>
      <c r="AC615" s="47"/>
      <c r="AD615" s="47"/>
      <c r="AE615" s="47"/>
      <c r="AF615" s="47"/>
      <c r="AG615" s="47"/>
    </row>
    <row r="616" ht="15.75" customHeight="1">
      <c r="A616" s="35">
        <f>Bill!$Y616</f>
        <v>46174</v>
      </c>
      <c r="B616" s="43">
        <f>'Raw Data'!E618+Bill!$L$2</f>
        <v>20</v>
      </c>
      <c r="C616" s="43">
        <f>'Raw Data'!E618+Bill!$M$2</f>
        <v>25</v>
      </c>
      <c r="D616" s="43">
        <f>('Raw Data'!$F618*2)-10</f>
        <v>-10</v>
      </c>
      <c r="E616" s="43">
        <f>'Raw Data'!F618+Bill!$O$2</f>
        <v>20</v>
      </c>
      <c r="F616" s="43">
        <f>'Raw Data'!F618+Bill!$P$2</f>
        <v>25</v>
      </c>
      <c r="G616" s="43">
        <f>'Raw Data'!E618+Bill!$Q$2</f>
        <v>50</v>
      </c>
      <c r="H616" s="43">
        <f>('Raw Data'!F618+Bill!$R$2)</f>
        <v>20</v>
      </c>
      <c r="I616" s="36">
        <f>'Raw Data'!G618/100</f>
        <v>0</v>
      </c>
      <c r="K616" s="37">
        <f>Bill!$Y616</f>
        <v>46174</v>
      </c>
      <c r="L616" s="38">
        <f>Bill!$AA616*('Raw Data'!$E618+$L$2)</f>
        <v>0</v>
      </c>
      <c r="M616" s="38">
        <f>Bill!$AB616*('Raw Data'!$E618+$M$2)</f>
        <v>0</v>
      </c>
      <c r="N616" s="38">
        <f>(('Raw Data'!$F618 * 2)-10)*Bill!$AC616</f>
        <v>0</v>
      </c>
      <c r="O616" s="38">
        <f>('Raw Data'!F618+Bill!$O$2)*Bill!$AD616</f>
        <v>0</v>
      </c>
      <c r="P616" s="38">
        <f>('Raw Data'!F618+Bill!$P$2)*Bill!$AE616</f>
        <v>0</v>
      </c>
      <c r="Q616" s="38">
        <f>Bill!$Z616*('Raw Data'!$E618+$Q$2)</f>
        <v>0</v>
      </c>
      <c r="R616" s="38">
        <f>('Raw Data'!F618+Bill!$R$2)*Bill!$AF616</f>
        <v>0</v>
      </c>
      <c r="S616" s="48">
        <f>('Raw Data'!G618/100)*Bill!$AG616</f>
        <v>0</v>
      </c>
      <c r="T616" s="38">
        <f>SUM(Bill!$L616:$R616)</f>
        <v>0</v>
      </c>
      <c r="U616" s="53"/>
      <c r="V616" s="50"/>
      <c r="W616" s="38">
        <f>Bill!$U616-Bill!$T616</f>
        <v>0</v>
      </c>
      <c r="Y616" s="37">
        <f>'Raw Data'!D618</f>
        <v>46174</v>
      </c>
      <c r="Z616" s="47">
        <v>0.0</v>
      </c>
      <c r="AA616" s="47"/>
      <c r="AB616" s="47"/>
      <c r="AC616" s="47"/>
      <c r="AD616" s="47"/>
      <c r="AE616" s="47"/>
      <c r="AF616" s="47"/>
      <c r="AG616" s="47"/>
    </row>
    <row r="617" ht="15.75" customHeight="1">
      <c r="A617" s="35">
        <f>Bill!$Y617</f>
        <v>46175</v>
      </c>
      <c r="B617" s="43">
        <f>'Raw Data'!E619+Bill!$L$2</f>
        <v>20</v>
      </c>
      <c r="C617" s="43">
        <f>'Raw Data'!E619+Bill!$M$2</f>
        <v>25</v>
      </c>
      <c r="D617" s="43">
        <f>('Raw Data'!$F619*2)-10</f>
        <v>-10</v>
      </c>
      <c r="E617" s="43">
        <f>'Raw Data'!F619+Bill!$O$2</f>
        <v>20</v>
      </c>
      <c r="F617" s="43">
        <f>'Raw Data'!F619+Bill!$P$2</f>
        <v>25</v>
      </c>
      <c r="G617" s="43">
        <f>'Raw Data'!E619+Bill!$Q$2</f>
        <v>50</v>
      </c>
      <c r="H617" s="43">
        <f>('Raw Data'!F619+Bill!$R$2)</f>
        <v>20</v>
      </c>
      <c r="I617" s="36">
        <f>'Raw Data'!G619/100</f>
        <v>0</v>
      </c>
      <c r="K617" s="37">
        <f>Bill!$Y617</f>
        <v>46175</v>
      </c>
      <c r="L617" s="38">
        <f>Bill!$AA617*('Raw Data'!$E619+$L$2)</f>
        <v>0</v>
      </c>
      <c r="M617" s="38">
        <f>Bill!$AB617*('Raw Data'!$E619+$M$2)</f>
        <v>0</v>
      </c>
      <c r="N617" s="38">
        <f>(('Raw Data'!$F619 * 2)-10)*Bill!$AC617</f>
        <v>0</v>
      </c>
      <c r="O617" s="38">
        <f>('Raw Data'!F619+Bill!$O$2)*Bill!$AD617</f>
        <v>0</v>
      </c>
      <c r="P617" s="38">
        <f>('Raw Data'!F619+Bill!$P$2)*Bill!$AE617</f>
        <v>0</v>
      </c>
      <c r="Q617" s="38">
        <f>Bill!$Z617*('Raw Data'!$E619+$Q$2)</f>
        <v>0</v>
      </c>
      <c r="R617" s="38">
        <f>('Raw Data'!F619+Bill!$R$2)*Bill!$AF617</f>
        <v>0</v>
      </c>
      <c r="S617" s="48">
        <f>('Raw Data'!G619/100)*Bill!$AG617</f>
        <v>0</v>
      </c>
      <c r="T617" s="38">
        <f>SUM(Bill!$L617:$R617)</f>
        <v>0</v>
      </c>
      <c r="U617" s="53"/>
      <c r="V617" s="50"/>
      <c r="W617" s="38">
        <f>Bill!$U617-Bill!$T617</f>
        <v>0</v>
      </c>
      <c r="Y617" s="37">
        <f>'Raw Data'!D619</f>
        <v>46175</v>
      </c>
      <c r="Z617" s="47">
        <v>0.0</v>
      </c>
      <c r="AA617" s="47"/>
      <c r="AB617" s="47"/>
      <c r="AC617" s="47"/>
      <c r="AD617" s="47"/>
      <c r="AE617" s="47"/>
      <c r="AF617" s="47"/>
      <c r="AG617" s="47"/>
    </row>
    <row r="618" ht="15.75" customHeight="1">
      <c r="A618" s="35">
        <f>Bill!$Y618</f>
        <v>46176</v>
      </c>
      <c r="B618" s="43">
        <f>'Raw Data'!E620+Bill!$L$2</f>
        <v>20</v>
      </c>
      <c r="C618" s="43">
        <f>'Raw Data'!E620+Bill!$M$2</f>
        <v>25</v>
      </c>
      <c r="D618" s="43">
        <f>('Raw Data'!$F620*2)-10</f>
        <v>-10</v>
      </c>
      <c r="E618" s="43">
        <f>'Raw Data'!F620+Bill!$O$2</f>
        <v>20</v>
      </c>
      <c r="F618" s="43">
        <f>'Raw Data'!F620+Bill!$P$2</f>
        <v>25</v>
      </c>
      <c r="G618" s="43">
        <f>'Raw Data'!E620+Bill!$Q$2</f>
        <v>50</v>
      </c>
      <c r="H618" s="43">
        <f>('Raw Data'!F620+Bill!$R$2)</f>
        <v>20</v>
      </c>
      <c r="I618" s="36">
        <f>'Raw Data'!G620/100</f>
        <v>0</v>
      </c>
      <c r="K618" s="37">
        <f>Bill!$Y618</f>
        <v>46176</v>
      </c>
      <c r="L618" s="38">
        <f>Bill!$AA618*('Raw Data'!$E620+$L$2)</f>
        <v>0</v>
      </c>
      <c r="M618" s="38">
        <f>Bill!$AB618*('Raw Data'!$E620+$M$2)</f>
        <v>0</v>
      </c>
      <c r="N618" s="38">
        <f>(('Raw Data'!$F620 * 2)-10)*Bill!$AC618</f>
        <v>0</v>
      </c>
      <c r="O618" s="38">
        <f>('Raw Data'!F620+Bill!$O$2)*Bill!$AD618</f>
        <v>0</v>
      </c>
      <c r="P618" s="38">
        <f>('Raw Data'!F620+Bill!$P$2)*Bill!$AE618</f>
        <v>0</v>
      </c>
      <c r="Q618" s="38">
        <f>Bill!$Z618*('Raw Data'!$E620+$Q$2)</f>
        <v>0</v>
      </c>
      <c r="R618" s="38">
        <f>('Raw Data'!F620+Bill!$R$2)*Bill!$AF618</f>
        <v>0</v>
      </c>
      <c r="S618" s="48">
        <f>('Raw Data'!G620/100)*Bill!$AG618</f>
        <v>0</v>
      </c>
      <c r="T618" s="38">
        <f>SUM(Bill!$L618:$R618)</f>
        <v>0</v>
      </c>
      <c r="U618" s="53"/>
      <c r="V618" s="50"/>
      <c r="W618" s="38">
        <f>Bill!$U618-Bill!$T618</f>
        <v>0</v>
      </c>
      <c r="Y618" s="37">
        <f>'Raw Data'!D620</f>
        <v>46176</v>
      </c>
      <c r="Z618" s="47">
        <v>0.0</v>
      </c>
      <c r="AA618" s="47"/>
      <c r="AB618" s="47"/>
      <c r="AC618" s="47"/>
      <c r="AD618" s="47"/>
      <c r="AE618" s="47"/>
      <c r="AF618" s="47"/>
      <c r="AG618" s="47"/>
    </row>
    <row r="619" ht="15.75" customHeight="1">
      <c r="A619" s="35">
        <f>Bill!$Y619</f>
        <v>46177</v>
      </c>
      <c r="B619" s="43">
        <f>'Raw Data'!E621+Bill!$L$2</f>
        <v>20</v>
      </c>
      <c r="C619" s="43">
        <f>'Raw Data'!E621+Bill!$M$2</f>
        <v>25</v>
      </c>
      <c r="D619" s="43">
        <f>('Raw Data'!$F621*2)-10</f>
        <v>-10</v>
      </c>
      <c r="E619" s="43">
        <f>'Raw Data'!F621+Bill!$O$2</f>
        <v>20</v>
      </c>
      <c r="F619" s="43">
        <f>'Raw Data'!F621+Bill!$P$2</f>
        <v>25</v>
      </c>
      <c r="G619" s="43">
        <f>'Raw Data'!E621+Bill!$Q$2</f>
        <v>50</v>
      </c>
      <c r="H619" s="43">
        <f>('Raw Data'!F621+Bill!$R$2)</f>
        <v>20</v>
      </c>
      <c r="I619" s="36">
        <f>'Raw Data'!G621/100</f>
        <v>0</v>
      </c>
      <c r="K619" s="37">
        <f>Bill!$Y619</f>
        <v>46177</v>
      </c>
      <c r="L619" s="38">
        <f>Bill!$AA619*('Raw Data'!$E621+$L$2)</f>
        <v>0</v>
      </c>
      <c r="M619" s="38">
        <f>Bill!$AB619*('Raw Data'!$E621+$M$2)</f>
        <v>0</v>
      </c>
      <c r="N619" s="38">
        <f>(('Raw Data'!$F621 * 2)-10)*Bill!$AC619</f>
        <v>0</v>
      </c>
      <c r="O619" s="38">
        <f>('Raw Data'!F621+Bill!$O$2)*Bill!$AD619</f>
        <v>0</v>
      </c>
      <c r="P619" s="38">
        <f>('Raw Data'!F621+Bill!$P$2)*Bill!$AE619</f>
        <v>0</v>
      </c>
      <c r="Q619" s="38">
        <f>Bill!$Z619*('Raw Data'!$E621+$Q$2)</f>
        <v>0</v>
      </c>
      <c r="R619" s="38">
        <f>('Raw Data'!F621+Bill!$R$2)*Bill!$AF619</f>
        <v>0</v>
      </c>
      <c r="S619" s="48">
        <f>('Raw Data'!G621/100)*Bill!$AG619</f>
        <v>0</v>
      </c>
      <c r="T619" s="38">
        <f>SUM(Bill!$L619:$R619)</f>
        <v>0</v>
      </c>
      <c r="U619" s="53"/>
      <c r="V619" s="50"/>
      <c r="W619" s="38">
        <f>Bill!$U619-Bill!$T619</f>
        <v>0</v>
      </c>
      <c r="Y619" s="37">
        <f>'Raw Data'!D621</f>
        <v>46177</v>
      </c>
      <c r="Z619" s="47">
        <v>0.0</v>
      </c>
      <c r="AA619" s="47"/>
      <c r="AB619" s="47"/>
      <c r="AC619" s="47"/>
      <c r="AD619" s="47"/>
      <c r="AE619" s="47"/>
      <c r="AF619" s="47"/>
      <c r="AG619" s="47"/>
    </row>
    <row r="620" ht="15.75" customHeight="1">
      <c r="A620" s="35">
        <f>Bill!$Y620</f>
        <v>46178</v>
      </c>
      <c r="B620" s="43">
        <f>'Raw Data'!E622+Bill!$L$2</f>
        <v>20</v>
      </c>
      <c r="C620" s="43">
        <f>'Raw Data'!E622+Bill!$M$2</f>
        <v>25</v>
      </c>
      <c r="D620" s="43">
        <f>('Raw Data'!$F622*2)-10</f>
        <v>-10</v>
      </c>
      <c r="E620" s="43">
        <f>'Raw Data'!F622+Bill!$O$2</f>
        <v>20</v>
      </c>
      <c r="F620" s="43">
        <f>'Raw Data'!F622+Bill!$P$2</f>
        <v>25</v>
      </c>
      <c r="G620" s="43">
        <f>'Raw Data'!E622+Bill!$Q$2</f>
        <v>50</v>
      </c>
      <c r="H620" s="43">
        <f>('Raw Data'!F622+Bill!$R$2)</f>
        <v>20</v>
      </c>
      <c r="I620" s="36">
        <f>'Raw Data'!G622/100</f>
        <v>0</v>
      </c>
      <c r="K620" s="37">
        <f>Bill!$Y620</f>
        <v>46178</v>
      </c>
      <c r="L620" s="38">
        <f>Bill!$AA620*('Raw Data'!$E622+$L$2)</f>
        <v>0</v>
      </c>
      <c r="M620" s="38">
        <f>Bill!$AB620*('Raw Data'!$E622+$M$2)</f>
        <v>0</v>
      </c>
      <c r="N620" s="38">
        <f>(('Raw Data'!$F622 * 2)-10)*Bill!$AC620</f>
        <v>0</v>
      </c>
      <c r="O620" s="38">
        <f>('Raw Data'!F622+Bill!$O$2)*Bill!$AD620</f>
        <v>0</v>
      </c>
      <c r="P620" s="38">
        <f>('Raw Data'!F622+Bill!$P$2)*Bill!$AE620</f>
        <v>0</v>
      </c>
      <c r="Q620" s="38">
        <f>Bill!$Z620*('Raw Data'!$E622+$Q$2)</f>
        <v>0</v>
      </c>
      <c r="R620" s="38">
        <f>('Raw Data'!F622+Bill!$R$2)*Bill!$AF620</f>
        <v>0</v>
      </c>
      <c r="S620" s="48">
        <f>('Raw Data'!G622/100)*Bill!$AG620</f>
        <v>0</v>
      </c>
      <c r="T620" s="38">
        <f>SUM(Bill!$L620:$R620)</f>
        <v>0</v>
      </c>
      <c r="U620" s="53"/>
      <c r="V620" s="50"/>
      <c r="W620" s="38">
        <f>Bill!$U620-Bill!$T620</f>
        <v>0</v>
      </c>
      <c r="Y620" s="37">
        <f>'Raw Data'!D622</f>
        <v>46178</v>
      </c>
      <c r="Z620" s="47">
        <v>0.0</v>
      </c>
      <c r="AA620" s="47"/>
      <c r="AB620" s="47"/>
      <c r="AC620" s="47"/>
      <c r="AD620" s="47"/>
      <c r="AE620" s="47"/>
      <c r="AF620" s="47"/>
      <c r="AG620" s="47"/>
    </row>
    <row r="621" ht="15.75" customHeight="1">
      <c r="A621" s="35">
        <f>Bill!$Y621</f>
        <v>46179</v>
      </c>
      <c r="B621" s="43">
        <f>'Raw Data'!E623+Bill!$L$2</f>
        <v>20</v>
      </c>
      <c r="C621" s="43">
        <f>'Raw Data'!E623+Bill!$M$2</f>
        <v>25</v>
      </c>
      <c r="D621" s="43">
        <f>('Raw Data'!$F623*2)-10</f>
        <v>-10</v>
      </c>
      <c r="E621" s="43">
        <f>'Raw Data'!F623+Bill!$O$2</f>
        <v>20</v>
      </c>
      <c r="F621" s="43">
        <f>'Raw Data'!F623+Bill!$P$2</f>
        <v>25</v>
      </c>
      <c r="G621" s="43">
        <f>'Raw Data'!E623+Bill!$Q$2</f>
        <v>50</v>
      </c>
      <c r="H621" s="43">
        <f>('Raw Data'!F623+Bill!$R$2)</f>
        <v>20</v>
      </c>
      <c r="I621" s="36">
        <f>'Raw Data'!G623/100</f>
        <v>0</v>
      </c>
      <c r="K621" s="37">
        <f>Bill!$Y621</f>
        <v>46179</v>
      </c>
      <c r="L621" s="38">
        <f>Bill!$AA621*('Raw Data'!$E623+$L$2)</f>
        <v>0</v>
      </c>
      <c r="M621" s="38">
        <f>Bill!$AB621*('Raw Data'!$E623+$M$2)</f>
        <v>0</v>
      </c>
      <c r="N621" s="38">
        <f>(('Raw Data'!$F623 * 2)-10)*Bill!$AC621</f>
        <v>0</v>
      </c>
      <c r="O621" s="38">
        <f>('Raw Data'!F623+Bill!$O$2)*Bill!$AD621</f>
        <v>0</v>
      </c>
      <c r="P621" s="38">
        <f>('Raw Data'!F623+Bill!$P$2)*Bill!$AE621</f>
        <v>0</v>
      </c>
      <c r="Q621" s="38">
        <f>Bill!$Z621*('Raw Data'!$E623+$Q$2)</f>
        <v>0</v>
      </c>
      <c r="R621" s="38">
        <f>('Raw Data'!F623+Bill!$R$2)*Bill!$AF621</f>
        <v>0</v>
      </c>
      <c r="S621" s="48">
        <f>('Raw Data'!G623/100)*Bill!$AG621</f>
        <v>0</v>
      </c>
      <c r="T621" s="38">
        <f>SUM(Bill!$L621:$R621)</f>
        <v>0</v>
      </c>
      <c r="U621" s="53"/>
      <c r="V621" s="50"/>
      <c r="W621" s="38">
        <f>Bill!$U621-Bill!$T621</f>
        <v>0</v>
      </c>
      <c r="Y621" s="37">
        <f>'Raw Data'!D623</f>
        <v>46179</v>
      </c>
      <c r="Z621" s="47">
        <v>0.0</v>
      </c>
      <c r="AA621" s="47"/>
      <c r="AB621" s="47"/>
      <c r="AC621" s="47"/>
      <c r="AD621" s="47"/>
      <c r="AE621" s="47"/>
      <c r="AF621" s="47"/>
      <c r="AG621" s="47"/>
    </row>
    <row r="622" ht="15.75" customHeight="1">
      <c r="A622" s="35">
        <f>Bill!$Y622</f>
        <v>46180</v>
      </c>
      <c r="B622" s="43">
        <f>'Raw Data'!E624+Bill!$L$2</f>
        <v>20</v>
      </c>
      <c r="C622" s="43">
        <f>'Raw Data'!E624+Bill!$M$2</f>
        <v>25</v>
      </c>
      <c r="D622" s="43">
        <f>('Raw Data'!$F624*2)-10</f>
        <v>-10</v>
      </c>
      <c r="E622" s="43">
        <f>'Raw Data'!F624+Bill!$O$2</f>
        <v>20</v>
      </c>
      <c r="F622" s="43">
        <f>'Raw Data'!F624+Bill!$P$2</f>
        <v>25</v>
      </c>
      <c r="G622" s="43">
        <f>'Raw Data'!E624+Bill!$Q$2</f>
        <v>50</v>
      </c>
      <c r="H622" s="43">
        <f>('Raw Data'!F624+Bill!$R$2)</f>
        <v>20</v>
      </c>
      <c r="I622" s="36">
        <f>'Raw Data'!G624/100</f>
        <v>0</v>
      </c>
      <c r="K622" s="37">
        <f>Bill!$Y622</f>
        <v>46180</v>
      </c>
      <c r="L622" s="38">
        <f>Bill!$AA622*('Raw Data'!$E624+$L$2)</f>
        <v>0</v>
      </c>
      <c r="M622" s="38">
        <f>Bill!$AB622*('Raw Data'!$E624+$M$2)</f>
        <v>0</v>
      </c>
      <c r="N622" s="38">
        <f>(('Raw Data'!$F624 * 2)-10)*Bill!$AC622</f>
        <v>0</v>
      </c>
      <c r="O622" s="38">
        <f>('Raw Data'!F624+Bill!$O$2)*Bill!$AD622</f>
        <v>0</v>
      </c>
      <c r="P622" s="38">
        <f>('Raw Data'!F624+Bill!$P$2)*Bill!$AE622</f>
        <v>0</v>
      </c>
      <c r="Q622" s="38">
        <f>Bill!$Z622*('Raw Data'!$E624+$Q$2)</f>
        <v>0</v>
      </c>
      <c r="R622" s="38">
        <f>('Raw Data'!F624+Bill!$R$2)*Bill!$AF622</f>
        <v>0</v>
      </c>
      <c r="S622" s="48">
        <f>('Raw Data'!G624/100)*Bill!$AG622</f>
        <v>0</v>
      </c>
      <c r="T622" s="38">
        <f>SUM(Bill!$L622:$R622)</f>
        <v>0</v>
      </c>
      <c r="U622" s="53"/>
      <c r="V622" s="50"/>
      <c r="W622" s="38">
        <f>Bill!$U622-Bill!$T622</f>
        <v>0</v>
      </c>
      <c r="Y622" s="37">
        <f>'Raw Data'!D624</f>
        <v>46180</v>
      </c>
      <c r="Z622" s="47">
        <v>0.0</v>
      </c>
      <c r="AA622" s="47"/>
      <c r="AB622" s="47"/>
      <c r="AC622" s="47"/>
      <c r="AD622" s="47"/>
      <c r="AE622" s="47"/>
      <c r="AF622" s="47"/>
      <c r="AG622" s="47"/>
    </row>
    <row r="623" ht="15.75" customHeight="1">
      <c r="A623" s="35">
        <f>Bill!$Y623</f>
        <v>46181</v>
      </c>
      <c r="B623" s="43">
        <f>'Raw Data'!E625+Bill!$L$2</f>
        <v>20</v>
      </c>
      <c r="C623" s="43">
        <f>'Raw Data'!E625+Bill!$M$2</f>
        <v>25</v>
      </c>
      <c r="D623" s="43">
        <f>('Raw Data'!$F625*2)-10</f>
        <v>-10</v>
      </c>
      <c r="E623" s="43">
        <f>'Raw Data'!F625+Bill!$O$2</f>
        <v>20</v>
      </c>
      <c r="F623" s="43">
        <f>'Raw Data'!F625+Bill!$P$2</f>
        <v>25</v>
      </c>
      <c r="G623" s="43">
        <f>'Raw Data'!E625+Bill!$Q$2</f>
        <v>50</v>
      </c>
      <c r="H623" s="43">
        <f>('Raw Data'!F625+Bill!$R$2)</f>
        <v>20</v>
      </c>
      <c r="I623" s="36">
        <f>'Raw Data'!G625/100</f>
        <v>0</v>
      </c>
      <c r="K623" s="37">
        <f>Bill!$Y623</f>
        <v>46181</v>
      </c>
      <c r="L623" s="38">
        <f>Bill!$AA623*('Raw Data'!$E625+$L$2)</f>
        <v>0</v>
      </c>
      <c r="M623" s="38">
        <f>Bill!$AB623*('Raw Data'!$E625+$M$2)</f>
        <v>0</v>
      </c>
      <c r="N623" s="38">
        <f>(('Raw Data'!$F625 * 2)-10)*Bill!$AC623</f>
        <v>0</v>
      </c>
      <c r="O623" s="38">
        <f>('Raw Data'!F625+Bill!$O$2)*Bill!$AD623</f>
        <v>0</v>
      </c>
      <c r="P623" s="38">
        <f>('Raw Data'!F625+Bill!$P$2)*Bill!$AE623</f>
        <v>0</v>
      </c>
      <c r="Q623" s="38">
        <f>Bill!$Z623*('Raw Data'!$E625+$Q$2)</f>
        <v>0</v>
      </c>
      <c r="R623" s="38">
        <f>('Raw Data'!F625+Bill!$R$2)*Bill!$AF623</f>
        <v>0</v>
      </c>
      <c r="S623" s="48">
        <f>('Raw Data'!G625/100)*Bill!$AG623</f>
        <v>0</v>
      </c>
      <c r="T623" s="38">
        <f>SUM(Bill!$L623:$R623)</f>
        <v>0</v>
      </c>
      <c r="U623" s="53"/>
      <c r="V623" s="50"/>
      <c r="W623" s="38">
        <f>Bill!$U623-Bill!$T623</f>
        <v>0</v>
      </c>
      <c r="Y623" s="37">
        <f>'Raw Data'!D625</f>
        <v>46181</v>
      </c>
      <c r="Z623" s="47">
        <v>0.0</v>
      </c>
      <c r="AA623" s="47"/>
      <c r="AB623" s="47"/>
      <c r="AC623" s="47"/>
      <c r="AD623" s="47"/>
      <c r="AE623" s="47"/>
      <c r="AF623" s="47"/>
      <c r="AG623" s="47"/>
    </row>
    <row r="624" ht="15.75" customHeight="1">
      <c r="A624" s="35">
        <f>Bill!$Y624</f>
        <v>46182</v>
      </c>
      <c r="B624" s="43">
        <f>'Raw Data'!E626+Bill!$L$2</f>
        <v>20</v>
      </c>
      <c r="C624" s="43">
        <f>'Raw Data'!E626+Bill!$M$2</f>
        <v>25</v>
      </c>
      <c r="D624" s="43">
        <f>('Raw Data'!$F626*2)-10</f>
        <v>-10</v>
      </c>
      <c r="E624" s="43">
        <f>'Raw Data'!F626+Bill!$O$2</f>
        <v>20</v>
      </c>
      <c r="F624" s="43">
        <f>'Raw Data'!F626+Bill!$P$2</f>
        <v>25</v>
      </c>
      <c r="G624" s="43">
        <f>'Raw Data'!E626+Bill!$Q$2</f>
        <v>50</v>
      </c>
      <c r="H624" s="43">
        <f>('Raw Data'!F626+Bill!$R$2)</f>
        <v>20</v>
      </c>
      <c r="I624" s="36">
        <f>'Raw Data'!G626/100</f>
        <v>0</v>
      </c>
      <c r="K624" s="37">
        <f>Bill!$Y624</f>
        <v>46182</v>
      </c>
      <c r="L624" s="38">
        <f>Bill!$AA624*('Raw Data'!$E626+$L$2)</f>
        <v>0</v>
      </c>
      <c r="M624" s="38">
        <f>Bill!$AB624*('Raw Data'!$E626+$M$2)</f>
        <v>0</v>
      </c>
      <c r="N624" s="38">
        <f>(('Raw Data'!$F626 * 2)-10)*Bill!$AC624</f>
        <v>0</v>
      </c>
      <c r="O624" s="38">
        <f>('Raw Data'!F626+Bill!$O$2)*Bill!$AD624</f>
        <v>0</v>
      </c>
      <c r="P624" s="38">
        <f>('Raw Data'!F626+Bill!$P$2)*Bill!$AE624</f>
        <v>0</v>
      </c>
      <c r="Q624" s="38">
        <f>Bill!$Z624*('Raw Data'!$E626+$Q$2)</f>
        <v>0</v>
      </c>
      <c r="R624" s="38">
        <f>('Raw Data'!F626+Bill!$R$2)*Bill!$AF624</f>
        <v>0</v>
      </c>
      <c r="S624" s="48">
        <f>('Raw Data'!G626/100)*Bill!$AG624</f>
        <v>0</v>
      </c>
      <c r="T624" s="38">
        <f>SUM(Bill!$L624:$R624)</f>
        <v>0</v>
      </c>
      <c r="U624" s="53"/>
      <c r="V624" s="50"/>
      <c r="W624" s="38">
        <f>Bill!$U624-Bill!$T624</f>
        <v>0</v>
      </c>
      <c r="Y624" s="37">
        <f>'Raw Data'!D626</f>
        <v>46182</v>
      </c>
      <c r="Z624" s="47">
        <v>0.0</v>
      </c>
      <c r="AA624" s="47"/>
      <c r="AB624" s="47"/>
      <c r="AC624" s="47"/>
      <c r="AD624" s="47"/>
      <c r="AE624" s="47"/>
      <c r="AF624" s="47"/>
      <c r="AG624" s="47"/>
    </row>
    <row r="625" ht="15.75" customHeight="1">
      <c r="A625" s="35">
        <f>Bill!$Y625</f>
        <v>46183</v>
      </c>
      <c r="B625" s="43">
        <f>'Raw Data'!E627+Bill!$L$2</f>
        <v>20</v>
      </c>
      <c r="C625" s="43">
        <f>'Raw Data'!E627+Bill!$M$2</f>
        <v>25</v>
      </c>
      <c r="D625" s="43">
        <f>('Raw Data'!$F627*2)-10</f>
        <v>-10</v>
      </c>
      <c r="E625" s="43">
        <f>'Raw Data'!F627+Bill!$O$2</f>
        <v>20</v>
      </c>
      <c r="F625" s="43">
        <f>'Raw Data'!F627+Bill!$P$2</f>
        <v>25</v>
      </c>
      <c r="G625" s="43">
        <f>'Raw Data'!E627+Bill!$Q$2</f>
        <v>50</v>
      </c>
      <c r="H625" s="43">
        <f>('Raw Data'!F627+Bill!$R$2)</f>
        <v>20</v>
      </c>
      <c r="I625" s="36">
        <f>'Raw Data'!G627/100</f>
        <v>0</v>
      </c>
      <c r="K625" s="37">
        <f>Bill!$Y625</f>
        <v>46183</v>
      </c>
      <c r="L625" s="38">
        <f>Bill!$AA625*('Raw Data'!$E627+$L$2)</f>
        <v>0</v>
      </c>
      <c r="M625" s="38">
        <f>Bill!$AB625*('Raw Data'!$E627+$M$2)</f>
        <v>0</v>
      </c>
      <c r="N625" s="38">
        <f>(('Raw Data'!$F627 * 2)-10)*Bill!$AC625</f>
        <v>0</v>
      </c>
      <c r="O625" s="38">
        <f>('Raw Data'!F627+Bill!$O$2)*Bill!$AD625</f>
        <v>0</v>
      </c>
      <c r="P625" s="38">
        <f>('Raw Data'!F627+Bill!$P$2)*Bill!$AE625</f>
        <v>0</v>
      </c>
      <c r="Q625" s="38">
        <f>Bill!$Z625*('Raw Data'!$E627+$Q$2)</f>
        <v>0</v>
      </c>
      <c r="R625" s="38">
        <f>('Raw Data'!F627+Bill!$R$2)*Bill!$AF625</f>
        <v>0</v>
      </c>
      <c r="S625" s="48">
        <f>('Raw Data'!G627/100)*Bill!$AG625</f>
        <v>0</v>
      </c>
      <c r="T625" s="38">
        <f>SUM(Bill!$L625:$R625)</f>
        <v>0</v>
      </c>
      <c r="U625" s="53"/>
      <c r="V625" s="50"/>
      <c r="W625" s="38">
        <f>Bill!$U625-Bill!$T625</f>
        <v>0</v>
      </c>
      <c r="Y625" s="37">
        <f>'Raw Data'!D627</f>
        <v>46183</v>
      </c>
      <c r="Z625" s="47">
        <v>0.0</v>
      </c>
      <c r="AA625" s="47"/>
      <c r="AB625" s="47"/>
      <c r="AC625" s="47"/>
      <c r="AD625" s="47"/>
      <c r="AE625" s="47"/>
      <c r="AF625" s="47"/>
      <c r="AG625" s="47"/>
    </row>
    <row r="626" ht="15.75" customHeight="1">
      <c r="A626" s="35">
        <f>Bill!$Y626</f>
        <v>46184</v>
      </c>
      <c r="B626" s="43">
        <f>'Raw Data'!E628+Bill!$L$2</f>
        <v>20</v>
      </c>
      <c r="C626" s="43">
        <f>'Raw Data'!E628+Bill!$M$2</f>
        <v>25</v>
      </c>
      <c r="D626" s="43">
        <f>('Raw Data'!$F628*2)-10</f>
        <v>-10</v>
      </c>
      <c r="E626" s="43">
        <f>'Raw Data'!F628+Bill!$O$2</f>
        <v>20</v>
      </c>
      <c r="F626" s="43">
        <f>'Raw Data'!F628+Bill!$P$2</f>
        <v>25</v>
      </c>
      <c r="G626" s="43">
        <f>'Raw Data'!E628+Bill!$Q$2</f>
        <v>50</v>
      </c>
      <c r="H626" s="43">
        <f>('Raw Data'!F628+Bill!$R$2)</f>
        <v>20</v>
      </c>
      <c r="I626" s="36">
        <f>'Raw Data'!G628/100</f>
        <v>0</v>
      </c>
      <c r="K626" s="37">
        <f>Bill!$Y626</f>
        <v>46184</v>
      </c>
      <c r="L626" s="38">
        <f>Bill!$AA626*('Raw Data'!$E628+$L$2)</f>
        <v>0</v>
      </c>
      <c r="M626" s="38">
        <f>Bill!$AB626*('Raw Data'!$E628+$M$2)</f>
        <v>0</v>
      </c>
      <c r="N626" s="38">
        <f>(('Raw Data'!$F628 * 2)-10)*Bill!$AC626</f>
        <v>0</v>
      </c>
      <c r="O626" s="38">
        <f>('Raw Data'!F628+Bill!$O$2)*Bill!$AD626</f>
        <v>0</v>
      </c>
      <c r="P626" s="38">
        <f>('Raw Data'!F628+Bill!$P$2)*Bill!$AE626</f>
        <v>0</v>
      </c>
      <c r="Q626" s="38">
        <f>Bill!$Z626*('Raw Data'!$E628+$Q$2)</f>
        <v>0</v>
      </c>
      <c r="R626" s="38">
        <f>('Raw Data'!F628+Bill!$R$2)*Bill!$AF626</f>
        <v>0</v>
      </c>
      <c r="S626" s="48">
        <f>('Raw Data'!G628/100)*Bill!$AG626</f>
        <v>0</v>
      </c>
      <c r="T626" s="38">
        <f>SUM(Bill!$L626:$R626)</f>
        <v>0</v>
      </c>
      <c r="U626" s="53"/>
      <c r="V626" s="50"/>
      <c r="W626" s="38">
        <f>Bill!$U626-Bill!$T626</f>
        <v>0</v>
      </c>
      <c r="Y626" s="37">
        <f>'Raw Data'!D628</f>
        <v>46184</v>
      </c>
      <c r="Z626" s="47">
        <v>0.0</v>
      </c>
      <c r="AA626" s="47"/>
      <c r="AB626" s="47"/>
      <c r="AC626" s="47"/>
      <c r="AD626" s="47"/>
      <c r="AE626" s="47"/>
      <c r="AF626" s="47"/>
      <c r="AG626" s="47"/>
    </row>
    <row r="627" ht="15.75" customHeight="1">
      <c r="A627" s="35">
        <f>Bill!$Y627</f>
        <v>46185</v>
      </c>
      <c r="B627" s="43">
        <f>'Raw Data'!E629+Bill!$L$2</f>
        <v>20</v>
      </c>
      <c r="C627" s="43">
        <f>'Raw Data'!E629+Bill!$M$2</f>
        <v>25</v>
      </c>
      <c r="D627" s="43">
        <f>('Raw Data'!$F629*2)-10</f>
        <v>-10</v>
      </c>
      <c r="E627" s="43">
        <f>'Raw Data'!F629+Bill!$O$2</f>
        <v>20</v>
      </c>
      <c r="F627" s="43">
        <f>'Raw Data'!F629+Bill!$P$2</f>
        <v>25</v>
      </c>
      <c r="G627" s="43">
        <f>'Raw Data'!E629+Bill!$Q$2</f>
        <v>50</v>
      </c>
      <c r="H627" s="43">
        <f>('Raw Data'!F629+Bill!$R$2)</f>
        <v>20</v>
      </c>
      <c r="I627" s="36">
        <f>'Raw Data'!G629/100</f>
        <v>0</v>
      </c>
      <c r="K627" s="37">
        <f>Bill!$Y627</f>
        <v>46185</v>
      </c>
      <c r="L627" s="38">
        <f>Bill!$AA627*('Raw Data'!$E629+$L$2)</f>
        <v>0</v>
      </c>
      <c r="M627" s="38">
        <f>Bill!$AB627*('Raw Data'!$E629+$M$2)</f>
        <v>0</v>
      </c>
      <c r="N627" s="38">
        <f>(('Raw Data'!$F629 * 2)-10)*Bill!$AC627</f>
        <v>0</v>
      </c>
      <c r="O627" s="38">
        <f>('Raw Data'!F629+Bill!$O$2)*Bill!$AD627</f>
        <v>0</v>
      </c>
      <c r="P627" s="38">
        <f>('Raw Data'!F629+Bill!$P$2)*Bill!$AE627</f>
        <v>0</v>
      </c>
      <c r="Q627" s="38">
        <f>Bill!$Z627*('Raw Data'!$E629+$Q$2)</f>
        <v>0</v>
      </c>
      <c r="R627" s="38">
        <f>('Raw Data'!F629+Bill!$R$2)*Bill!$AF627</f>
        <v>0</v>
      </c>
      <c r="S627" s="48">
        <f>('Raw Data'!G629/100)*Bill!$AG627</f>
        <v>0</v>
      </c>
      <c r="T627" s="38">
        <f>SUM(Bill!$L627:$R627)</f>
        <v>0</v>
      </c>
      <c r="U627" s="53"/>
      <c r="V627" s="50"/>
      <c r="W627" s="38">
        <f>Bill!$U627-Bill!$T627</f>
        <v>0</v>
      </c>
      <c r="Y627" s="37">
        <f>'Raw Data'!D629</f>
        <v>46185</v>
      </c>
      <c r="Z627" s="47">
        <v>0.0</v>
      </c>
      <c r="AA627" s="47"/>
      <c r="AB627" s="47"/>
      <c r="AC627" s="47"/>
      <c r="AD627" s="47"/>
      <c r="AE627" s="47"/>
      <c r="AF627" s="47"/>
      <c r="AG627" s="47"/>
    </row>
    <row r="628" ht="15.75" customHeight="1">
      <c r="A628" s="35">
        <f>Bill!$Y628</f>
        <v>46186</v>
      </c>
      <c r="B628" s="43">
        <f>'Raw Data'!E630+Bill!$L$2</f>
        <v>20</v>
      </c>
      <c r="C628" s="43">
        <f>'Raw Data'!E630+Bill!$M$2</f>
        <v>25</v>
      </c>
      <c r="D628" s="43">
        <f>('Raw Data'!$F630*2)-10</f>
        <v>-10</v>
      </c>
      <c r="E628" s="43">
        <f>'Raw Data'!F630+Bill!$O$2</f>
        <v>20</v>
      </c>
      <c r="F628" s="43">
        <f>'Raw Data'!F630+Bill!$P$2</f>
        <v>25</v>
      </c>
      <c r="G628" s="43">
        <f>'Raw Data'!E630+Bill!$Q$2</f>
        <v>50</v>
      </c>
      <c r="H628" s="43">
        <f>('Raw Data'!F630+Bill!$R$2)</f>
        <v>20</v>
      </c>
      <c r="I628" s="36">
        <f>'Raw Data'!G630/100</f>
        <v>0</v>
      </c>
      <c r="K628" s="37">
        <f>Bill!$Y628</f>
        <v>46186</v>
      </c>
      <c r="L628" s="38">
        <f>Bill!$AA628*('Raw Data'!$E630+$L$2)</f>
        <v>0</v>
      </c>
      <c r="M628" s="38">
        <f>Bill!$AB628*('Raw Data'!$E630+$M$2)</f>
        <v>0</v>
      </c>
      <c r="N628" s="38">
        <f>(('Raw Data'!$F630 * 2)-10)*Bill!$AC628</f>
        <v>0</v>
      </c>
      <c r="O628" s="38">
        <f>('Raw Data'!F630+Bill!$O$2)*Bill!$AD628</f>
        <v>0</v>
      </c>
      <c r="P628" s="38">
        <f>('Raw Data'!F630+Bill!$P$2)*Bill!$AE628</f>
        <v>0</v>
      </c>
      <c r="Q628" s="38">
        <f>Bill!$Z628*('Raw Data'!$E630+$Q$2)</f>
        <v>0</v>
      </c>
      <c r="R628" s="38">
        <f>('Raw Data'!F630+Bill!$R$2)*Bill!$AF628</f>
        <v>0</v>
      </c>
      <c r="S628" s="48">
        <f>('Raw Data'!G630/100)*Bill!$AG628</f>
        <v>0</v>
      </c>
      <c r="T628" s="38">
        <f>SUM(Bill!$L628:$R628)</f>
        <v>0</v>
      </c>
      <c r="U628" s="53"/>
      <c r="V628" s="50"/>
      <c r="W628" s="38">
        <f>Bill!$U628-Bill!$T628</f>
        <v>0</v>
      </c>
      <c r="Y628" s="37">
        <f>'Raw Data'!D630</f>
        <v>46186</v>
      </c>
      <c r="Z628" s="47">
        <v>0.0</v>
      </c>
      <c r="AA628" s="47"/>
      <c r="AB628" s="47"/>
      <c r="AC628" s="47"/>
      <c r="AD628" s="47"/>
      <c r="AE628" s="47"/>
      <c r="AF628" s="47"/>
      <c r="AG628" s="47"/>
    </row>
    <row r="629" ht="15.75" customHeight="1">
      <c r="A629" s="35">
        <f>Bill!$Y629</f>
        <v>46187</v>
      </c>
      <c r="B629" s="43">
        <f>'Raw Data'!E631+Bill!$L$2</f>
        <v>20</v>
      </c>
      <c r="C629" s="43">
        <f>'Raw Data'!E631+Bill!$M$2</f>
        <v>25</v>
      </c>
      <c r="D629" s="43">
        <f>('Raw Data'!$F631*2)-10</f>
        <v>-10</v>
      </c>
      <c r="E629" s="43">
        <f>'Raw Data'!F631+Bill!$O$2</f>
        <v>20</v>
      </c>
      <c r="F629" s="43">
        <f>'Raw Data'!F631+Bill!$P$2</f>
        <v>25</v>
      </c>
      <c r="G629" s="43">
        <f>'Raw Data'!E631+Bill!$Q$2</f>
        <v>50</v>
      </c>
      <c r="H629" s="43">
        <f>('Raw Data'!F631+Bill!$R$2)</f>
        <v>20</v>
      </c>
      <c r="I629" s="36">
        <f>'Raw Data'!G631/100</f>
        <v>0</v>
      </c>
      <c r="K629" s="37">
        <f>Bill!$Y629</f>
        <v>46187</v>
      </c>
      <c r="L629" s="38">
        <f>Bill!$AA629*('Raw Data'!$E631+$L$2)</f>
        <v>0</v>
      </c>
      <c r="M629" s="38">
        <f>Bill!$AB629*('Raw Data'!$E631+$M$2)</f>
        <v>0</v>
      </c>
      <c r="N629" s="38">
        <f>(('Raw Data'!$F631 * 2)-10)*Bill!$AC629</f>
        <v>0</v>
      </c>
      <c r="O629" s="38">
        <f>('Raw Data'!F631+Bill!$O$2)*Bill!$AD629</f>
        <v>0</v>
      </c>
      <c r="P629" s="38">
        <f>('Raw Data'!F631+Bill!$P$2)*Bill!$AE629</f>
        <v>0</v>
      </c>
      <c r="Q629" s="38">
        <f>Bill!$Z629*('Raw Data'!$E631+$Q$2)</f>
        <v>0</v>
      </c>
      <c r="R629" s="38">
        <f>('Raw Data'!F631+Bill!$R$2)*Bill!$AF629</f>
        <v>0</v>
      </c>
      <c r="S629" s="48">
        <f>('Raw Data'!G631/100)*Bill!$AG629</f>
        <v>0</v>
      </c>
      <c r="T629" s="38">
        <f>SUM(Bill!$L629:$R629)</f>
        <v>0</v>
      </c>
      <c r="U629" s="53"/>
      <c r="V629" s="50"/>
      <c r="W629" s="38">
        <f>Bill!$U629-Bill!$T629</f>
        <v>0</v>
      </c>
      <c r="Y629" s="37">
        <f>'Raw Data'!D631</f>
        <v>46187</v>
      </c>
      <c r="Z629" s="47">
        <v>0.0</v>
      </c>
      <c r="AA629" s="47"/>
      <c r="AB629" s="47"/>
      <c r="AC629" s="47"/>
      <c r="AD629" s="47"/>
      <c r="AE629" s="47"/>
      <c r="AF629" s="47"/>
      <c r="AG629" s="47"/>
    </row>
    <row r="630" ht="15.75" customHeight="1">
      <c r="A630" s="35">
        <f>Bill!$Y630</f>
        <v>46188</v>
      </c>
      <c r="B630" s="43">
        <f>'Raw Data'!E632+Bill!$L$2</f>
        <v>20</v>
      </c>
      <c r="C630" s="43">
        <f>'Raw Data'!E632+Bill!$M$2</f>
        <v>25</v>
      </c>
      <c r="D630" s="43">
        <f>('Raw Data'!$F632*2)-10</f>
        <v>-10</v>
      </c>
      <c r="E630" s="43">
        <f>'Raw Data'!F632+Bill!$O$2</f>
        <v>20</v>
      </c>
      <c r="F630" s="43">
        <f>'Raw Data'!F632+Bill!$P$2</f>
        <v>25</v>
      </c>
      <c r="G630" s="43">
        <f>'Raw Data'!E632+Bill!$Q$2</f>
        <v>50</v>
      </c>
      <c r="H630" s="43">
        <f>('Raw Data'!F632+Bill!$R$2)</f>
        <v>20</v>
      </c>
      <c r="I630" s="36">
        <f>'Raw Data'!G632/100</f>
        <v>0</v>
      </c>
      <c r="K630" s="37">
        <f>Bill!$Y630</f>
        <v>46188</v>
      </c>
      <c r="L630" s="38">
        <f>Bill!$AA630*('Raw Data'!$E632+$L$2)</f>
        <v>0</v>
      </c>
      <c r="M630" s="38">
        <f>Bill!$AB630*('Raw Data'!$E632+$M$2)</f>
        <v>0</v>
      </c>
      <c r="N630" s="38">
        <f>(('Raw Data'!$F632 * 2)-10)*Bill!$AC630</f>
        <v>0</v>
      </c>
      <c r="O630" s="38">
        <f>('Raw Data'!F632+Bill!$O$2)*Bill!$AD630</f>
        <v>0</v>
      </c>
      <c r="P630" s="38">
        <f>('Raw Data'!F632+Bill!$P$2)*Bill!$AE630</f>
        <v>0</v>
      </c>
      <c r="Q630" s="38">
        <f>Bill!$Z630*('Raw Data'!$E632+$Q$2)</f>
        <v>0</v>
      </c>
      <c r="R630" s="38">
        <f>('Raw Data'!F632+Bill!$R$2)*Bill!$AF630</f>
        <v>0</v>
      </c>
      <c r="S630" s="48">
        <f>('Raw Data'!G632/100)*Bill!$AG630</f>
        <v>0</v>
      </c>
      <c r="T630" s="38">
        <f>SUM(Bill!$L630:$R630)</f>
        <v>0</v>
      </c>
      <c r="U630" s="53"/>
      <c r="V630" s="50"/>
      <c r="W630" s="38">
        <f>Bill!$U630-Bill!$T630</f>
        <v>0</v>
      </c>
      <c r="Y630" s="37">
        <f>'Raw Data'!D632</f>
        <v>46188</v>
      </c>
      <c r="Z630" s="47">
        <v>0.0</v>
      </c>
      <c r="AA630" s="47"/>
      <c r="AB630" s="47"/>
      <c r="AC630" s="47"/>
      <c r="AD630" s="47"/>
      <c r="AE630" s="47"/>
      <c r="AF630" s="47"/>
      <c r="AG630" s="47"/>
    </row>
    <row r="631" ht="15.75" customHeight="1">
      <c r="A631" s="35">
        <f>Bill!$Y631</f>
        <v>46189</v>
      </c>
      <c r="B631" s="43">
        <f>'Raw Data'!E633+Bill!$L$2</f>
        <v>20</v>
      </c>
      <c r="C631" s="43">
        <f>'Raw Data'!E633+Bill!$M$2</f>
        <v>25</v>
      </c>
      <c r="D631" s="43">
        <f>('Raw Data'!$F633*2)-10</f>
        <v>-10</v>
      </c>
      <c r="E631" s="43">
        <f>'Raw Data'!F633+Bill!$O$2</f>
        <v>20</v>
      </c>
      <c r="F631" s="43">
        <f>'Raw Data'!F633+Bill!$P$2</f>
        <v>25</v>
      </c>
      <c r="G631" s="43">
        <f>'Raw Data'!E633+Bill!$Q$2</f>
        <v>50</v>
      </c>
      <c r="H631" s="43">
        <f>('Raw Data'!F633+Bill!$R$2)</f>
        <v>20</v>
      </c>
      <c r="I631" s="36">
        <f>'Raw Data'!G633/100</f>
        <v>0</v>
      </c>
      <c r="K631" s="37">
        <f>Bill!$Y631</f>
        <v>46189</v>
      </c>
      <c r="L631" s="38">
        <f>Bill!$AA631*('Raw Data'!$E633+$L$2)</f>
        <v>0</v>
      </c>
      <c r="M631" s="38">
        <f>Bill!$AB631*('Raw Data'!$E633+$M$2)</f>
        <v>0</v>
      </c>
      <c r="N631" s="38">
        <f>(('Raw Data'!$F633 * 2)-10)*Bill!$AC631</f>
        <v>0</v>
      </c>
      <c r="O631" s="38">
        <f>('Raw Data'!F633+Bill!$O$2)*Bill!$AD631</f>
        <v>0</v>
      </c>
      <c r="P631" s="38">
        <f>('Raw Data'!F633+Bill!$P$2)*Bill!$AE631</f>
        <v>0</v>
      </c>
      <c r="Q631" s="38">
        <f>Bill!$Z631*('Raw Data'!$E633+$Q$2)</f>
        <v>0</v>
      </c>
      <c r="R631" s="38">
        <f>('Raw Data'!F633+Bill!$R$2)*Bill!$AF631</f>
        <v>0</v>
      </c>
      <c r="S631" s="48">
        <f>('Raw Data'!G633/100)*Bill!$AG631</f>
        <v>0</v>
      </c>
      <c r="T631" s="38">
        <f>SUM(Bill!$L631:$R631)</f>
        <v>0</v>
      </c>
      <c r="U631" s="53"/>
      <c r="V631" s="50"/>
      <c r="W631" s="38">
        <f>Bill!$U631-Bill!$T631</f>
        <v>0</v>
      </c>
      <c r="Y631" s="37">
        <f>'Raw Data'!D633</f>
        <v>46189</v>
      </c>
      <c r="Z631" s="47">
        <v>0.0</v>
      </c>
      <c r="AA631" s="47"/>
      <c r="AB631" s="47"/>
      <c r="AC631" s="47"/>
      <c r="AD631" s="47"/>
      <c r="AE631" s="47"/>
      <c r="AF631" s="47"/>
      <c r="AG631" s="47"/>
    </row>
    <row r="632" ht="15.75" customHeight="1">
      <c r="A632" s="35">
        <f>Bill!$Y632</f>
        <v>46190</v>
      </c>
      <c r="B632" s="43">
        <f>'Raw Data'!E634+Bill!$L$2</f>
        <v>20</v>
      </c>
      <c r="C632" s="43">
        <f>'Raw Data'!E634+Bill!$M$2</f>
        <v>25</v>
      </c>
      <c r="D632" s="43">
        <f>('Raw Data'!$F634*2)-10</f>
        <v>-10</v>
      </c>
      <c r="E632" s="43">
        <f>'Raw Data'!F634+Bill!$O$2</f>
        <v>20</v>
      </c>
      <c r="F632" s="43">
        <f>'Raw Data'!F634+Bill!$P$2</f>
        <v>25</v>
      </c>
      <c r="G632" s="43">
        <f>'Raw Data'!E634+Bill!$Q$2</f>
        <v>50</v>
      </c>
      <c r="H632" s="43">
        <f>('Raw Data'!F634+Bill!$R$2)</f>
        <v>20</v>
      </c>
      <c r="I632" s="36">
        <f>'Raw Data'!G634/100</f>
        <v>0</v>
      </c>
      <c r="K632" s="37">
        <f>Bill!$Y632</f>
        <v>46190</v>
      </c>
      <c r="L632" s="38">
        <f>Bill!$AA632*('Raw Data'!$E634+$L$2)</f>
        <v>0</v>
      </c>
      <c r="M632" s="38">
        <f>Bill!$AB632*('Raw Data'!$E634+$M$2)</f>
        <v>0</v>
      </c>
      <c r="N632" s="38">
        <f>(('Raw Data'!$F634 * 2)-10)*Bill!$AC632</f>
        <v>0</v>
      </c>
      <c r="O632" s="38">
        <f>('Raw Data'!F634+Bill!$O$2)*Bill!$AD632</f>
        <v>0</v>
      </c>
      <c r="P632" s="38">
        <f>('Raw Data'!F634+Bill!$P$2)*Bill!$AE632</f>
        <v>0</v>
      </c>
      <c r="Q632" s="38">
        <f>Bill!$Z632*('Raw Data'!$E634+$Q$2)</f>
        <v>0</v>
      </c>
      <c r="R632" s="38">
        <f>('Raw Data'!F634+Bill!$R$2)*Bill!$AF632</f>
        <v>0</v>
      </c>
      <c r="S632" s="48">
        <f>('Raw Data'!G634/100)*Bill!$AG632</f>
        <v>0</v>
      </c>
      <c r="T632" s="38">
        <f>SUM(Bill!$L632:$R632)</f>
        <v>0</v>
      </c>
      <c r="U632" s="53"/>
      <c r="V632" s="50"/>
      <c r="W632" s="38">
        <f>Bill!$U632-Bill!$T632</f>
        <v>0</v>
      </c>
      <c r="Y632" s="37">
        <f>'Raw Data'!D634</f>
        <v>46190</v>
      </c>
      <c r="Z632" s="47">
        <v>0.0</v>
      </c>
      <c r="AA632" s="47"/>
      <c r="AB632" s="47"/>
      <c r="AC632" s="47"/>
      <c r="AD632" s="47"/>
      <c r="AE632" s="47"/>
      <c r="AF632" s="47"/>
      <c r="AG632" s="47"/>
    </row>
    <row r="633" ht="15.75" customHeight="1">
      <c r="A633" s="35">
        <f>Bill!$Y633</f>
        <v>46191</v>
      </c>
      <c r="B633" s="43">
        <f>'Raw Data'!E635+Bill!$L$2</f>
        <v>20</v>
      </c>
      <c r="C633" s="43">
        <f>'Raw Data'!E635+Bill!$M$2</f>
        <v>25</v>
      </c>
      <c r="D633" s="43">
        <f>('Raw Data'!$F635*2)-10</f>
        <v>-10</v>
      </c>
      <c r="E633" s="43">
        <f>'Raw Data'!F635+Bill!$O$2</f>
        <v>20</v>
      </c>
      <c r="F633" s="43">
        <f>'Raw Data'!F635+Bill!$P$2</f>
        <v>25</v>
      </c>
      <c r="G633" s="43">
        <f>'Raw Data'!E635+Bill!$Q$2</f>
        <v>50</v>
      </c>
      <c r="H633" s="43">
        <f>('Raw Data'!F635+Bill!$R$2)</f>
        <v>20</v>
      </c>
      <c r="I633" s="36">
        <f>'Raw Data'!G635/100</f>
        <v>0</v>
      </c>
      <c r="K633" s="37">
        <f>Bill!$Y633</f>
        <v>46191</v>
      </c>
      <c r="L633" s="38">
        <f>Bill!$AA633*('Raw Data'!$E635+$L$2)</f>
        <v>0</v>
      </c>
      <c r="M633" s="38">
        <f>Bill!$AB633*('Raw Data'!$E635+$M$2)</f>
        <v>0</v>
      </c>
      <c r="N633" s="38">
        <f>(('Raw Data'!$F635 * 2)-10)*Bill!$AC633</f>
        <v>0</v>
      </c>
      <c r="O633" s="38">
        <f>('Raw Data'!F635+Bill!$O$2)*Bill!$AD633</f>
        <v>0</v>
      </c>
      <c r="P633" s="38">
        <f>('Raw Data'!F635+Bill!$P$2)*Bill!$AE633</f>
        <v>0</v>
      </c>
      <c r="Q633" s="38">
        <f>Bill!$Z633*('Raw Data'!$E635+$Q$2)</f>
        <v>0</v>
      </c>
      <c r="R633" s="38">
        <f>('Raw Data'!F635+Bill!$R$2)*Bill!$AF633</f>
        <v>0</v>
      </c>
      <c r="S633" s="48">
        <f>('Raw Data'!G635/100)*Bill!$AG633</f>
        <v>0</v>
      </c>
      <c r="T633" s="38">
        <f>SUM(Bill!$L633:$R633)</f>
        <v>0</v>
      </c>
      <c r="U633" s="53"/>
      <c r="V633" s="50"/>
      <c r="W633" s="38">
        <f>Bill!$U633-Bill!$T633</f>
        <v>0</v>
      </c>
      <c r="Y633" s="37">
        <f>'Raw Data'!D635</f>
        <v>46191</v>
      </c>
      <c r="Z633" s="47">
        <v>0.0</v>
      </c>
      <c r="AA633" s="47"/>
      <c r="AB633" s="47"/>
      <c r="AC633" s="47"/>
      <c r="AD633" s="47"/>
      <c r="AE633" s="47"/>
      <c r="AF633" s="47"/>
      <c r="AG633" s="47"/>
    </row>
    <row r="634" ht="15.75" customHeight="1">
      <c r="A634" s="35">
        <f>Bill!$Y634</f>
        <v>46192</v>
      </c>
      <c r="B634" s="43">
        <f>'Raw Data'!E636+Bill!$L$2</f>
        <v>20</v>
      </c>
      <c r="C634" s="43">
        <f>'Raw Data'!E636+Bill!$M$2</f>
        <v>25</v>
      </c>
      <c r="D634" s="43">
        <f>('Raw Data'!$F636*2)-10</f>
        <v>-10</v>
      </c>
      <c r="E634" s="43">
        <f>'Raw Data'!F636+Bill!$O$2</f>
        <v>20</v>
      </c>
      <c r="F634" s="43">
        <f>'Raw Data'!F636+Bill!$P$2</f>
        <v>25</v>
      </c>
      <c r="G634" s="43">
        <f>'Raw Data'!E636+Bill!$Q$2</f>
        <v>50</v>
      </c>
      <c r="H634" s="43">
        <f>('Raw Data'!F636+Bill!$R$2)</f>
        <v>20</v>
      </c>
      <c r="I634" s="36">
        <f>'Raw Data'!G636/100</f>
        <v>0</v>
      </c>
      <c r="K634" s="37">
        <f>Bill!$Y634</f>
        <v>46192</v>
      </c>
      <c r="L634" s="38">
        <f>Bill!$AA634*('Raw Data'!$E636+$L$2)</f>
        <v>0</v>
      </c>
      <c r="M634" s="38">
        <f>Bill!$AB634*('Raw Data'!$E636+$M$2)</f>
        <v>0</v>
      </c>
      <c r="N634" s="38">
        <f>(('Raw Data'!$F636 * 2)-10)*Bill!$AC634</f>
        <v>0</v>
      </c>
      <c r="O634" s="38">
        <f>('Raw Data'!F636+Bill!$O$2)*Bill!$AD634</f>
        <v>0</v>
      </c>
      <c r="P634" s="38">
        <f>('Raw Data'!F636+Bill!$P$2)*Bill!$AE634</f>
        <v>0</v>
      </c>
      <c r="Q634" s="38">
        <f>Bill!$Z634*('Raw Data'!$E636+$Q$2)</f>
        <v>0</v>
      </c>
      <c r="R634" s="38">
        <f>('Raw Data'!F636+Bill!$R$2)*Bill!$AF634</f>
        <v>0</v>
      </c>
      <c r="S634" s="48">
        <f>('Raw Data'!G636/100)*Bill!$AG634</f>
        <v>0</v>
      </c>
      <c r="T634" s="38">
        <f>SUM(Bill!$L634:$R634)</f>
        <v>0</v>
      </c>
      <c r="U634" s="53"/>
      <c r="V634" s="50"/>
      <c r="W634" s="38">
        <f>Bill!$U634-Bill!$T634</f>
        <v>0</v>
      </c>
      <c r="Y634" s="37">
        <f>'Raw Data'!D636</f>
        <v>46192</v>
      </c>
      <c r="Z634" s="47">
        <v>0.0</v>
      </c>
      <c r="AA634" s="47"/>
      <c r="AB634" s="47"/>
      <c r="AC634" s="47"/>
      <c r="AD634" s="47"/>
      <c r="AE634" s="47"/>
      <c r="AF634" s="47"/>
      <c r="AG634" s="47"/>
    </row>
    <row r="635" ht="15.75" customHeight="1">
      <c r="A635" s="35">
        <f>Bill!$Y635</f>
        <v>46193</v>
      </c>
      <c r="B635" s="43">
        <f>'Raw Data'!E637+Bill!$L$2</f>
        <v>20</v>
      </c>
      <c r="C635" s="43">
        <f>'Raw Data'!E637+Bill!$M$2</f>
        <v>25</v>
      </c>
      <c r="D635" s="43">
        <f>('Raw Data'!$F637*2)-10</f>
        <v>-10</v>
      </c>
      <c r="E635" s="43">
        <f>'Raw Data'!F637+Bill!$O$2</f>
        <v>20</v>
      </c>
      <c r="F635" s="43">
        <f>'Raw Data'!F637+Bill!$P$2</f>
        <v>25</v>
      </c>
      <c r="G635" s="43">
        <f>'Raw Data'!E637+Bill!$Q$2</f>
        <v>50</v>
      </c>
      <c r="H635" s="43">
        <f>('Raw Data'!F637+Bill!$R$2)</f>
        <v>20</v>
      </c>
      <c r="I635" s="36">
        <f>'Raw Data'!G637/100</f>
        <v>0</v>
      </c>
      <c r="K635" s="37">
        <f>Bill!$Y635</f>
        <v>46193</v>
      </c>
      <c r="L635" s="38">
        <f>Bill!$AA635*('Raw Data'!$E637+$L$2)</f>
        <v>0</v>
      </c>
      <c r="M635" s="38">
        <f>Bill!$AB635*('Raw Data'!$E637+$M$2)</f>
        <v>0</v>
      </c>
      <c r="N635" s="38">
        <f>(('Raw Data'!$F637 * 2)-10)*Bill!$AC635</f>
        <v>0</v>
      </c>
      <c r="O635" s="38">
        <f>('Raw Data'!F637+Bill!$O$2)*Bill!$AD635</f>
        <v>0</v>
      </c>
      <c r="P635" s="38">
        <f>('Raw Data'!F637+Bill!$P$2)*Bill!$AE635</f>
        <v>0</v>
      </c>
      <c r="Q635" s="38">
        <f>Bill!$Z635*('Raw Data'!$E637+$Q$2)</f>
        <v>0</v>
      </c>
      <c r="R635" s="38">
        <f>('Raw Data'!F637+Bill!$R$2)*Bill!$AF635</f>
        <v>0</v>
      </c>
      <c r="S635" s="48">
        <f>('Raw Data'!G637/100)*Bill!$AG635</f>
        <v>0</v>
      </c>
      <c r="T635" s="38">
        <f>SUM(Bill!$L635:$R635)</f>
        <v>0</v>
      </c>
      <c r="U635" s="53"/>
      <c r="V635" s="50"/>
      <c r="W635" s="38">
        <f>Bill!$U635-Bill!$T635</f>
        <v>0</v>
      </c>
      <c r="Y635" s="37">
        <f>'Raw Data'!D637</f>
        <v>46193</v>
      </c>
      <c r="Z635" s="47">
        <v>0.0</v>
      </c>
      <c r="AA635" s="47"/>
      <c r="AB635" s="47"/>
      <c r="AC635" s="47"/>
      <c r="AD635" s="47"/>
      <c r="AE635" s="47"/>
      <c r="AF635" s="47"/>
      <c r="AG635" s="47"/>
    </row>
    <row r="636" ht="15.75" customHeight="1">
      <c r="A636" s="35">
        <f>Bill!$Y636</f>
        <v>46194</v>
      </c>
      <c r="B636" s="43">
        <f>'Raw Data'!E638+Bill!$L$2</f>
        <v>20</v>
      </c>
      <c r="C636" s="43">
        <f>'Raw Data'!E638+Bill!$M$2</f>
        <v>25</v>
      </c>
      <c r="D636" s="43">
        <f>('Raw Data'!$F638*2)-10</f>
        <v>-10</v>
      </c>
      <c r="E636" s="43">
        <f>'Raw Data'!F638+Bill!$O$2</f>
        <v>20</v>
      </c>
      <c r="F636" s="43">
        <f>'Raw Data'!F638+Bill!$P$2</f>
        <v>25</v>
      </c>
      <c r="G636" s="43">
        <f>'Raw Data'!E638+Bill!$Q$2</f>
        <v>50</v>
      </c>
      <c r="H636" s="43">
        <f>('Raw Data'!F638+Bill!$R$2)</f>
        <v>20</v>
      </c>
      <c r="I636" s="36">
        <f>'Raw Data'!G638/100</f>
        <v>0</v>
      </c>
      <c r="K636" s="37">
        <f>Bill!$Y636</f>
        <v>46194</v>
      </c>
      <c r="L636" s="38">
        <f>Bill!$AA636*('Raw Data'!$E638+$L$2)</f>
        <v>0</v>
      </c>
      <c r="M636" s="38">
        <f>Bill!$AB636*('Raw Data'!$E638+$M$2)</f>
        <v>0</v>
      </c>
      <c r="N636" s="38">
        <f>(('Raw Data'!$F638 * 2)-10)*Bill!$AC636</f>
        <v>0</v>
      </c>
      <c r="O636" s="38">
        <f>('Raw Data'!F638+Bill!$O$2)*Bill!$AD636</f>
        <v>0</v>
      </c>
      <c r="P636" s="38">
        <f>('Raw Data'!F638+Bill!$P$2)*Bill!$AE636</f>
        <v>0</v>
      </c>
      <c r="Q636" s="38">
        <f>Bill!$Z636*('Raw Data'!$E638+$Q$2)</f>
        <v>0</v>
      </c>
      <c r="R636" s="38">
        <f>('Raw Data'!F638+Bill!$R$2)*Bill!$AF636</f>
        <v>0</v>
      </c>
      <c r="S636" s="48">
        <f>('Raw Data'!G638/100)*Bill!$AG636</f>
        <v>0</v>
      </c>
      <c r="T636" s="38">
        <f>SUM(Bill!$L636:$R636)</f>
        <v>0</v>
      </c>
      <c r="U636" s="53"/>
      <c r="V636" s="50"/>
      <c r="W636" s="38">
        <f>Bill!$U636-Bill!$T636</f>
        <v>0</v>
      </c>
      <c r="Y636" s="37">
        <f>'Raw Data'!D638</f>
        <v>46194</v>
      </c>
      <c r="Z636" s="47">
        <v>0.0</v>
      </c>
      <c r="AA636" s="47"/>
      <c r="AB636" s="47"/>
      <c r="AC636" s="47"/>
      <c r="AD636" s="47"/>
      <c r="AE636" s="47"/>
      <c r="AF636" s="47"/>
      <c r="AG636" s="47"/>
    </row>
    <row r="637" ht="15.75" customHeight="1">
      <c r="A637" s="35">
        <f>Bill!$Y637</f>
        <v>46195</v>
      </c>
      <c r="B637" s="43">
        <f>'Raw Data'!E639+Bill!$L$2</f>
        <v>20</v>
      </c>
      <c r="C637" s="43">
        <f>'Raw Data'!E639+Bill!$M$2</f>
        <v>25</v>
      </c>
      <c r="D637" s="43">
        <f>('Raw Data'!$F639*2)-10</f>
        <v>-10</v>
      </c>
      <c r="E637" s="43">
        <f>'Raw Data'!F639+Bill!$O$2</f>
        <v>20</v>
      </c>
      <c r="F637" s="43">
        <f>'Raw Data'!F639+Bill!$P$2</f>
        <v>25</v>
      </c>
      <c r="G637" s="43">
        <f>'Raw Data'!E639+Bill!$Q$2</f>
        <v>50</v>
      </c>
      <c r="H637" s="43">
        <f>('Raw Data'!F639+Bill!$R$2)</f>
        <v>20</v>
      </c>
      <c r="I637" s="36">
        <f>'Raw Data'!G639/100</f>
        <v>0</v>
      </c>
      <c r="K637" s="37">
        <f>Bill!$Y637</f>
        <v>46195</v>
      </c>
      <c r="L637" s="38">
        <f>Bill!$AA637*('Raw Data'!$E639+$L$2)</f>
        <v>0</v>
      </c>
      <c r="M637" s="38">
        <f>Bill!$AB637*('Raw Data'!$E639+$M$2)</f>
        <v>0</v>
      </c>
      <c r="N637" s="38">
        <f>(('Raw Data'!$F639 * 2)-10)*Bill!$AC637</f>
        <v>0</v>
      </c>
      <c r="O637" s="38">
        <f>('Raw Data'!F639+Bill!$O$2)*Bill!$AD637</f>
        <v>0</v>
      </c>
      <c r="P637" s="38">
        <f>('Raw Data'!F639+Bill!$P$2)*Bill!$AE637</f>
        <v>0</v>
      </c>
      <c r="Q637" s="38">
        <f>Bill!$Z637*('Raw Data'!$E639+$Q$2)</f>
        <v>0</v>
      </c>
      <c r="R637" s="38">
        <f>('Raw Data'!F639+Bill!$R$2)*Bill!$AF637</f>
        <v>0</v>
      </c>
      <c r="S637" s="48">
        <f>('Raw Data'!G639/100)*Bill!$AG637</f>
        <v>0</v>
      </c>
      <c r="T637" s="38">
        <f>SUM(Bill!$L637:$R637)</f>
        <v>0</v>
      </c>
      <c r="U637" s="53"/>
      <c r="V637" s="50"/>
      <c r="W637" s="38">
        <f>Bill!$U637-Bill!$T637</f>
        <v>0</v>
      </c>
      <c r="Y637" s="37">
        <f>'Raw Data'!D639</f>
        <v>46195</v>
      </c>
      <c r="Z637" s="47">
        <v>0.0</v>
      </c>
      <c r="AA637" s="47"/>
      <c r="AB637" s="47"/>
      <c r="AC637" s="47"/>
      <c r="AD637" s="47"/>
      <c r="AE637" s="47"/>
      <c r="AF637" s="47"/>
      <c r="AG637" s="47"/>
    </row>
    <row r="638" ht="15.75" customHeight="1">
      <c r="A638" s="35">
        <f>Bill!$Y638</f>
        <v>46196</v>
      </c>
      <c r="B638" s="43">
        <f>'Raw Data'!E640+Bill!$L$2</f>
        <v>20</v>
      </c>
      <c r="C638" s="43">
        <f>'Raw Data'!E640+Bill!$M$2</f>
        <v>25</v>
      </c>
      <c r="D638" s="43">
        <f>('Raw Data'!$F640*2)-10</f>
        <v>-10</v>
      </c>
      <c r="E638" s="43">
        <f>'Raw Data'!F640+Bill!$O$2</f>
        <v>20</v>
      </c>
      <c r="F638" s="43">
        <f>'Raw Data'!F640+Bill!$P$2</f>
        <v>25</v>
      </c>
      <c r="G638" s="43">
        <f>'Raw Data'!E640+Bill!$Q$2</f>
        <v>50</v>
      </c>
      <c r="H638" s="43">
        <f>('Raw Data'!F640+Bill!$R$2)</f>
        <v>20</v>
      </c>
      <c r="I638" s="36">
        <f>'Raw Data'!G640/100</f>
        <v>0</v>
      </c>
      <c r="K638" s="37">
        <f>Bill!$Y638</f>
        <v>46196</v>
      </c>
      <c r="L638" s="38">
        <f>Bill!$AA638*('Raw Data'!$E640+$L$2)</f>
        <v>0</v>
      </c>
      <c r="M638" s="38">
        <f>Bill!$AB638*('Raw Data'!$E640+$M$2)</f>
        <v>0</v>
      </c>
      <c r="N638" s="38">
        <f>(('Raw Data'!$F640 * 2)-10)*Bill!$AC638</f>
        <v>0</v>
      </c>
      <c r="O638" s="38">
        <f>('Raw Data'!F640+Bill!$O$2)*Bill!$AD638</f>
        <v>0</v>
      </c>
      <c r="P638" s="38">
        <f>('Raw Data'!F640+Bill!$P$2)*Bill!$AE638</f>
        <v>0</v>
      </c>
      <c r="Q638" s="38">
        <f>Bill!$Z638*('Raw Data'!$E640+$Q$2)</f>
        <v>0</v>
      </c>
      <c r="R638" s="38">
        <f>('Raw Data'!F640+Bill!$R$2)*Bill!$AF638</f>
        <v>0</v>
      </c>
      <c r="S638" s="48">
        <f>('Raw Data'!G640/100)*Bill!$AG638</f>
        <v>0</v>
      </c>
      <c r="T638" s="38">
        <f>SUM(Bill!$L638:$R638)</f>
        <v>0</v>
      </c>
      <c r="U638" s="53"/>
      <c r="V638" s="50"/>
      <c r="W638" s="38">
        <f>Bill!$U638-Bill!$T638</f>
        <v>0</v>
      </c>
      <c r="Y638" s="37">
        <f>'Raw Data'!D640</f>
        <v>46196</v>
      </c>
      <c r="Z638" s="47">
        <v>0.0</v>
      </c>
      <c r="AA638" s="47"/>
      <c r="AB638" s="47"/>
      <c r="AC638" s="47"/>
      <c r="AD638" s="47"/>
      <c r="AE638" s="47"/>
      <c r="AF638" s="47"/>
      <c r="AG638" s="47"/>
    </row>
    <row r="639" ht="15.75" customHeight="1">
      <c r="A639" s="35">
        <f>Bill!$Y639</f>
        <v>46197</v>
      </c>
      <c r="B639" s="43">
        <f>'Raw Data'!E641+Bill!$L$2</f>
        <v>20</v>
      </c>
      <c r="C639" s="43">
        <f>'Raw Data'!E641+Bill!$M$2</f>
        <v>25</v>
      </c>
      <c r="D639" s="43">
        <f>('Raw Data'!$F641*2)-10</f>
        <v>-10</v>
      </c>
      <c r="E639" s="43">
        <f>'Raw Data'!F641+Bill!$O$2</f>
        <v>20</v>
      </c>
      <c r="F639" s="43">
        <f>'Raw Data'!F641+Bill!$P$2</f>
        <v>25</v>
      </c>
      <c r="G639" s="43">
        <f>'Raw Data'!E641+Bill!$Q$2</f>
        <v>50</v>
      </c>
      <c r="H639" s="43">
        <f>('Raw Data'!F641+Bill!$R$2)</f>
        <v>20</v>
      </c>
      <c r="I639" s="36">
        <f>'Raw Data'!G641/100</f>
        <v>0</v>
      </c>
      <c r="K639" s="37">
        <f>Bill!$Y639</f>
        <v>46197</v>
      </c>
      <c r="L639" s="38">
        <f>Bill!$AA639*('Raw Data'!$E641+$L$2)</f>
        <v>0</v>
      </c>
      <c r="M639" s="38">
        <f>Bill!$AB639*('Raw Data'!$E641+$M$2)</f>
        <v>0</v>
      </c>
      <c r="N639" s="38">
        <f>(('Raw Data'!$F641 * 2)-10)*Bill!$AC639</f>
        <v>0</v>
      </c>
      <c r="O639" s="38">
        <f>('Raw Data'!F641+Bill!$O$2)*Bill!$AD639</f>
        <v>0</v>
      </c>
      <c r="P639" s="38">
        <f>('Raw Data'!F641+Bill!$P$2)*Bill!$AE639</f>
        <v>0</v>
      </c>
      <c r="Q639" s="38">
        <f>Bill!$Z639*('Raw Data'!$E641+$Q$2)</f>
        <v>0</v>
      </c>
      <c r="R639" s="38">
        <f>('Raw Data'!F641+Bill!$R$2)*Bill!$AF639</f>
        <v>0</v>
      </c>
      <c r="S639" s="48">
        <f>('Raw Data'!G641/100)*Bill!$AG639</f>
        <v>0</v>
      </c>
      <c r="T639" s="38">
        <f>SUM(Bill!$L639:$R639)</f>
        <v>0</v>
      </c>
      <c r="U639" s="53"/>
      <c r="V639" s="50"/>
      <c r="W639" s="38">
        <f>Bill!$U639-Bill!$T639</f>
        <v>0</v>
      </c>
      <c r="Y639" s="37">
        <f>'Raw Data'!D641</f>
        <v>46197</v>
      </c>
      <c r="Z639" s="47">
        <v>0.0</v>
      </c>
      <c r="AA639" s="47"/>
      <c r="AB639" s="47"/>
      <c r="AC639" s="47"/>
      <c r="AD639" s="47"/>
      <c r="AE639" s="47"/>
      <c r="AF639" s="47"/>
      <c r="AG639" s="47"/>
    </row>
    <row r="640" ht="15.75" customHeight="1">
      <c r="A640" s="35">
        <f>Bill!$Y640</f>
        <v>46198</v>
      </c>
      <c r="B640" s="43">
        <f>'Raw Data'!E642+Bill!$L$2</f>
        <v>20</v>
      </c>
      <c r="C640" s="43">
        <f>'Raw Data'!E642+Bill!$M$2</f>
        <v>25</v>
      </c>
      <c r="D640" s="43">
        <f>('Raw Data'!$F642*2)-10</f>
        <v>-10</v>
      </c>
      <c r="E640" s="43">
        <f>'Raw Data'!F642+Bill!$O$2</f>
        <v>20</v>
      </c>
      <c r="F640" s="43">
        <f>'Raw Data'!F642+Bill!$P$2</f>
        <v>25</v>
      </c>
      <c r="G640" s="43">
        <f>'Raw Data'!E642+Bill!$Q$2</f>
        <v>50</v>
      </c>
      <c r="H640" s="43">
        <f>('Raw Data'!F642+Bill!$R$2)</f>
        <v>20</v>
      </c>
      <c r="I640" s="36">
        <f>'Raw Data'!G642/100</f>
        <v>0</v>
      </c>
      <c r="K640" s="37">
        <f>Bill!$Y640</f>
        <v>46198</v>
      </c>
      <c r="L640" s="38">
        <f>Bill!$AA640*('Raw Data'!$E642+$L$2)</f>
        <v>0</v>
      </c>
      <c r="M640" s="38">
        <f>Bill!$AB640*('Raw Data'!$E642+$M$2)</f>
        <v>0</v>
      </c>
      <c r="N640" s="38">
        <f>(('Raw Data'!$F642 * 2)-10)*Bill!$AC640</f>
        <v>0</v>
      </c>
      <c r="O640" s="38">
        <f>('Raw Data'!F642+Bill!$O$2)*Bill!$AD640</f>
        <v>0</v>
      </c>
      <c r="P640" s="38">
        <f>('Raw Data'!F642+Bill!$P$2)*Bill!$AE640</f>
        <v>0</v>
      </c>
      <c r="Q640" s="38">
        <f>Bill!$Z640*('Raw Data'!$E642+$Q$2)</f>
        <v>0</v>
      </c>
      <c r="R640" s="38">
        <f>('Raw Data'!F642+Bill!$R$2)*Bill!$AF640</f>
        <v>0</v>
      </c>
      <c r="S640" s="48">
        <f>('Raw Data'!G642/100)*Bill!$AG640</f>
        <v>0</v>
      </c>
      <c r="T640" s="38">
        <f>SUM(Bill!$L640:$R640)</f>
        <v>0</v>
      </c>
      <c r="U640" s="53"/>
      <c r="V640" s="50"/>
      <c r="W640" s="38">
        <f>Bill!$U640-Bill!$T640</f>
        <v>0</v>
      </c>
      <c r="Y640" s="37">
        <f>'Raw Data'!D642</f>
        <v>46198</v>
      </c>
      <c r="Z640" s="47">
        <v>0.0</v>
      </c>
      <c r="AA640" s="47"/>
      <c r="AB640" s="47"/>
      <c r="AC640" s="47"/>
      <c r="AD640" s="47"/>
      <c r="AE640" s="47"/>
      <c r="AF640" s="47"/>
      <c r="AG640" s="47"/>
    </row>
    <row r="641" ht="15.75" customHeight="1">
      <c r="A641" s="35">
        <f>Bill!$Y641</f>
        <v>46199</v>
      </c>
      <c r="B641" s="43">
        <f>'Raw Data'!E643+Bill!$L$2</f>
        <v>20</v>
      </c>
      <c r="C641" s="43">
        <f>'Raw Data'!E643+Bill!$M$2</f>
        <v>25</v>
      </c>
      <c r="D641" s="43">
        <f>('Raw Data'!$F643*2)-10</f>
        <v>-10</v>
      </c>
      <c r="E641" s="43">
        <f>'Raw Data'!F643+Bill!$O$2</f>
        <v>20</v>
      </c>
      <c r="F641" s="43">
        <f>'Raw Data'!F643+Bill!$P$2</f>
        <v>25</v>
      </c>
      <c r="G641" s="43">
        <f>'Raw Data'!E643+Bill!$Q$2</f>
        <v>50</v>
      </c>
      <c r="H641" s="43">
        <f>('Raw Data'!F643+Bill!$R$2)</f>
        <v>20</v>
      </c>
      <c r="I641" s="36">
        <f>'Raw Data'!G643/100</f>
        <v>0</v>
      </c>
      <c r="K641" s="37">
        <f>Bill!$Y641</f>
        <v>46199</v>
      </c>
      <c r="L641" s="38">
        <f>Bill!$AA641*('Raw Data'!$E643+$L$2)</f>
        <v>0</v>
      </c>
      <c r="M641" s="38">
        <f>Bill!$AB641*('Raw Data'!$E643+$M$2)</f>
        <v>0</v>
      </c>
      <c r="N641" s="38">
        <f>(('Raw Data'!$F643 * 2)-10)*Bill!$AC641</f>
        <v>0</v>
      </c>
      <c r="O641" s="38">
        <f>('Raw Data'!F643+Bill!$O$2)*Bill!$AD641</f>
        <v>0</v>
      </c>
      <c r="P641" s="38">
        <f>('Raw Data'!F643+Bill!$P$2)*Bill!$AE641</f>
        <v>0</v>
      </c>
      <c r="Q641" s="38">
        <f>Bill!$Z641*('Raw Data'!$E643+$Q$2)</f>
        <v>0</v>
      </c>
      <c r="R641" s="38">
        <f>('Raw Data'!F643+Bill!$R$2)*Bill!$AF641</f>
        <v>0</v>
      </c>
      <c r="S641" s="48">
        <f>('Raw Data'!G643/100)*Bill!$AG641</f>
        <v>0</v>
      </c>
      <c r="T641" s="38">
        <f>SUM(Bill!$L641:$R641)</f>
        <v>0</v>
      </c>
      <c r="U641" s="53"/>
      <c r="V641" s="50"/>
      <c r="W641" s="38">
        <f>Bill!$U641-Bill!$T641</f>
        <v>0</v>
      </c>
      <c r="Y641" s="37">
        <f>'Raw Data'!D643</f>
        <v>46199</v>
      </c>
      <c r="Z641" s="47">
        <v>0.0</v>
      </c>
      <c r="AA641" s="47"/>
      <c r="AB641" s="47"/>
      <c r="AC641" s="47"/>
      <c r="AD641" s="47"/>
      <c r="AE641" s="47"/>
      <c r="AF641" s="47"/>
      <c r="AG641" s="47"/>
    </row>
    <row r="642" ht="15.75" customHeight="1">
      <c r="A642" s="35">
        <f>Bill!$Y642</f>
        <v>46200</v>
      </c>
      <c r="B642" s="43">
        <f>'Raw Data'!E644+Bill!$L$2</f>
        <v>20</v>
      </c>
      <c r="C642" s="43">
        <f>'Raw Data'!E644+Bill!$M$2</f>
        <v>25</v>
      </c>
      <c r="D642" s="43">
        <f>('Raw Data'!$F644*2)-10</f>
        <v>-10</v>
      </c>
      <c r="E642" s="43">
        <f>'Raw Data'!F644+Bill!$O$2</f>
        <v>20</v>
      </c>
      <c r="F642" s="43">
        <f>'Raw Data'!F644+Bill!$P$2</f>
        <v>25</v>
      </c>
      <c r="G642" s="43">
        <f>'Raw Data'!E644+Bill!$Q$2</f>
        <v>50</v>
      </c>
      <c r="H642" s="43">
        <f>('Raw Data'!F644+Bill!$R$2)</f>
        <v>20</v>
      </c>
      <c r="I642" s="36">
        <f>'Raw Data'!G644/100</f>
        <v>0</v>
      </c>
      <c r="K642" s="37">
        <f>Bill!$Y642</f>
        <v>46200</v>
      </c>
      <c r="L642" s="38">
        <f>Bill!$AA642*('Raw Data'!$E644+$L$2)</f>
        <v>0</v>
      </c>
      <c r="M642" s="38">
        <f>Bill!$AB642*('Raw Data'!$E644+$M$2)</f>
        <v>0</v>
      </c>
      <c r="N642" s="38">
        <f>(('Raw Data'!$F644 * 2)-10)*Bill!$AC642</f>
        <v>0</v>
      </c>
      <c r="O642" s="38">
        <f>('Raw Data'!F644+Bill!$O$2)*Bill!$AD642</f>
        <v>0</v>
      </c>
      <c r="P642" s="38">
        <f>('Raw Data'!F644+Bill!$P$2)*Bill!$AE642</f>
        <v>0</v>
      </c>
      <c r="Q642" s="38">
        <f>Bill!$Z642*('Raw Data'!$E644+$Q$2)</f>
        <v>0</v>
      </c>
      <c r="R642" s="38">
        <f>('Raw Data'!F644+Bill!$R$2)*Bill!$AF642</f>
        <v>0</v>
      </c>
      <c r="S642" s="48">
        <f>('Raw Data'!G644/100)*Bill!$AG642</f>
        <v>0</v>
      </c>
      <c r="T642" s="38">
        <f>SUM(Bill!$L642:$R642)</f>
        <v>0</v>
      </c>
      <c r="U642" s="53"/>
      <c r="V642" s="50"/>
      <c r="W642" s="38">
        <f>Bill!$U642-Bill!$T642</f>
        <v>0</v>
      </c>
      <c r="Y642" s="37">
        <f>'Raw Data'!D644</f>
        <v>46200</v>
      </c>
      <c r="Z642" s="47">
        <v>0.0</v>
      </c>
      <c r="AA642" s="47"/>
      <c r="AB642" s="47"/>
      <c r="AC642" s="47"/>
      <c r="AD642" s="47"/>
      <c r="AE642" s="47"/>
      <c r="AF642" s="47"/>
      <c r="AG642" s="47"/>
    </row>
    <row r="643" ht="15.75" customHeight="1">
      <c r="A643" s="35">
        <f>Bill!$Y643</f>
        <v>46201</v>
      </c>
      <c r="B643" s="43">
        <f>'Raw Data'!E645+Bill!$L$2</f>
        <v>20</v>
      </c>
      <c r="C643" s="43">
        <f>'Raw Data'!E645+Bill!$M$2</f>
        <v>25</v>
      </c>
      <c r="D643" s="43">
        <f>('Raw Data'!$F645*2)-10</f>
        <v>-10</v>
      </c>
      <c r="E643" s="43">
        <f>'Raw Data'!F645+Bill!$O$2</f>
        <v>20</v>
      </c>
      <c r="F643" s="43">
        <f>'Raw Data'!F645+Bill!$P$2</f>
        <v>25</v>
      </c>
      <c r="G643" s="43">
        <f>'Raw Data'!E645+Bill!$Q$2</f>
        <v>50</v>
      </c>
      <c r="H643" s="43">
        <f>('Raw Data'!F645+Bill!$R$2)</f>
        <v>20</v>
      </c>
      <c r="I643" s="36">
        <f>'Raw Data'!G645/100</f>
        <v>0</v>
      </c>
      <c r="K643" s="37">
        <f>Bill!$Y643</f>
        <v>46201</v>
      </c>
      <c r="L643" s="38">
        <f>Bill!$AA643*('Raw Data'!$E645+$L$2)</f>
        <v>0</v>
      </c>
      <c r="M643" s="38">
        <f>Bill!$AB643*('Raw Data'!$E645+$M$2)</f>
        <v>0</v>
      </c>
      <c r="N643" s="38">
        <f>(('Raw Data'!$F645 * 2)-10)*Bill!$AC643</f>
        <v>0</v>
      </c>
      <c r="O643" s="38">
        <f>('Raw Data'!F645+Bill!$O$2)*Bill!$AD643</f>
        <v>0</v>
      </c>
      <c r="P643" s="38">
        <f>('Raw Data'!F645+Bill!$P$2)*Bill!$AE643</f>
        <v>0</v>
      </c>
      <c r="Q643" s="38">
        <f>Bill!$Z643*('Raw Data'!$E645+$Q$2)</f>
        <v>0</v>
      </c>
      <c r="R643" s="38">
        <f>('Raw Data'!F645+Bill!$R$2)*Bill!$AF643</f>
        <v>0</v>
      </c>
      <c r="S643" s="48">
        <f>('Raw Data'!G645/100)*Bill!$AG643</f>
        <v>0</v>
      </c>
      <c r="T643" s="38">
        <f>SUM(Bill!$L643:$R643)</f>
        <v>0</v>
      </c>
      <c r="U643" s="53"/>
      <c r="V643" s="50"/>
      <c r="W643" s="38">
        <f>Bill!$U643-Bill!$T643</f>
        <v>0</v>
      </c>
      <c r="Y643" s="37">
        <f>'Raw Data'!D645</f>
        <v>46201</v>
      </c>
      <c r="Z643" s="47">
        <v>0.0</v>
      </c>
      <c r="AA643" s="47"/>
      <c r="AB643" s="47"/>
      <c r="AC643" s="47"/>
      <c r="AD643" s="47"/>
      <c r="AE643" s="47"/>
      <c r="AF643" s="47"/>
      <c r="AG643" s="47"/>
    </row>
    <row r="644" ht="15.75" customHeight="1">
      <c r="A644" s="35">
        <f>Bill!$Y644</f>
        <v>46202</v>
      </c>
      <c r="B644" s="43">
        <f>'Raw Data'!E646+Bill!$L$2</f>
        <v>20</v>
      </c>
      <c r="C644" s="43">
        <f>'Raw Data'!E646+Bill!$M$2</f>
        <v>25</v>
      </c>
      <c r="D644" s="43">
        <f>('Raw Data'!$F646*2)-10</f>
        <v>-10</v>
      </c>
      <c r="E644" s="43">
        <f>'Raw Data'!F646+Bill!$O$2</f>
        <v>20</v>
      </c>
      <c r="F644" s="43">
        <f>'Raw Data'!F646+Bill!$P$2</f>
        <v>25</v>
      </c>
      <c r="G644" s="43">
        <f>'Raw Data'!E646+Bill!$Q$2</f>
        <v>50</v>
      </c>
      <c r="H644" s="43">
        <f>('Raw Data'!F646+Bill!$R$2)</f>
        <v>20</v>
      </c>
      <c r="I644" s="36">
        <f>'Raw Data'!G646/100</f>
        <v>0</v>
      </c>
      <c r="K644" s="37">
        <f>Bill!$Y644</f>
        <v>46202</v>
      </c>
      <c r="L644" s="38">
        <f>Bill!$AA644*('Raw Data'!$E646+$L$2)</f>
        <v>0</v>
      </c>
      <c r="M644" s="38">
        <f>Bill!$AB644*('Raw Data'!$E646+$M$2)</f>
        <v>0</v>
      </c>
      <c r="N644" s="38">
        <f>(('Raw Data'!$F646 * 2)-10)*Bill!$AC644</f>
        <v>0</v>
      </c>
      <c r="O644" s="38">
        <f>('Raw Data'!F646+Bill!$O$2)*Bill!$AD644</f>
        <v>0</v>
      </c>
      <c r="P644" s="38">
        <f>('Raw Data'!F646+Bill!$P$2)*Bill!$AE644</f>
        <v>0</v>
      </c>
      <c r="Q644" s="38">
        <f>Bill!$Z644*('Raw Data'!$E646+$Q$2)</f>
        <v>0</v>
      </c>
      <c r="R644" s="38">
        <f>('Raw Data'!F646+Bill!$R$2)*Bill!$AF644</f>
        <v>0</v>
      </c>
      <c r="S644" s="48">
        <f>('Raw Data'!G646/100)*Bill!$AG644</f>
        <v>0</v>
      </c>
      <c r="T644" s="38">
        <f>SUM(Bill!$L644:$R644)</f>
        <v>0</v>
      </c>
      <c r="U644" s="53"/>
      <c r="V644" s="50"/>
      <c r="W644" s="38">
        <f>Bill!$U644-Bill!$T644</f>
        <v>0</v>
      </c>
      <c r="Y644" s="37">
        <f>'Raw Data'!D646</f>
        <v>46202</v>
      </c>
      <c r="Z644" s="47">
        <v>0.0</v>
      </c>
      <c r="AA644" s="47"/>
      <c r="AB644" s="47"/>
      <c r="AC644" s="47"/>
      <c r="AD644" s="47"/>
      <c r="AE644" s="47"/>
      <c r="AF644" s="47"/>
      <c r="AG644" s="47"/>
    </row>
    <row r="645" ht="15.75" customHeight="1">
      <c r="A645" s="35">
        <f>Bill!$Y645</f>
        <v>46203</v>
      </c>
      <c r="B645" s="43">
        <f>'Raw Data'!E647+Bill!$L$2</f>
        <v>20</v>
      </c>
      <c r="C645" s="43">
        <f>'Raw Data'!E647+Bill!$M$2</f>
        <v>25</v>
      </c>
      <c r="D645" s="43">
        <f>('Raw Data'!$F647*2)-10</f>
        <v>-10</v>
      </c>
      <c r="E645" s="43">
        <f>'Raw Data'!F647+Bill!$O$2</f>
        <v>20</v>
      </c>
      <c r="F645" s="43">
        <f>'Raw Data'!F647+Bill!$P$2</f>
        <v>25</v>
      </c>
      <c r="G645" s="43">
        <f>'Raw Data'!E647+Bill!$Q$2</f>
        <v>50</v>
      </c>
      <c r="H645" s="43">
        <f>('Raw Data'!F647+Bill!$R$2)</f>
        <v>20</v>
      </c>
      <c r="I645" s="36">
        <f>'Raw Data'!G647/100</f>
        <v>0</v>
      </c>
      <c r="K645" s="37">
        <f>Bill!$Y645</f>
        <v>46203</v>
      </c>
      <c r="L645" s="38">
        <f>Bill!$AA645*('Raw Data'!$E647+$L$2)</f>
        <v>0</v>
      </c>
      <c r="M645" s="38">
        <f>Bill!$AB645*('Raw Data'!$E647+$M$2)</f>
        <v>0</v>
      </c>
      <c r="N645" s="38">
        <f>(('Raw Data'!$F647 * 2)-10)*Bill!$AC645</f>
        <v>0</v>
      </c>
      <c r="O645" s="38">
        <f>('Raw Data'!F647+Bill!$O$2)*Bill!$AD645</f>
        <v>0</v>
      </c>
      <c r="P645" s="38">
        <f>('Raw Data'!F647+Bill!$P$2)*Bill!$AE645</f>
        <v>0</v>
      </c>
      <c r="Q645" s="38">
        <f>Bill!$Z645*('Raw Data'!$E647+$Q$2)</f>
        <v>0</v>
      </c>
      <c r="R645" s="38">
        <f>('Raw Data'!F647+Bill!$R$2)*Bill!$AF645</f>
        <v>0</v>
      </c>
      <c r="S645" s="48">
        <f>('Raw Data'!G647/100)*Bill!$AG645</f>
        <v>0</v>
      </c>
      <c r="T645" s="38">
        <f>SUM(Bill!$L645:$R645)</f>
        <v>0</v>
      </c>
      <c r="U645" s="53"/>
      <c r="V645" s="50"/>
      <c r="W645" s="38">
        <f>Bill!$U645-Bill!$T645</f>
        <v>0</v>
      </c>
      <c r="Y645" s="37">
        <f>'Raw Data'!D647</f>
        <v>46203</v>
      </c>
      <c r="Z645" s="47">
        <v>0.0</v>
      </c>
      <c r="AA645" s="47"/>
      <c r="AB645" s="47"/>
      <c r="AC645" s="47"/>
      <c r="AD645" s="47"/>
      <c r="AE645" s="47"/>
      <c r="AF645" s="47"/>
      <c r="AG645" s="47"/>
    </row>
    <row r="646" ht="15.75" customHeight="1">
      <c r="A646" s="35">
        <f>Bill!$Y646</f>
        <v>46204</v>
      </c>
      <c r="B646" s="43">
        <f>'Raw Data'!E648+Bill!$L$2</f>
        <v>20</v>
      </c>
      <c r="C646" s="43">
        <f>'Raw Data'!E648+Bill!$M$2</f>
        <v>25</v>
      </c>
      <c r="D646" s="43">
        <f>('Raw Data'!$F648*2)-10</f>
        <v>-10</v>
      </c>
      <c r="E646" s="43">
        <f>'Raw Data'!F648+Bill!$O$2</f>
        <v>20</v>
      </c>
      <c r="F646" s="43">
        <f>'Raw Data'!F648+Bill!$P$2</f>
        <v>25</v>
      </c>
      <c r="G646" s="43">
        <f>'Raw Data'!E648+Bill!$Q$2</f>
        <v>50</v>
      </c>
      <c r="H646" s="43">
        <f>('Raw Data'!F648+Bill!$R$2)</f>
        <v>20</v>
      </c>
      <c r="I646" s="36">
        <f>'Raw Data'!G648/100</f>
        <v>0</v>
      </c>
      <c r="K646" s="37">
        <f>Bill!$Y646</f>
        <v>46204</v>
      </c>
      <c r="L646" s="38">
        <f>Bill!$AA646*('Raw Data'!$E648+$L$2)</f>
        <v>0</v>
      </c>
      <c r="M646" s="38">
        <f>Bill!$AB646*('Raw Data'!$E648+$M$2)</f>
        <v>0</v>
      </c>
      <c r="N646" s="38">
        <f>(('Raw Data'!$F648 * 2)-10)*Bill!$AC646</f>
        <v>0</v>
      </c>
      <c r="O646" s="38">
        <f>('Raw Data'!F648+Bill!$O$2)*Bill!$AD646</f>
        <v>0</v>
      </c>
      <c r="P646" s="38">
        <f>('Raw Data'!F648+Bill!$P$2)*Bill!$AE646</f>
        <v>0</v>
      </c>
      <c r="Q646" s="38">
        <f>Bill!$Z646*('Raw Data'!$E648+$Q$2)</f>
        <v>0</v>
      </c>
      <c r="R646" s="38">
        <f>('Raw Data'!F648+Bill!$R$2)*Bill!$AF646</f>
        <v>0</v>
      </c>
      <c r="S646" s="48">
        <f>('Raw Data'!G648/100)*Bill!$AG646</f>
        <v>0</v>
      </c>
      <c r="T646" s="38">
        <f>SUM(Bill!$L646:$R646)</f>
        <v>0</v>
      </c>
      <c r="U646" s="53"/>
      <c r="V646" s="50"/>
      <c r="W646" s="38">
        <f>Bill!$U646-Bill!$T646</f>
        <v>0</v>
      </c>
      <c r="Y646" s="37">
        <f>'Raw Data'!D648</f>
        <v>46204</v>
      </c>
      <c r="Z646" s="47">
        <v>0.0</v>
      </c>
      <c r="AA646" s="47"/>
      <c r="AB646" s="47"/>
      <c r="AC646" s="47"/>
      <c r="AD646" s="47"/>
      <c r="AE646" s="47"/>
      <c r="AF646" s="47"/>
      <c r="AG646" s="47"/>
    </row>
    <row r="647" ht="15.75" customHeight="1">
      <c r="A647" s="35">
        <f>Bill!$Y647</f>
        <v>46205</v>
      </c>
      <c r="B647" s="43">
        <f>'Raw Data'!E649+Bill!$L$2</f>
        <v>20</v>
      </c>
      <c r="C647" s="43">
        <f>'Raw Data'!E649+Bill!$M$2</f>
        <v>25</v>
      </c>
      <c r="D647" s="43">
        <f>('Raw Data'!$F649*2)-10</f>
        <v>-10</v>
      </c>
      <c r="E647" s="43">
        <f>'Raw Data'!F649+Bill!$O$2</f>
        <v>20</v>
      </c>
      <c r="F647" s="43">
        <f>'Raw Data'!F649+Bill!$P$2</f>
        <v>25</v>
      </c>
      <c r="G647" s="43">
        <f>'Raw Data'!E649+Bill!$Q$2</f>
        <v>50</v>
      </c>
      <c r="H647" s="43">
        <f>('Raw Data'!F649+Bill!$R$2)</f>
        <v>20</v>
      </c>
      <c r="I647" s="36">
        <f>'Raw Data'!G649/100</f>
        <v>0</v>
      </c>
      <c r="K647" s="37">
        <f>Bill!$Y647</f>
        <v>46205</v>
      </c>
      <c r="L647" s="38">
        <f>Bill!$AA647*('Raw Data'!$E649+$L$2)</f>
        <v>0</v>
      </c>
      <c r="M647" s="38">
        <f>Bill!$AB647*('Raw Data'!$E649+$M$2)</f>
        <v>0</v>
      </c>
      <c r="N647" s="38">
        <f>(('Raw Data'!$F649 * 2)-10)*Bill!$AC647</f>
        <v>0</v>
      </c>
      <c r="O647" s="38">
        <f>('Raw Data'!F649+Bill!$O$2)*Bill!$AD647</f>
        <v>0</v>
      </c>
      <c r="P647" s="38">
        <f>('Raw Data'!F649+Bill!$P$2)*Bill!$AE647</f>
        <v>0</v>
      </c>
      <c r="Q647" s="38">
        <f>Bill!$Z647*('Raw Data'!$E649+$Q$2)</f>
        <v>0</v>
      </c>
      <c r="R647" s="38">
        <f>('Raw Data'!F649+Bill!$R$2)*Bill!$AF647</f>
        <v>0</v>
      </c>
      <c r="S647" s="48">
        <f>('Raw Data'!G649/100)*Bill!$AG647</f>
        <v>0</v>
      </c>
      <c r="T647" s="38">
        <f>SUM(Bill!$L647:$R647)</f>
        <v>0</v>
      </c>
      <c r="U647" s="53"/>
      <c r="V647" s="50"/>
      <c r="W647" s="38">
        <f>Bill!$U647-Bill!$T647</f>
        <v>0</v>
      </c>
      <c r="Y647" s="37">
        <f>'Raw Data'!D649</f>
        <v>46205</v>
      </c>
      <c r="Z647" s="47">
        <v>0.0</v>
      </c>
      <c r="AA647" s="47"/>
      <c r="AB647" s="47"/>
      <c r="AC647" s="47"/>
      <c r="AD647" s="47"/>
      <c r="AE647" s="47"/>
      <c r="AF647" s="47"/>
      <c r="AG647" s="47"/>
    </row>
    <row r="648" ht="15.75" customHeight="1">
      <c r="A648" s="35">
        <f>Bill!$Y648</f>
        <v>46206</v>
      </c>
      <c r="B648" s="43">
        <f>'Raw Data'!E650+Bill!$L$2</f>
        <v>20</v>
      </c>
      <c r="C648" s="43">
        <f>'Raw Data'!E650+Bill!$M$2</f>
        <v>25</v>
      </c>
      <c r="D648" s="43">
        <f>('Raw Data'!$F650*2)-10</f>
        <v>-10</v>
      </c>
      <c r="E648" s="43">
        <f>'Raw Data'!F650+Bill!$O$2</f>
        <v>20</v>
      </c>
      <c r="F648" s="43">
        <f>'Raw Data'!F650+Bill!$P$2</f>
        <v>25</v>
      </c>
      <c r="G648" s="43">
        <f>'Raw Data'!E650+Bill!$Q$2</f>
        <v>50</v>
      </c>
      <c r="H648" s="43">
        <f>('Raw Data'!F650+Bill!$R$2)</f>
        <v>20</v>
      </c>
      <c r="I648" s="36">
        <f>'Raw Data'!G650/100</f>
        <v>0</v>
      </c>
      <c r="K648" s="37">
        <f>Bill!$Y648</f>
        <v>46206</v>
      </c>
      <c r="L648" s="38">
        <f>Bill!$AA648*('Raw Data'!$E650+$L$2)</f>
        <v>0</v>
      </c>
      <c r="M648" s="38">
        <f>Bill!$AB648*('Raw Data'!$E650+$M$2)</f>
        <v>0</v>
      </c>
      <c r="N648" s="38">
        <f>(('Raw Data'!$F650 * 2)-10)*Bill!$AC648</f>
        <v>0</v>
      </c>
      <c r="O648" s="38">
        <f>('Raw Data'!F650+Bill!$O$2)*Bill!$AD648</f>
        <v>0</v>
      </c>
      <c r="P648" s="38">
        <f>('Raw Data'!F650+Bill!$P$2)*Bill!$AE648</f>
        <v>0</v>
      </c>
      <c r="Q648" s="38">
        <f>Bill!$Z648*('Raw Data'!$E650+$Q$2)</f>
        <v>0</v>
      </c>
      <c r="R648" s="38">
        <f>('Raw Data'!F650+Bill!$R$2)*Bill!$AF648</f>
        <v>0</v>
      </c>
      <c r="S648" s="48">
        <f>('Raw Data'!G650/100)*Bill!$AG648</f>
        <v>0</v>
      </c>
      <c r="T648" s="38">
        <f>SUM(Bill!$L648:$R648)</f>
        <v>0</v>
      </c>
      <c r="U648" s="53"/>
      <c r="V648" s="50"/>
      <c r="W648" s="38">
        <f>Bill!$U648-Bill!$T648</f>
        <v>0</v>
      </c>
      <c r="Y648" s="37">
        <f>'Raw Data'!D650</f>
        <v>46206</v>
      </c>
      <c r="Z648" s="47">
        <v>0.0</v>
      </c>
      <c r="AA648" s="47"/>
      <c r="AB648" s="47"/>
      <c r="AC648" s="47"/>
      <c r="AD648" s="47"/>
      <c r="AE648" s="47"/>
      <c r="AF648" s="47"/>
      <c r="AG648" s="47"/>
    </row>
    <row r="649" ht="15.75" customHeight="1">
      <c r="A649" s="35">
        <f>Bill!$Y649</f>
        <v>46207</v>
      </c>
      <c r="B649" s="43">
        <f>'Raw Data'!E651+Bill!$L$2</f>
        <v>20</v>
      </c>
      <c r="C649" s="43">
        <f>'Raw Data'!E651+Bill!$M$2</f>
        <v>25</v>
      </c>
      <c r="D649" s="43">
        <f>('Raw Data'!$F651*2)-10</f>
        <v>-10</v>
      </c>
      <c r="E649" s="43">
        <f>'Raw Data'!F651+Bill!$O$2</f>
        <v>20</v>
      </c>
      <c r="F649" s="43">
        <f>'Raw Data'!F651+Bill!$P$2</f>
        <v>25</v>
      </c>
      <c r="G649" s="43">
        <f>'Raw Data'!E651+Bill!$Q$2</f>
        <v>50</v>
      </c>
      <c r="H649" s="43">
        <f>('Raw Data'!F651+Bill!$R$2)</f>
        <v>20</v>
      </c>
      <c r="I649" s="36">
        <f>'Raw Data'!G651/100</f>
        <v>0</v>
      </c>
      <c r="K649" s="37">
        <f>Bill!$Y649</f>
        <v>46207</v>
      </c>
      <c r="L649" s="38">
        <f>Bill!$AA649*('Raw Data'!$E651+$L$2)</f>
        <v>0</v>
      </c>
      <c r="M649" s="38">
        <f>Bill!$AB649*('Raw Data'!$E651+$M$2)</f>
        <v>0</v>
      </c>
      <c r="N649" s="38">
        <f>(('Raw Data'!$F651 * 2)-10)*Bill!$AC649</f>
        <v>0</v>
      </c>
      <c r="O649" s="38">
        <f>('Raw Data'!F651+Bill!$O$2)*Bill!$AD649</f>
        <v>0</v>
      </c>
      <c r="P649" s="38">
        <f>('Raw Data'!F651+Bill!$P$2)*Bill!$AE649</f>
        <v>0</v>
      </c>
      <c r="Q649" s="38">
        <f>Bill!$Z649*('Raw Data'!$E651+$Q$2)</f>
        <v>0</v>
      </c>
      <c r="R649" s="38">
        <f>('Raw Data'!F651+Bill!$R$2)*Bill!$AF649</f>
        <v>0</v>
      </c>
      <c r="S649" s="48">
        <f>('Raw Data'!G651/100)*Bill!$AG649</f>
        <v>0</v>
      </c>
      <c r="T649" s="38">
        <f>SUM(Bill!$L649:$R649)</f>
        <v>0</v>
      </c>
      <c r="U649" s="53"/>
      <c r="V649" s="50"/>
      <c r="W649" s="38">
        <f>Bill!$U649-Bill!$T649</f>
        <v>0</v>
      </c>
      <c r="Y649" s="37">
        <f>'Raw Data'!D651</f>
        <v>46207</v>
      </c>
      <c r="Z649" s="47">
        <v>0.0</v>
      </c>
      <c r="AA649" s="47"/>
      <c r="AB649" s="47"/>
      <c r="AC649" s="47"/>
      <c r="AD649" s="47"/>
      <c r="AE649" s="47"/>
      <c r="AF649" s="47"/>
      <c r="AG649" s="47"/>
    </row>
    <row r="650" ht="15.75" customHeight="1">
      <c r="A650" s="35">
        <f>Bill!$Y650</f>
        <v>46208</v>
      </c>
      <c r="B650" s="43">
        <f>'Raw Data'!E652+Bill!$L$2</f>
        <v>20</v>
      </c>
      <c r="C650" s="43">
        <f>'Raw Data'!E652+Bill!$M$2</f>
        <v>25</v>
      </c>
      <c r="D650" s="43">
        <f>('Raw Data'!$F652*2)-10</f>
        <v>-10</v>
      </c>
      <c r="E650" s="43">
        <f>'Raw Data'!F652+Bill!$O$2</f>
        <v>20</v>
      </c>
      <c r="F650" s="43">
        <f>'Raw Data'!F652+Bill!$P$2</f>
        <v>25</v>
      </c>
      <c r="G650" s="43">
        <f>'Raw Data'!E652+Bill!$Q$2</f>
        <v>50</v>
      </c>
      <c r="H650" s="43">
        <f>('Raw Data'!F652+Bill!$R$2)</f>
        <v>20</v>
      </c>
      <c r="I650" s="36">
        <f>'Raw Data'!G652/100</f>
        <v>0</v>
      </c>
      <c r="K650" s="37">
        <f>Bill!$Y650</f>
        <v>46208</v>
      </c>
      <c r="L650" s="38">
        <f>Bill!$AA650*('Raw Data'!$E652+$L$2)</f>
        <v>0</v>
      </c>
      <c r="M650" s="38">
        <f>Bill!$AB650*('Raw Data'!$E652+$M$2)</f>
        <v>0</v>
      </c>
      <c r="N650" s="38">
        <f>(('Raw Data'!$F652 * 2)-10)*Bill!$AC650</f>
        <v>0</v>
      </c>
      <c r="O650" s="38">
        <f>('Raw Data'!F652+Bill!$O$2)*Bill!$AD650</f>
        <v>0</v>
      </c>
      <c r="P650" s="38">
        <f>('Raw Data'!F652+Bill!$P$2)*Bill!$AE650</f>
        <v>0</v>
      </c>
      <c r="Q650" s="38">
        <f>Bill!$Z650*('Raw Data'!$E652+$Q$2)</f>
        <v>0</v>
      </c>
      <c r="R650" s="38">
        <f>('Raw Data'!F652+Bill!$R$2)*Bill!$AF650</f>
        <v>0</v>
      </c>
      <c r="S650" s="48">
        <f>('Raw Data'!G652/100)*Bill!$AG650</f>
        <v>0</v>
      </c>
      <c r="T650" s="38">
        <f>SUM(Bill!$L650:$R650)</f>
        <v>0</v>
      </c>
      <c r="U650" s="53"/>
      <c r="V650" s="50"/>
      <c r="W650" s="38">
        <f>Bill!$U650-Bill!$T650</f>
        <v>0</v>
      </c>
      <c r="Y650" s="37">
        <f>'Raw Data'!D652</f>
        <v>46208</v>
      </c>
      <c r="Z650" s="47">
        <v>0.0</v>
      </c>
      <c r="AA650" s="47"/>
      <c r="AB650" s="47"/>
      <c r="AC650" s="47"/>
      <c r="AD650" s="47"/>
      <c r="AE650" s="47"/>
      <c r="AF650" s="47"/>
      <c r="AG650" s="47"/>
    </row>
    <row r="651" ht="15.75" customHeight="1">
      <c r="A651" s="35">
        <f>Bill!$Y651</f>
        <v>46209</v>
      </c>
      <c r="B651" s="43">
        <f>'Raw Data'!E653+Bill!$L$2</f>
        <v>20</v>
      </c>
      <c r="C651" s="43">
        <f>'Raw Data'!E653+Bill!$M$2</f>
        <v>25</v>
      </c>
      <c r="D651" s="43">
        <f>('Raw Data'!$F653*2)-10</f>
        <v>-10</v>
      </c>
      <c r="E651" s="43">
        <f>'Raw Data'!F653+Bill!$O$2</f>
        <v>20</v>
      </c>
      <c r="F651" s="43">
        <f>'Raw Data'!F653+Bill!$P$2</f>
        <v>25</v>
      </c>
      <c r="G651" s="43">
        <f>'Raw Data'!E653+Bill!$Q$2</f>
        <v>50</v>
      </c>
      <c r="H651" s="43">
        <f>('Raw Data'!F653+Bill!$R$2)</f>
        <v>20</v>
      </c>
      <c r="I651" s="36">
        <f>'Raw Data'!G653/100</f>
        <v>0</v>
      </c>
      <c r="K651" s="37">
        <f>Bill!$Y651</f>
        <v>46209</v>
      </c>
      <c r="L651" s="38">
        <f>Bill!$AA651*('Raw Data'!$E653+$L$2)</f>
        <v>0</v>
      </c>
      <c r="M651" s="38">
        <f>Bill!$AB651*('Raw Data'!$E653+$M$2)</f>
        <v>0</v>
      </c>
      <c r="N651" s="38">
        <f>(('Raw Data'!$F653 * 2)-10)*Bill!$AC651</f>
        <v>0</v>
      </c>
      <c r="O651" s="38">
        <f>('Raw Data'!F653+Bill!$O$2)*Bill!$AD651</f>
        <v>0</v>
      </c>
      <c r="P651" s="38">
        <f>('Raw Data'!F653+Bill!$P$2)*Bill!$AE651</f>
        <v>0</v>
      </c>
      <c r="Q651" s="38">
        <f>Bill!$Z651*('Raw Data'!$E653+$Q$2)</f>
        <v>0</v>
      </c>
      <c r="R651" s="38">
        <f>('Raw Data'!F653+Bill!$R$2)*Bill!$AF651</f>
        <v>0</v>
      </c>
      <c r="S651" s="48">
        <f>('Raw Data'!G653/100)*Bill!$AG651</f>
        <v>0</v>
      </c>
      <c r="T651" s="38">
        <f>SUM(Bill!$L651:$R651)</f>
        <v>0</v>
      </c>
      <c r="U651" s="53"/>
      <c r="V651" s="50"/>
      <c r="W651" s="38">
        <f>Bill!$U651-Bill!$T651</f>
        <v>0</v>
      </c>
      <c r="Y651" s="37">
        <f>'Raw Data'!D653</f>
        <v>46209</v>
      </c>
      <c r="Z651" s="47">
        <v>0.0</v>
      </c>
      <c r="AA651" s="47"/>
      <c r="AB651" s="47"/>
      <c r="AC651" s="47"/>
      <c r="AD651" s="47"/>
      <c r="AE651" s="47"/>
      <c r="AF651" s="47"/>
      <c r="AG651" s="47"/>
    </row>
    <row r="652" ht="15.75" customHeight="1">
      <c r="A652" s="35">
        <f>Bill!$Y652</f>
        <v>46210</v>
      </c>
      <c r="B652" s="43">
        <f>'Raw Data'!E654+Bill!$L$2</f>
        <v>20</v>
      </c>
      <c r="C652" s="43">
        <f>'Raw Data'!E654+Bill!$M$2</f>
        <v>25</v>
      </c>
      <c r="D652" s="43">
        <f>('Raw Data'!$F654*2)-10</f>
        <v>-10</v>
      </c>
      <c r="E652" s="43">
        <f>'Raw Data'!F654+Bill!$O$2</f>
        <v>20</v>
      </c>
      <c r="F652" s="43">
        <f>'Raw Data'!F654+Bill!$P$2</f>
        <v>25</v>
      </c>
      <c r="G652" s="43">
        <f>'Raw Data'!E654+Bill!$Q$2</f>
        <v>50</v>
      </c>
      <c r="H652" s="43">
        <f>('Raw Data'!F654+Bill!$R$2)</f>
        <v>20</v>
      </c>
      <c r="I652" s="36">
        <f>'Raw Data'!G654/100</f>
        <v>0</v>
      </c>
      <c r="K652" s="37">
        <f>Bill!$Y652</f>
        <v>46210</v>
      </c>
      <c r="L652" s="38">
        <f>Bill!$AA652*('Raw Data'!$E654+$L$2)</f>
        <v>0</v>
      </c>
      <c r="M652" s="38">
        <f>Bill!$AB652*('Raw Data'!$E654+$M$2)</f>
        <v>0</v>
      </c>
      <c r="N652" s="38">
        <f>(('Raw Data'!$F654 * 2)-10)*Bill!$AC652</f>
        <v>0</v>
      </c>
      <c r="O652" s="38">
        <f>('Raw Data'!F654+Bill!$O$2)*Bill!$AD652</f>
        <v>0</v>
      </c>
      <c r="P652" s="38">
        <f>('Raw Data'!F654+Bill!$P$2)*Bill!$AE652</f>
        <v>0</v>
      </c>
      <c r="Q652" s="38">
        <f>Bill!$Z652*('Raw Data'!$E654+$Q$2)</f>
        <v>0</v>
      </c>
      <c r="R652" s="38">
        <f>('Raw Data'!F654+Bill!$R$2)*Bill!$AF652</f>
        <v>0</v>
      </c>
      <c r="S652" s="48">
        <f>('Raw Data'!G654/100)*Bill!$AG652</f>
        <v>0</v>
      </c>
      <c r="T652" s="38">
        <f>SUM(Bill!$L652:$R652)</f>
        <v>0</v>
      </c>
      <c r="U652" s="53"/>
      <c r="V652" s="50"/>
      <c r="W652" s="38">
        <f>Bill!$U652-Bill!$T652</f>
        <v>0</v>
      </c>
      <c r="Y652" s="37">
        <f>'Raw Data'!D654</f>
        <v>46210</v>
      </c>
      <c r="Z652" s="47">
        <v>0.0</v>
      </c>
      <c r="AA652" s="47"/>
      <c r="AB652" s="47"/>
      <c r="AC652" s="47"/>
      <c r="AD652" s="47"/>
      <c r="AE652" s="47"/>
      <c r="AF652" s="47"/>
      <c r="AG652" s="47"/>
    </row>
    <row r="653" ht="15.75" customHeight="1">
      <c r="A653" s="35">
        <f>Bill!$Y653</f>
        <v>46211</v>
      </c>
      <c r="B653" s="43">
        <f>'Raw Data'!E655+Bill!$L$2</f>
        <v>20</v>
      </c>
      <c r="C653" s="43">
        <f>'Raw Data'!E655+Bill!$M$2</f>
        <v>25</v>
      </c>
      <c r="D653" s="43">
        <f>('Raw Data'!$F655*2)-10</f>
        <v>-10</v>
      </c>
      <c r="E653" s="43">
        <f>'Raw Data'!F655+Bill!$O$2</f>
        <v>20</v>
      </c>
      <c r="F653" s="43">
        <f>'Raw Data'!F655+Bill!$P$2</f>
        <v>25</v>
      </c>
      <c r="G653" s="43">
        <f>'Raw Data'!E655+Bill!$Q$2</f>
        <v>50</v>
      </c>
      <c r="H653" s="43">
        <f>('Raw Data'!F655+Bill!$R$2)</f>
        <v>20</v>
      </c>
      <c r="I653" s="36">
        <f>'Raw Data'!G655/100</f>
        <v>0</v>
      </c>
      <c r="K653" s="37">
        <f>Bill!$Y653</f>
        <v>46211</v>
      </c>
      <c r="L653" s="38">
        <f>Bill!$AA653*('Raw Data'!$E655+$L$2)</f>
        <v>0</v>
      </c>
      <c r="M653" s="38">
        <f>Bill!$AB653*('Raw Data'!$E655+$M$2)</f>
        <v>0</v>
      </c>
      <c r="N653" s="38">
        <f>(('Raw Data'!$F655 * 2)-10)*Bill!$AC653</f>
        <v>0</v>
      </c>
      <c r="O653" s="38">
        <f>('Raw Data'!F655+Bill!$O$2)*Bill!$AD653</f>
        <v>0</v>
      </c>
      <c r="P653" s="38">
        <f>('Raw Data'!F655+Bill!$P$2)*Bill!$AE653</f>
        <v>0</v>
      </c>
      <c r="Q653" s="38">
        <f>Bill!$Z653*('Raw Data'!$E655+$Q$2)</f>
        <v>0</v>
      </c>
      <c r="R653" s="38">
        <f>('Raw Data'!F655+Bill!$R$2)*Bill!$AF653</f>
        <v>0</v>
      </c>
      <c r="S653" s="48">
        <f>('Raw Data'!G655/100)*Bill!$AG653</f>
        <v>0</v>
      </c>
      <c r="T653" s="38">
        <f>SUM(Bill!$L653:$R653)</f>
        <v>0</v>
      </c>
      <c r="U653" s="53"/>
      <c r="V653" s="50"/>
      <c r="W653" s="38">
        <f>Bill!$U653-Bill!$T653</f>
        <v>0</v>
      </c>
      <c r="Y653" s="37">
        <f>'Raw Data'!D655</f>
        <v>46211</v>
      </c>
      <c r="Z653" s="47">
        <v>0.0</v>
      </c>
      <c r="AA653" s="47"/>
      <c r="AB653" s="47"/>
      <c r="AC653" s="47"/>
      <c r="AD653" s="47"/>
      <c r="AE653" s="47"/>
      <c r="AF653" s="47"/>
      <c r="AG653" s="47"/>
    </row>
    <row r="654" ht="15.75" customHeight="1">
      <c r="A654" s="35">
        <f>Bill!$Y654</f>
        <v>46212</v>
      </c>
      <c r="B654" s="43">
        <f>'Raw Data'!E656+Bill!$L$2</f>
        <v>20</v>
      </c>
      <c r="C654" s="43">
        <f>'Raw Data'!E656+Bill!$M$2</f>
        <v>25</v>
      </c>
      <c r="D654" s="43">
        <f>('Raw Data'!$F656*2)-10</f>
        <v>-10</v>
      </c>
      <c r="E654" s="43">
        <f>'Raw Data'!F656+Bill!$O$2</f>
        <v>20</v>
      </c>
      <c r="F654" s="43">
        <f>'Raw Data'!F656+Bill!$P$2</f>
        <v>25</v>
      </c>
      <c r="G654" s="43">
        <f>'Raw Data'!E656+Bill!$Q$2</f>
        <v>50</v>
      </c>
      <c r="H654" s="43">
        <f>('Raw Data'!F656+Bill!$R$2)</f>
        <v>20</v>
      </c>
      <c r="I654" s="36">
        <f>'Raw Data'!G656/100</f>
        <v>0</v>
      </c>
      <c r="K654" s="37">
        <f>Bill!$Y654</f>
        <v>46212</v>
      </c>
      <c r="L654" s="38">
        <f>Bill!$AA654*('Raw Data'!$E656+$L$2)</f>
        <v>0</v>
      </c>
      <c r="M654" s="38">
        <f>Bill!$AB654*('Raw Data'!$E656+$M$2)</f>
        <v>0</v>
      </c>
      <c r="N654" s="38">
        <f>(('Raw Data'!$F656 * 2)-10)*Bill!$AC654</f>
        <v>0</v>
      </c>
      <c r="O654" s="38">
        <f>('Raw Data'!F656+Bill!$O$2)*Bill!$AD654</f>
        <v>0</v>
      </c>
      <c r="P654" s="38">
        <f>('Raw Data'!F656+Bill!$P$2)*Bill!$AE654</f>
        <v>0</v>
      </c>
      <c r="Q654" s="38">
        <f>Bill!$Z654*('Raw Data'!$E656+$Q$2)</f>
        <v>0</v>
      </c>
      <c r="R654" s="38">
        <f>('Raw Data'!F656+Bill!$R$2)*Bill!$AF654</f>
        <v>0</v>
      </c>
      <c r="S654" s="48">
        <f>('Raw Data'!G656/100)*Bill!$AG654</f>
        <v>0</v>
      </c>
      <c r="T654" s="38">
        <f>SUM(Bill!$L654:$R654)</f>
        <v>0</v>
      </c>
      <c r="U654" s="53"/>
      <c r="V654" s="50"/>
      <c r="W654" s="38">
        <f>Bill!$U654-Bill!$T654</f>
        <v>0</v>
      </c>
      <c r="Y654" s="37">
        <f>'Raw Data'!D656</f>
        <v>46212</v>
      </c>
      <c r="Z654" s="47">
        <v>0.0</v>
      </c>
      <c r="AA654" s="47"/>
      <c r="AB654" s="47"/>
      <c r="AC654" s="47"/>
      <c r="AD654" s="47"/>
      <c r="AE654" s="47"/>
      <c r="AF654" s="47"/>
      <c r="AG654" s="47"/>
    </row>
    <row r="655" ht="15.75" customHeight="1">
      <c r="A655" s="35">
        <f>Bill!$Y655</f>
        <v>46213</v>
      </c>
      <c r="B655" s="43">
        <f>'Raw Data'!E657+Bill!$L$2</f>
        <v>20</v>
      </c>
      <c r="C655" s="43">
        <f>'Raw Data'!E657+Bill!$M$2</f>
        <v>25</v>
      </c>
      <c r="D655" s="43">
        <f>('Raw Data'!$F657*2)-10</f>
        <v>-10</v>
      </c>
      <c r="E655" s="43">
        <f>'Raw Data'!F657+Bill!$O$2</f>
        <v>20</v>
      </c>
      <c r="F655" s="43">
        <f>'Raw Data'!F657+Bill!$P$2</f>
        <v>25</v>
      </c>
      <c r="G655" s="43">
        <f>'Raw Data'!E657+Bill!$Q$2</f>
        <v>50</v>
      </c>
      <c r="H655" s="43">
        <f>('Raw Data'!F657+Bill!$R$2)</f>
        <v>20</v>
      </c>
      <c r="I655" s="36">
        <f>'Raw Data'!G657/100</f>
        <v>0</v>
      </c>
      <c r="K655" s="37">
        <f>Bill!$Y655</f>
        <v>46213</v>
      </c>
      <c r="L655" s="38">
        <f>Bill!$AA655*('Raw Data'!$E657+$L$2)</f>
        <v>0</v>
      </c>
      <c r="M655" s="38">
        <f>Bill!$AB655*('Raw Data'!$E657+$M$2)</f>
        <v>0</v>
      </c>
      <c r="N655" s="38">
        <f>(('Raw Data'!$F657 * 2)-10)*Bill!$AC655</f>
        <v>0</v>
      </c>
      <c r="O655" s="38">
        <f>('Raw Data'!F657+Bill!$O$2)*Bill!$AD655</f>
        <v>0</v>
      </c>
      <c r="P655" s="38">
        <f>('Raw Data'!F657+Bill!$P$2)*Bill!$AE655</f>
        <v>0</v>
      </c>
      <c r="Q655" s="38">
        <f>Bill!$Z655*('Raw Data'!$E657+$Q$2)</f>
        <v>0</v>
      </c>
      <c r="R655" s="38">
        <f>('Raw Data'!F657+Bill!$R$2)*Bill!$AF655</f>
        <v>0</v>
      </c>
      <c r="S655" s="48">
        <f>('Raw Data'!G657/100)*Bill!$AG655</f>
        <v>0</v>
      </c>
      <c r="T655" s="38">
        <f>SUM(Bill!$L655:$R655)</f>
        <v>0</v>
      </c>
      <c r="U655" s="53"/>
      <c r="V655" s="50"/>
      <c r="W655" s="38">
        <f>Bill!$U655-Bill!$T655</f>
        <v>0</v>
      </c>
      <c r="Y655" s="37">
        <f>'Raw Data'!D657</f>
        <v>46213</v>
      </c>
      <c r="Z655" s="47">
        <v>0.0</v>
      </c>
      <c r="AA655" s="47"/>
      <c r="AB655" s="47"/>
      <c r="AC655" s="47"/>
      <c r="AD655" s="47"/>
      <c r="AE655" s="47"/>
      <c r="AF655" s="47"/>
      <c r="AG655" s="47"/>
    </row>
    <row r="656" ht="15.75" customHeight="1">
      <c r="A656" s="35">
        <f>Bill!$Y656</f>
        <v>46214</v>
      </c>
      <c r="B656" s="43">
        <f>'Raw Data'!E658+Bill!$L$2</f>
        <v>20</v>
      </c>
      <c r="C656" s="43">
        <f>'Raw Data'!E658+Bill!$M$2</f>
        <v>25</v>
      </c>
      <c r="D656" s="43">
        <f>('Raw Data'!$F658*2)-10</f>
        <v>-10</v>
      </c>
      <c r="E656" s="43">
        <f>'Raw Data'!F658+Bill!$O$2</f>
        <v>20</v>
      </c>
      <c r="F656" s="43">
        <f>'Raw Data'!F658+Bill!$P$2</f>
        <v>25</v>
      </c>
      <c r="G656" s="43">
        <f>'Raw Data'!E658+Bill!$Q$2</f>
        <v>50</v>
      </c>
      <c r="H656" s="43">
        <f>('Raw Data'!F658+Bill!$R$2)</f>
        <v>20</v>
      </c>
      <c r="I656" s="36">
        <f>'Raw Data'!G658/100</f>
        <v>0</v>
      </c>
      <c r="K656" s="37">
        <f>Bill!$Y656</f>
        <v>46214</v>
      </c>
      <c r="L656" s="38">
        <f>Bill!$AA656*('Raw Data'!$E658+$L$2)</f>
        <v>0</v>
      </c>
      <c r="M656" s="38">
        <f>Bill!$AB656*('Raw Data'!$E658+$M$2)</f>
        <v>0</v>
      </c>
      <c r="N656" s="38">
        <f>(('Raw Data'!$F658 * 2)-10)*Bill!$AC656</f>
        <v>0</v>
      </c>
      <c r="O656" s="38">
        <f>('Raw Data'!F658+Bill!$O$2)*Bill!$AD656</f>
        <v>0</v>
      </c>
      <c r="P656" s="38">
        <f>('Raw Data'!F658+Bill!$P$2)*Bill!$AE656</f>
        <v>0</v>
      </c>
      <c r="Q656" s="38">
        <f>Bill!$Z656*('Raw Data'!$E658+$Q$2)</f>
        <v>0</v>
      </c>
      <c r="R656" s="38">
        <f>('Raw Data'!F658+Bill!$R$2)*Bill!$AF656</f>
        <v>0</v>
      </c>
      <c r="S656" s="48">
        <f>('Raw Data'!G658/100)*Bill!$AG656</f>
        <v>0</v>
      </c>
      <c r="T656" s="38">
        <f>SUM(Bill!$L656:$R656)</f>
        <v>0</v>
      </c>
      <c r="U656" s="53"/>
      <c r="V656" s="50"/>
      <c r="W656" s="38">
        <f>Bill!$U656-Bill!$T656</f>
        <v>0</v>
      </c>
      <c r="Y656" s="37">
        <f>'Raw Data'!D658</f>
        <v>46214</v>
      </c>
      <c r="Z656" s="47">
        <v>0.0</v>
      </c>
      <c r="AA656" s="47"/>
      <c r="AB656" s="47"/>
      <c r="AC656" s="47"/>
      <c r="AD656" s="47"/>
      <c r="AE656" s="47"/>
      <c r="AF656" s="47"/>
      <c r="AG656" s="47"/>
    </row>
    <row r="657" ht="15.75" customHeight="1">
      <c r="A657" s="35">
        <f>Bill!$Y657</f>
        <v>46215</v>
      </c>
      <c r="B657" s="43">
        <f>'Raw Data'!E659+Bill!$L$2</f>
        <v>20</v>
      </c>
      <c r="C657" s="43">
        <f>'Raw Data'!E659+Bill!$M$2</f>
        <v>25</v>
      </c>
      <c r="D657" s="43">
        <f>('Raw Data'!$F659*2)-10</f>
        <v>-10</v>
      </c>
      <c r="E657" s="43">
        <f>'Raw Data'!F659+Bill!$O$2</f>
        <v>20</v>
      </c>
      <c r="F657" s="43">
        <f>'Raw Data'!F659+Bill!$P$2</f>
        <v>25</v>
      </c>
      <c r="G657" s="43">
        <f>'Raw Data'!E659+Bill!$Q$2</f>
        <v>50</v>
      </c>
      <c r="H657" s="43">
        <f>('Raw Data'!F659+Bill!$R$2)</f>
        <v>20</v>
      </c>
      <c r="I657" s="36">
        <f>'Raw Data'!G659/100</f>
        <v>0</v>
      </c>
      <c r="K657" s="37">
        <f>Bill!$Y657</f>
        <v>46215</v>
      </c>
      <c r="L657" s="38">
        <f>Bill!$AA657*('Raw Data'!$E659+$L$2)</f>
        <v>0</v>
      </c>
      <c r="M657" s="38">
        <f>Bill!$AB657*('Raw Data'!$E659+$M$2)</f>
        <v>0</v>
      </c>
      <c r="N657" s="38">
        <f>(('Raw Data'!$F659 * 2)-10)*Bill!$AC657</f>
        <v>0</v>
      </c>
      <c r="O657" s="38">
        <f>('Raw Data'!F659+Bill!$O$2)*Bill!$AD657</f>
        <v>0</v>
      </c>
      <c r="P657" s="38">
        <f>('Raw Data'!F659+Bill!$P$2)*Bill!$AE657</f>
        <v>0</v>
      </c>
      <c r="Q657" s="38">
        <f>Bill!$Z657*('Raw Data'!$E659+$Q$2)</f>
        <v>0</v>
      </c>
      <c r="R657" s="38">
        <f>('Raw Data'!F659+Bill!$R$2)*Bill!$AF657</f>
        <v>0</v>
      </c>
      <c r="S657" s="48">
        <f>('Raw Data'!G659/100)*Bill!$AG657</f>
        <v>0</v>
      </c>
      <c r="T657" s="38">
        <f>SUM(Bill!$L657:$R657)</f>
        <v>0</v>
      </c>
      <c r="U657" s="53"/>
      <c r="V657" s="50"/>
      <c r="W657" s="38">
        <f>Bill!$U657-Bill!$T657</f>
        <v>0</v>
      </c>
      <c r="Y657" s="37">
        <f>'Raw Data'!D659</f>
        <v>46215</v>
      </c>
      <c r="Z657" s="47">
        <v>0.0</v>
      </c>
      <c r="AA657" s="47"/>
      <c r="AB657" s="47"/>
      <c r="AC657" s="47"/>
      <c r="AD657" s="47"/>
      <c r="AE657" s="47"/>
      <c r="AF657" s="47"/>
      <c r="AG657" s="47"/>
    </row>
    <row r="658" ht="15.75" customHeight="1">
      <c r="A658" s="35">
        <f>Bill!$Y658</f>
        <v>46216</v>
      </c>
      <c r="B658" s="43">
        <f>'Raw Data'!E660+Bill!$L$2</f>
        <v>20</v>
      </c>
      <c r="C658" s="43">
        <f>'Raw Data'!E660+Bill!$M$2</f>
        <v>25</v>
      </c>
      <c r="D658" s="43">
        <f>('Raw Data'!$F660*2)-10</f>
        <v>-10</v>
      </c>
      <c r="E658" s="43">
        <f>'Raw Data'!F660+Bill!$O$2</f>
        <v>20</v>
      </c>
      <c r="F658" s="43">
        <f>'Raw Data'!F660+Bill!$P$2</f>
        <v>25</v>
      </c>
      <c r="G658" s="43">
        <f>'Raw Data'!E660+Bill!$Q$2</f>
        <v>50</v>
      </c>
      <c r="H658" s="43">
        <f>('Raw Data'!F660+Bill!$R$2)</f>
        <v>20</v>
      </c>
      <c r="I658" s="36">
        <f>'Raw Data'!G660/100</f>
        <v>0</v>
      </c>
      <c r="K658" s="37">
        <f>Bill!$Y658</f>
        <v>46216</v>
      </c>
      <c r="L658" s="38">
        <f>Bill!$AA658*('Raw Data'!$E660+$L$2)</f>
        <v>0</v>
      </c>
      <c r="M658" s="38">
        <f>Bill!$AB658*('Raw Data'!$E660+$M$2)</f>
        <v>0</v>
      </c>
      <c r="N658" s="38">
        <f>(('Raw Data'!$F660 * 2)-10)*Bill!$AC658</f>
        <v>0</v>
      </c>
      <c r="O658" s="38">
        <f>('Raw Data'!F660+Bill!$O$2)*Bill!$AD658</f>
        <v>0</v>
      </c>
      <c r="P658" s="38">
        <f>('Raw Data'!F660+Bill!$P$2)*Bill!$AE658</f>
        <v>0</v>
      </c>
      <c r="Q658" s="38">
        <f>Bill!$Z658*('Raw Data'!$E660+$Q$2)</f>
        <v>0</v>
      </c>
      <c r="R658" s="38">
        <f>('Raw Data'!F660+Bill!$R$2)*Bill!$AF658</f>
        <v>0</v>
      </c>
      <c r="S658" s="48">
        <f>('Raw Data'!G660/100)*Bill!$AG658</f>
        <v>0</v>
      </c>
      <c r="T658" s="38">
        <f>SUM(Bill!$L658:$R658)</f>
        <v>0</v>
      </c>
      <c r="U658" s="53"/>
      <c r="V658" s="50"/>
      <c r="W658" s="38">
        <f>Bill!$U658-Bill!$T658</f>
        <v>0</v>
      </c>
      <c r="Y658" s="37">
        <f>'Raw Data'!D660</f>
        <v>46216</v>
      </c>
      <c r="Z658" s="47">
        <v>0.0</v>
      </c>
      <c r="AA658" s="47"/>
      <c r="AB658" s="47"/>
      <c r="AC658" s="47"/>
      <c r="AD658" s="47"/>
      <c r="AE658" s="47"/>
      <c r="AF658" s="47"/>
      <c r="AG658" s="47"/>
    </row>
    <row r="659" ht="15.75" customHeight="1">
      <c r="A659" s="35">
        <f>Bill!$Y659</f>
        <v>46217</v>
      </c>
      <c r="B659" s="43">
        <f>'Raw Data'!E661+Bill!$L$2</f>
        <v>20</v>
      </c>
      <c r="C659" s="43">
        <f>'Raw Data'!E661+Bill!$M$2</f>
        <v>25</v>
      </c>
      <c r="D659" s="43">
        <f>('Raw Data'!$F661*2)-10</f>
        <v>-10</v>
      </c>
      <c r="E659" s="43">
        <f>'Raw Data'!F661+Bill!$O$2</f>
        <v>20</v>
      </c>
      <c r="F659" s="43">
        <f>'Raw Data'!F661+Bill!$P$2</f>
        <v>25</v>
      </c>
      <c r="G659" s="43">
        <f>'Raw Data'!E661+Bill!$Q$2</f>
        <v>50</v>
      </c>
      <c r="H659" s="43">
        <f>('Raw Data'!F661+Bill!$R$2)</f>
        <v>20</v>
      </c>
      <c r="I659" s="36">
        <f>'Raw Data'!G661/100</f>
        <v>0</v>
      </c>
      <c r="K659" s="37">
        <f>Bill!$Y659</f>
        <v>46217</v>
      </c>
      <c r="L659" s="38">
        <f>Bill!$AA659*('Raw Data'!$E661+$L$2)</f>
        <v>0</v>
      </c>
      <c r="M659" s="38">
        <f>Bill!$AB659*('Raw Data'!$E661+$M$2)</f>
        <v>0</v>
      </c>
      <c r="N659" s="38">
        <f>(('Raw Data'!$F661 * 2)-10)*Bill!$AC659</f>
        <v>0</v>
      </c>
      <c r="O659" s="38">
        <f>('Raw Data'!F661+Bill!$O$2)*Bill!$AD659</f>
        <v>0</v>
      </c>
      <c r="P659" s="38">
        <f>('Raw Data'!F661+Bill!$P$2)*Bill!$AE659</f>
        <v>0</v>
      </c>
      <c r="Q659" s="38">
        <f>Bill!$Z659*('Raw Data'!$E661+$Q$2)</f>
        <v>0</v>
      </c>
      <c r="R659" s="38">
        <f>('Raw Data'!F661+Bill!$R$2)*Bill!$AF659</f>
        <v>0</v>
      </c>
      <c r="S659" s="48">
        <f>('Raw Data'!G661/100)*Bill!$AG659</f>
        <v>0</v>
      </c>
      <c r="T659" s="38">
        <f>SUM(Bill!$L659:$R659)</f>
        <v>0</v>
      </c>
      <c r="U659" s="53"/>
      <c r="V659" s="50"/>
      <c r="W659" s="38">
        <f>Bill!$U659-Bill!$T659</f>
        <v>0</v>
      </c>
      <c r="Y659" s="37">
        <f>'Raw Data'!D661</f>
        <v>46217</v>
      </c>
      <c r="Z659" s="47">
        <v>0.0</v>
      </c>
      <c r="AA659" s="47"/>
      <c r="AB659" s="47"/>
      <c r="AC659" s="47"/>
      <c r="AD659" s="47"/>
      <c r="AE659" s="47"/>
      <c r="AF659" s="47"/>
      <c r="AG659" s="47"/>
    </row>
    <row r="660" ht="15.75" customHeight="1">
      <c r="A660" s="35">
        <f>Bill!$Y660</f>
        <v>46218</v>
      </c>
      <c r="B660" s="43">
        <f>'Raw Data'!E662+Bill!$L$2</f>
        <v>20</v>
      </c>
      <c r="C660" s="43">
        <f>'Raw Data'!E662+Bill!$M$2</f>
        <v>25</v>
      </c>
      <c r="D660" s="43">
        <f>('Raw Data'!$F662*2)-10</f>
        <v>-10</v>
      </c>
      <c r="E660" s="43">
        <f>'Raw Data'!F662+Bill!$O$2</f>
        <v>20</v>
      </c>
      <c r="F660" s="43">
        <f>'Raw Data'!F662+Bill!$P$2</f>
        <v>25</v>
      </c>
      <c r="G660" s="43">
        <f>'Raw Data'!E662+Bill!$Q$2</f>
        <v>50</v>
      </c>
      <c r="H660" s="43">
        <f>('Raw Data'!F662+Bill!$R$2)</f>
        <v>20</v>
      </c>
      <c r="I660" s="36">
        <f>'Raw Data'!G662/100</f>
        <v>0</v>
      </c>
      <c r="K660" s="37">
        <f>Bill!$Y660</f>
        <v>46218</v>
      </c>
      <c r="L660" s="38">
        <f>Bill!$AA660*('Raw Data'!$E662+$L$2)</f>
        <v>0</v>
      </c>
      <c r="M660" s="38">
        <f>Bill!$AB660*('Raw Data'!$E662+$M$2)</f>
        <v>0</v>
      </c>
      <c r="N660" s="38">
        <f>(('Raw Data'!$F662 * 2)-10)*Bill!$AC660</f>
        <v>0</v>
      </c>
      <c r="O660" s="38">
        <f>('Raw Data'!F662+Bill!$O$2)*Bill!$AD660</f>
        <v>0</v>
      </c>
      <c r="P660" s="38">
        <f>('Raw Data'!F662+Bill!$P$2)*Bill!$AE660</f>
        <v>0</v>
      </c>
      <c r="Q660" s="38">
        <f>Bill!$Z660*('Raw Data'!$E662+$Q$2)</f>
        <v>0</v>
      </c>
      <c r="R660" s="38">
        <f>('Raw Data'!F662+Bill!$R$2)*Bill!$AF660</f>
        <v>0</v>
      </c>
      <c r="S660" s="48">
        <f>('Raw Data'!G662/100)*Bill!$AG660</f>
        <v>0</v>
      </c>
      <c r="T660" s="38">
        <f>SUM(Bill!$L660:$R660)</f>
        <v>0</v>
      </c>
      <c r="U660" s="53"/>
      <c r="V660" s="50"/>
      <c r="W660" s="38">
        <f>Bill!$U660-Bill!$T660</f>
        <v>0</v>
      </c>
      <c r="Y660" s="37">
        <f>'Raw Data'!D662</f>
        <v>46218</v>
      </c>
      <c r="Z660" s="47">
        <v>0.0</v>
      </c>
      <c r="AA660" s="47"/>
      <c r="AB660" s="47"/>
      <c r="AC660" s="47"/>
      <c r="AD660" s="47"/>
      <c r="AE660" s="47"/>
      <c r="AF660" s="47"/>
      <c r="AG660" s="47"/>
    </row>
    <row r="661" ht="15.75" customHeight="1">
      <c r="A661" s="35">
        <f>Bill!$Y661</f>
        <v>46219</v>
      </c>
      <c r="B661" s="43">
        <f>'Raw Data'!E663+Bill!$L$2</f>
        <v>20</v>
      </c>
      <c r="C661" s="43">
        <f>'Raw Data'!E663+Bill!$M$2</f>
        <v>25</v>
      </c>
      <c r="D661" s="43">
        <f>('Raw Data'!$F663*2)-10</f>
        <v>-10</v>
      </c>
      <c r="E661" s="43">
        <f>'Raw Data'!F663+Bill!$O$2</f>
        <v>20</v>
      </c>
      <c r="F661" s="43">
        <f>'Raw Data'!F663+Bill!$P$2</f>
        <v>25</v>
      </c>
      <c r="G661" s="43">
        <f>'Raw Data'!E663+Bill!$Q$2</f>
        <v>50</v>
      </c>
      <c r="H661" s="43">
        <f>('Raw Data'!F663+Bill!$R$2)</f>
        <v>20</v>
      </c>
      <c r="I661" s="36">
        <f>'Raw Data'!G663/100</f>
        <v>0</v>
      </c>
      <c r="K661" s="37">
        <f>Bill!$Y661</f>
        <v>46219</v>
      </c>
      <c r="L661" s="38">
        <f>Bill!$AA661*('Raw Data'!$E663+$L$2)</f>
        <v>0</v>
      </c>
      <c r="M661" s="38">
        <f>Bill!$AB661*('Raw Data'!$E663+$M$2)</f>
        <v>0</v>
      </c>
      <c r="N661" s="38">
        <f>(('Raw Data'!$F663 * 2)-10)*Bill!$AC661</f>
        <v>0</v>
      </c>
      <c r="O661" s="38">
        <f>('Raw Data'!F663+Bill!$O$2)*Bill!$AD661</f>
        <v>0</v>
      </c>
      <c r="P661" s="38">
        <f>('Raw Data'!F663+Bill!$P$2)*Bill!$AE661</f>
        <v>0</v>
      </c>
      <c r="Q661" s="38">
        <f>Bill!$Z661*('Raw Data'!$E663+$Q$2)</f>
        <v>0</v>
      </c>
      <c r="R661" s="38">
        <f>('Raw Data'!F663+Bill!$R$2)*Bill!$AF661</f>
        <v>0</v>
      </c>
      <c r="S661" s="48">
        <f>('Raw Data'!G663/100)*Bill!$AG661</f>
        <v>0</v>
      </c>
      <c r="T661" s="38">
        <f>SUM(Bill!$L661:$R661)</f>
        <v>0</v>
      </c>
      <c r="U661" s="53"/>
      <c r="V661" s="50"/>
      <c r="W661" s="38">
        <f>Bill!$U661-Bill!$T661</f>
        <v>0</v>
      </c>
      <c r="Y661" s="37">
        <f>'Raw Data'!D663</f>
        <v>46219</v>
      </c>
      <c r="Z661" s="47">
        <v>0.0</v>
      </c>
      <c r="AA661" s="47"/>
      <c r="AB661" s="47"/>
      <c r="AC661" s="47"/>
      <c r="AD661" s="47"/>
      <c r="AE661" s="47"/>
      <c r="AF661" s="47"/>
      <c r="AG661" s="47"/>
    </row>
    <row r="662" ht="15.75" customHeight="1">
      <c r="A662" s="35">
        <f>Bill!$Y662</f>
        <v>46220</v>
      </c>
      <c r="B662" s="43">
        <f>'Raw Data'!E664+Bill!$L$2</f>
        <v>20</v>
      </c>
      <c r="C662" s="43">
        <f>'Raw Data'!E664+Bill!$M$2</f>
        <v>25</v>
      </c>
      <c r="D662" s="43">
        <f>('Raw Data'!$F664*2)-10</f>
        <v>-10</v>
      </c>
      <c r="E662" s="43">
        <f>'Raw Data'!F664+Bill!$O$2</f>
        <v>20</v>
      </c>
      <c r="F662" s="43">
        <f>'Raw Data'!F664+Bill!$P$2</f>
        <v>25</v>
      </c>
      <c r="G662" s="43">
        <f>'Raw Data'!E664+Bill!$Q$2</f>
        <v>50</v>
      </c>
      <c r="H662" s="43">
        <f>('Raw Data'!F664+Bill!$R$2)</f>
        <v>20</v>
      </c>
      <c r="I662" s="36">
        <f>'Raw Data'!G664/100</f>
        <v>0</v>
      </c>
      <c r="K662" s="37">
        <f>Bill!$Y662</f>
        <v>46220</v>
      </c>
      <c r="L662" s="38">
        <f>Bill!$AA662*('Raw Data'!$E664+$L$2)</f>
        <v>0</v>
      </c>
      <c r="M662" s="38">
        <f>Bill!$AB662*('Raw Data'!$E664+$M$2)</f>
        <v>0</v>
      </c>
      <c r="N662" s="38">
        <f>(('Raw Data'!$F664 * 2)-10)*Bill!$AC662</f>
        <v>0</v>
      </c>
      <c r="O662" s="38">
        <f>('Raw Data'!F664+Bill!$O$2)*Bill!$AD662</f>
        <v>0</v>
      </c>
      <c r="P662" s="38">
        <f>('Raw Data'!F664+Bill!$P$2)*Bill!$AE662</f>
        <v>0</v>
      </c>
      <c r="Q662" s="38">
        <f>Bill!$Z662*('Raw Data'!$E664+$Q$2)</f>
        <v>0</v>
      </c>
      <c r="R662" s="38">
        <f>('Raw Data'!F664+Bill!$R$2)*Bill!$AF662</f>
        <v>0</v>
      </c>
      <c r="S662" s="48">
        <f>('Raw Data'!G664/100)*Bill!$AG662</f>
        <v>0</v>
      </c>
      <c r="T662" s="38">
        <f>SUM(Bill!$L662:$R662)</f>
        <v>0</v>
      </c>
      <c r="U662" s="53"/>
      <c r="V662" s="50"/>
      <c r="W662" s="38">
        <f>Bill!$U662-Bill!$T662</f>
        <v>0</v>
      </c>
      <c r="Y662" s="37">
        <f>'Raw Data'!D664</f>
        <v>46220</v>
      </c>
      <c r="Z662" s="47">
        <v>0.0</v>
      </c>
      <c r="AA662" s="47"/>
      <c r="AB662" s="47"/>
      <c r="AC662" s="47"/>
      <c r="AD662" s="47"/>
      <c r="AE662" s="47"/>
      <c r="AF662" s="47"/>
      <c r="AG662" s="47"/>
    </row>
    <row r="663" ht="15.75" customHeight="1">
      <c r="A663" s="35">
        <f>Bill!$Y663</f>
        <v>46221</v>
      </c>
      <c r="B663" s="43">
        <f>'Raw Data'!E665+Bill!$L$2</f>
        <v>20</v>
      </c>
      <c r="C663" s="43">
        <f>'Raw Data'!E665+Bill!$M$2</f>
        <v>25</v>
      </c>
      <c r="D663" s="43">
        <f>('Raw Data'!$F665*2)-10</f>
        <v>-10</v>
      </c>
      <c r="E663" s="43">
        <f>'Raw Data'!F665+Bill!$O$2</f>
        <v>20</v>
      </c>
      <c r="F663" s="43">
        <f>'Raw Data'!F665+Bill!$P$2</f>
        <v>25</v>
      </c>
      <c r="G663" s="43">
        <f>'Raw Data'!E665+Bill!$Q$2</f>
        <v>50</v>
      </c>
      <c r="H663" s="43">
        <f>('Raw Data'!F665+Bill!$R$2)</f>
        <v>20</v>
      </c>
      <c r="I663" s="36">
        <f>'Raw Data'!G665/100</f>
        <v>0</v>
      </c>
      <c r="K663" s="37">
        <f>Bill!$Y663</f>
        <v>46221</v>
      </c>
      <c r="L663" s="38">
        <f>Bill!$AA663*('Raw Data'!$E665+$L$2)</f>
        <v>0</v>
      </c>
      <c r="M663" s="38">
        <f>Bill!$AB663*('Raw Data'!$E665+$M$2)</f>
        <v>0</v>
      </c>
      <c r="N663" s="38">
        <f>(('Raw Data'!$F665 * 2)-10)*Bill!$AC663</f>
        <v>0</v>
      </c>
      <c r="O663" s="38">
        <f>('Raw Data'!F665+Bill!$O$2)*Bill!$AD663</f>
        <v>0</v>
      </c>
      <c r="P663" s="38">
        <f>('Raw Data'!F665+Bill!$P$2)*Bill!$AE663</f>
        <v>0</v>
      </c>
      <c r="Q663" s="38">
        <f>Bill!$Z663*('Raw Data'!$E665+$Q$2)</f>
        <v>0</v>
      </c>
      <c r="R663" s="38">
        <f>('Raw Data'!F665+Bill!$R$2)*Bill!$AF663</f>
        <v>0</v>
      </c>
      <c r="S663" s="48">
        <f>('Raw Data'!G665/100)*Bill!$AG663</f>
        <v>0</v>
      </c>
      <c r="T663" s="38">
        <f>SUM(Bill!$L663:$R663)</f>
        <v>0</v>
      </c>
      <c r="U663" s="53"/>
      <c r="V663" s="50"/>
      <c r="W663" s="38">
        <f>Bill!$U663-Bill!$T663</f>
        <v>0</v>
      </c>
      <c r="Y663" s="37">
        <f>'Raw Data'!D665</f>
        <v>46221</v>
      </c>
      <c r="Z663" s="47">
        <v>0.0</v>
      </c>
      <c r="AA663" s="47"/>
      <c r="AB663" s="47"/>
      <c r="AC663" s="47"/>
      <c r="AD663" s="47"/>
      <c r="AE663" s="47"/>
      <c r="AF663" s="47"/>
      <c r="AG663" s="47"/>
    </row>
    <row r="664" ht="15.75" customHeight="1">
      <c r="A664" s="35">
        <f>Bill!$Y664</f>
        <v>46222</v>
      </c>
      <c r="B664" s="43">
        <f>'Raw Data'!E666+Bill!$L$2</f>
        <v>20</v>
      </c>
      <c r="C664" s="43">
        <f>'Raw Data'!E666+Bill!$M$2</f>
        <v>25</v>
      </c>
      <c r="D664" s="43">
        <f>('Raw Data'!$F666*2)-10</f>
        <v>-10</v>
      </c>
      <c r="E664" s="43">
        <f>'Raw Data'!F666+Bill!$O$2</f>
        <v>20</v>
      </c>
      <c r="F664" s="43">
        <f>'Raw Data'!F666+Bill!$P$2</f>
        <v>25</v>
      </c>
      <c r="G664" s="43">
        <f>'Raw Data'!E666+Bill!$Q$2</f>
        <v>50</v>
      </c>
      <c r="H664" s="43">
        <f>('Raw Data'!F666+Bill!$R$2)</f>
        <v>20</v>
      </c>
      <c r="I664" s="36">
        <f>'Raw Data'!G666/100</f>
        <v>0</v>
      </c>
      <c r="K664" s="37">
        <f>Bill!$Y664</f>
        <v>46222</v>
      </c>
      <c r="L664" s="38">
        <f>Bill!$AA664*('Raw Data'!$E666+$L$2)</f>
        <v>0</v>
      </c>
      <c r="M664" s="38">
        <f>Bill!$AB664*('Raw Data'!$E666+$M$2)</f>
        <v>0</v>
      </c>
      <c r="N664" s="38">
        <f>(('Raw Data'!$F666 * 2)-10)*Bill!$AC664</f>
        <v>0</v>
      </c>
      <c r="O664" s="38">
        <f>('Raw Data'!F666+Bill!$O$2)*Bill!$AD664</f>
        <v>0</v>
      </c>
      <c r="P664" s="38">
        <f>('Raw Data'!F666+Bill!$P$2)*Bill!$AE664</f>
        <v>0</v>
      </c>
      <c r="Q664" s="38">
        <f>Bill!$Z664*('Raw Data'!$E666+$Q$2)</f>
        <v>0</v>
      </c>
      <c r="R664" s="38">
        <f>('Raw Data'!F666+Bill!$R$2)*Bill!$AF664</f>
        <v>0</v>
      </c>
      <c r="S664" s="48">
        <f>('Raw Data'!G666/100)*Bill!$AG664</f>
        <v>0</v>
      </c>
      <c r="T664" s="38">
        <f>SUM(Bill!$L664:$R664)</f>
        <v>0</v>
      </c>
      <c r="U664" s="53"/>
      <c r="V664" s="50"/>
      <c r="W664" s="38">
        <f>Bill!$U664-Bill!$T664</f>
        <v>0</v>
      </c>
      <c r="Y664" s="37">
        <f>'Raw Data'!D666</f>
        <v>46222</v>
      </c>
      <c r="Z664" s="47">
        <v>0.0</v>
      </c>
      <c r="AA664" s="47"/>
      <c r="AB664" s="47"/>
      <c r="AC664" s="47"/>
      <c r="AD664" s="47"/>
      <c r="AE664" s="47"/>
      <c r="AF664" s="47"/>
      <c r="AG664" s="47"/>
    </row>
    <row r="665" ht="15.75" customHeight="1">
      <c r="A665" s="35">
        <f>Bill!$Y665</f>
        <v>46223</v>
      </c>
      <c r="B665" s="43">
        <f>'Raw Data'!E667+Bill!$L$2</f>
        <v>20</v>
      </c>
      <c r="C665" s="43">
        <f>'Raw Data'!E667+Bill!$M$2</f>
        <v>25</v>
      </c>
      <c r="D665" s="43">
        <f>('Raw Data'!$F667*2)-10</f>
        <v>-10</v>
      </c>
      <c r="E665" s="43">
        <f>'Raw Data'!F667+Bill!$O$2</f>
        <v>20</v>
      </c>
      <c r="F665" s="43">
        <f>'Raw Data'!F667+Bill!$P$2</f>
        <v>25</v>
      </c>
      <c r="G665" s="43">
        <f>'Raw Data'!E667+Bill!$Q$2</f>
        <v>50</v>
      </c>
      <c r="H665" s="43">
        <f>('Raw Data'!F667+Bill!$R$2)</f>
        <v>20</v>
      </c>
      <c r="I665" s="36">
        <f>'Raw Data'!G667/100</f>
        <v>0</v>
      </c>
      <c r="K665" s="37">
        <f>Bill!$Y665</f>
        <v>46223</v>
      </c>
      <c r="L665" s="38">
        <f>Bill!$AA665*('Raw Data'!$E667+$L$2)</f>
        <v>0</v>
      </c>
      <c r="M665" s="38">
        <f>Bill!$AB665*('Raw Data'!$E667+$M$2)</f>
        <v>0</v>
      </c>
      <c r="N665" s="38">
        <f>(('Raw Data'!$F667 * 2)-10)*Bill!$AC665</f>
        <v>0</v>
      </c>
      <c r="O665" s="38">
        <f>('Raw Data'!F667+Bill!$O$2)*Bill!$AD665</f>
        <v>0</v>
      </c>
      <c r="P665" s="38">
        <f>('Raw Data'!F667+Bill!$P$2)*Bill!$AE665</f>
        <v>0</v>
      </c>
      <c r="Q665" s="38">
        <f>Bill!$Z665*('Raw Data'!$E667+$Q$2)</f>
        <v>0</v>
      </c>
      <c r="R665" s="38">
        <f>('Raw Data'!F667+Bill!$R$2)*Bill!$AF665</f>
        <v>0</v>
      </c>
      <c r="S665" s="48">
        <f>('Raw Data'!G667/100)*Bill!$AG665</f>
        <v>0</v>
      </c>
      <c r="T665" s="38">
        <f>SUM(Bill!$L665:$R665)</f>
        <v>0</v>
      </c>
      <c r="U665" s="53"/>
      <c r="V665" s="50"/>
      <c r="W665" s="38">
        <f>Bill!$U665-Bill!$T665</f>
        <v>0</v>
      </c>
      <c r="Y665" s="37">
        <f>'Raw Data'!D667</f>
        <v>46223</v>
      </c>
      <c r="Z665" s="47">
        <v>0.0</v>
      </c>
      <c r="AA665" s="47"/>
      <c r="AB665" s="47"/>
      <c r="AC665" s="47"/>
      <c r="AD665" s="47"/>
      <c r="AE665" s="47"/>
      <c r="AF665" s="47"/>
      <c r="AG665" s="47"/>
    </row>
    <row r="666" ht="15.75" customHeight="1">
      <c r="A666" s="35">
        <f>Bill!$Y666</f>
        <v>46224</v>
      </c>
      <c r="B666" s="43">
        <f>'Raw Data'!E668+Bill!$L$2</f>
        <v>20</v>
      </c>
      <c r="C666" s="43">
        <f>'Raw Data'!E668+Bill!$M$2</f>
        <v>25</v>
      </c>
      <c r="D666" s="43">
        <f>('Raw Data'!$F668*2)-10</f>
        <v>-10</v>
      </c>
      <c r="E666" s="43">
        <f>'Raw Data'!F668+Bill!$O$2</f>
        <v>20</v>
      </c>
      <c r="F666" s="43">
        <f>'Raw Data'!F668+Bill!$P$2</f>
        <v>25</v>
      </c>
      <c r="G666" s="43">
        <f>'Raw Data'!E668+Bill!$Q$2</f>
        <v>50</v>
      </c>
      <c r="H666" s="43">
        <f>('Raw Data'!F668+Bill!$R$2)</f>
        <v>20</v>
      </c>
      <c r="I666" s="36">
        <f>'Raw Data'!G668/100</f>
        <v>0</v>
      </c>
      <c r="K666" s="37">
        <f>Bill!$Y666</f>
        <v>46224</v>
      </c>
      <c r="L666" s="38">
        <f>Bill!$AA666*('Raw Data'!$E668+$L$2)</f>
        <v>0</v>
      </c>
      <c r="M666" s="38">
        <f>Bill!$AB666*('Raw Data'!$E668+$M$2)</f>
        <v>0</v>
      </c>
      <c r="N666" s="38">
        <f>(('Raw Data'!$F668 * 2)-10)*Bill!$AC666</f>
        <v>0</v>
      </c>
      <c r="O666" s="38">
        <f>('Raw Data'!F668+Bill!$O$2)*Bill!$AD666</f>
        <v>0</v>
      </c>
      <c r="P666" s="38">
        <f>('Raw Data'!F668+Bill!$P$2)*Bill!$AE666</f>
        <v>0</v>
      </c>
      <c r="Q666" s="38">
        <f>Bill!$Z666*('Raw Data'!$E668+$Q$2)</f>
        <v>0</v>
      </c>
      <c r="R666" s="38">
        <f>('Raw Data'!F668+Bill!$R$2)*Bill!$AF666</f>
        <v>0</v>
      </c>
      <c r="S666" s="48">
        <f>('Raw Data'!G668/100)*Bill!$AG666</f>
        <v>0</v>
      </c>
      <c r="T666" s="38">
        <f>SUM(Bill!$L666:$R666)</f>
        <v>0</v>
      </c>
      <c r="U666" s="53"/>
      <c r="V666" s="50"/>
      <c r="W666" s="38">
        <f>Bill!$U666-Bill!$T666</f>
        <v>0</v>
      </c>
      <c r="Y666" s="37">
        <f>'Raw Data'!D668</f>
        <v>46224</v>
      </c>
      <c r="Z666" s="47">
        <v>0.0</v>
      </c>
      <c r="AA666" s="47"/>
      <c r="AB666" s="47"/>
      <c r="AC666" s="47"/>
      <c r="AD666" s="47"/>
      <c r="AE666" s="47"/>
      <c r="AF666" s="47"/>
      <c r="AG666" s="47"/>
    </row>
    <row r="667" ht="15.75" customHeight="1">
      <c r="A667" s="35">
        <f>Bill!$Y667</f>
        <v>46225</v>
      </c>
      <c r="B667" s="43">
        <f>'Raw Data'!E669+Bill!$L$2</f>
        <v>20</v>
      </c>
      <c r="C667" s="43">
        <f>'Raw Data'!E669+Bill!$M$2</f>
        <v>25</v>
      </c>
      <c r="D667" s="43">
        <f>('Raw Data'!$F669*2)-10</f>
        <v>-10</v>
      </c>
      <c r="E667" s="43">
        <f>'Raw Data'!F669+Bill!$O$2</f>
        <v>20</v>
      </c>
      <c r="F667" s="43">
        <f>'Raw Data'!F669+Bill!$P$2</f>
        <v>25</v>
      </c>
      <c r="G667" s="43">
        <f>'Raw Data'!E669+Bill!$Q$2</f>
        <v>50</v>
      </c>
      <c r="H667" s="43">
        <f>('Raw Data'!F669+Bill!$R$2)</f>
        <v>20</v>
      </c>
      <c r="I667" s="36">
        <f>'Raw Data'!G669/100</f>
        <v>0</v>
      </c>
      <c r="K667" s="37">
        <f>Bill!$Y667</f>
        <v>46225</v>
      </c>
      <c r="L667" s="38">
        <f>Bill!$AA667*('Raw Data'!$E669+$L$2)</f>
        <v>0</v>
      </c>
      <c r="M667" s="38">
        <f>Bill!$AB667*('Raw Data'!$E669+$M$2)</f>
        <v>0</v>
      </c>
      <c r="N667" s="38">
        <f>(('Raw Data'!$F669 * 2)-10)*Bill!$AC667</f>
        <v>0</v>
      </c>
      <c r="O667" s="38">
        <f>('Raw Data'!F669+Bill!$O$2)*Bill!$AD667</f>
        <v>0</v>
      </c>
      <c r="P667" s="38">
        <f>('Raw Data'!F669+Bill!$P$2)*Bill!$AE667</f>
        <v>0</v>
      </c>
      <c r="Q667" s="38">
        <f>Bill!$Z667*('Raw Data'!$E669+$Q$2)</f>
        <v>0</v>
      </c>
      <c r="R667" s="38">
        <f>('Raw Data'!F669+Bill!$R$2)*Bill!$AF667</f>
        <v>0</v>
      </c>
      <c r="S667" s="48">
        <f>('Raw Data'!G669/100)*Bill!$AG667</f>
        <v>0</v>
      </c>
      <c r="T667" s="38">
        <f>SUM(Bill!$L667:$R667)</f>
        <v>0</v>
      </c>
      <c r="U667" s="53"/>
      <c r="V667" s="50"/>
      <c r="W667" s="38">
        <f>Bill!$U667-Bill!$T667</f>
        <v>0</v>
      </c>
      <c r="Y667" s="37">
        <f>'Raw Data'!D669</f>
        <v>46225</v>
      </c>
      <c r="Z667" s="47">
        <v>0.0</v>
      </c>
      <c r="AA667" s="47"/>
      <c r="AB667" s="47"/>
      <c r="AC667" s="47"/>
      <c r="AD667" s="47"/>
      <c r="AE667" s="47"/>
      <c r="AF667" s="47"/>
      <c r="AG667" s="47"/>
    </row>
    <row r="668" ht="15.75" customHeight="1">
      <c r="A668" s="35">
        <f>Bill!$Y668</f>
        <v>46226</v>
      </c>
      <c r="B668" s="43">
        <f>'Raw Data'!E670+Bill!$L$2</f>
        <v>20</v>
      </c>
      <c r="C668" s="43">
        <f>'Raw Data'!E670+Bill!$M$2</f>
        <v>25</v>
      </c>
      <c r="D668" s="43">
        <f>('Raw Data'!$F670*2)-10</f>
        <v>-10</v>
      </c>
      <c r="E668" s="43">
        <f>'Raw Data'!F670+Bill!$O$2</f>
        <v>20</v>
      </c>
      <c r="F668" s="43">
        <f>'Raw Data'!F670+Bill!$P$2</f>
        <v>25</v>
      </c>
      <c r="G668" s="43">
        <f>'Raw Data'!E670+Bill!$Q$2</f>
        <v>50</v>
      </c>
      <c r="H668" s="43">
        <f>('Raw Data'!F670+Bill!$R$2)</f>
        <v>20</v>
      </c>
      <c r="I668" s="36">
        <f>'Raw Data'!G670/100</f>
        <v>0</v>
      </c>
      <c r="K668" s="37">
        <f>Bill!$Y668</f>
        <v>46226</v>
      </c>
      <c r="L668" s="38">
        <f>Bill!$AA668*('Raw Data'!$E670+$L$2)</f>
        <v>0</v>
      </c>
      <c r="M668" s="38">
        <f>Bill!$AB668*('Raw Data'!$E670+$M$2)</f>
        <v>0</v>
      </c>
      <c r="N668" s="38">
        <f>(('Raw Data'!$F670 * 2)-10)*Bill!$AC668</f>
        <v>0</v>
      </c>
      <c r="O668" s="38">
        <f>('Raw Data'!F670+Bill!$O$2)*Bill!$AD668</f>
        <v>0</v>
      </c>
      <c r="P668" s="38">
        <f>('Raw Data'!F670+Bill!$P$2)*Bill!$AE668</f>
        <v>0</v>
      </c>
      <c r="Q668" s="38">
        <f>Bill!$Z668*('Raw Data'!$E670+$Q$2)</f>
        <v>0</v>
      </c>
      <c r="R668" s="38">
        <f>('Raw Data'!F670+Bill!$R$2)*Bill!$AF668</f>
        <v>0</v>
      </c>
      <c r="S668" s="48">
        <f>('Raw Data'!G670/100)*Bill!$AG668</f>
        <v>0</v>
      </c>
      <c r="T668" s="38">
        <f>SUM(Bill!$L668:$R668)</f>
        <v>0</v>
      </c>
      <c r="U668" s="53"/>
      <c r="V668" s="50"/>
      <c r="W668" s="38">
        <f>Bill!$U668-Bill!$T668</f>
        <v>0</v>
      </c>
      <c r="Y668" s="37">
        <f>'Raw Data'!D670</f>
        <v>46226</v>
      </c>
      <c r="Z668" s="47">
        <v>0.0</v>
      </c>
      <c r="AA668" s="47"/>
      <c r="AB668" s="47"/>
      <c r="AC668" s="47"/>
      <c r="AD668" s="47"/>
      <c r="AE668" s="47"/>
      <c r="AF668" s="47"/>
      <c r="AG668" s="47"/>
    </row>
    <row r="669" ht="15.75" customHeight="1">
      <c r="A669" s="35">
        <f>Bill!$Y669</f>
        <v>46227</v>
      </c>
      <c r="B669" s="43">
        <f>'Raw Data'!E671+Bill!$L$2</f>
        <v>20</v>
      </c>
      <c r="C669" s="43">
        <f>'Raw Data'!E671+Bill!$M$2</f>
        <v>25</v>
      </c>
      <c r="D669" s="43">
        <f>('Raw Data'!$F671*2)-10</f>
        <v>-10</v>
      </c>
      <c r="E669" s="43">
        <f>'Raw Data'!F671+Bill!$O$2</f>
        <v>20</v>
      </c>
      <c r="F669" s="43">
        <f>'Raw Data'!F671+Bill!$P$2</f>
        <v>25</v>
      </c>
      <c r="G669" s="43">
        <f>'Raw Data'!E671+Bill!$Q$2</f>
        <v>50</v>
      </c>
      <c r="H669" s="43">
        <f>('Raw Data'!F671+Bill!$R$2)</f>
        <v>20</v>
      </c>
      <c r="I669" s="36">
        <f>'Raw Data'!G671/100</f>
        <v>0</v>
      </c>
      <c r="K669" s="37">
        <f>Bill!$Y669</f>
        <v>46227</v>
      </c>
      <c r="L669" s="38">
        <f>Bill!$AA669*('Raw Data'!$E671+$L$2)</f>
        <v>0</v>
      </c>
      <c r="M669" s="38">
        <f>Bill!$AB669*('Raw Data'!$E671+$M$2)</f>
        <v>0</v>
      </c>
      <c r="N669" s="38">
        <f>(('Raw Data'!$F671 * 2)-10)*Bill!$AC669</f>
        <v>0</v>
      </c>
      <c r="O669" s="38">
        <f>('Raw Data'!F671+Bill!$O$2)*Bill!$AD669</f>
        <v>0</v>
      </c>
      <c r="P669" s="38">
        <f>('Raw Data'!F671+Bill!$P$2)*Bill!$AE669</f>
        <v>0</v>
      </c>
      <c r="Q669" s="38">
        <f>Bill!$Z669*('Raw Data'!$E671+$Q$2)</f>
        <v>0</v>
      </c>
      <c r="R669" s="38">
        <f>('Raw Data'!F671+Bill!$R$2)*Bill!$AF669</f>
        <v>0</v>
      </c>
      <c r="S669" s="48">
        <f>('Raw Data'!G671/100)*Bill!$AG669</f>
        <v>0</v>
      </c>
      <c r="T669" s="38">
        <f>SUM(Bill!$L669:$R669)</f>
        <v>0</v>
      </c>
      <c r="U669" s="53"/>
      <c r="V669" s="50"/>
      <c r="W669" s="38">
        <f>Bill!$U669-Bill!$T669</f>
        <v>0</v>
      </c>
      <c r="Y669" s="37">
        <f>'Raw Data'!D671</f>
        <v>46227</v>
      </c>
      <c r="Z669" s="47">
        <v>0.0</v>
      </c>
      <c r="AA669" s="47"/>
      <c r="AB669" s="47"/>
      <c r="AC669" s="47"/>
      <c r="AD669" s="47"/>
      <c r="AE669" s="47"/>
      <c r="AF669" s="47"/>
      <c r="AG669" s="47"/>
    </row>
    <row r="670" ht="15.75" customHeight="1">
      <c r="A670" s="35">
        <f>Bill!$Y670</f>
        <v>46228</v>
      </c>
      <c r="B670" s="43">
        <f>'Raw Data'!E672+Bill!$L$2</f>
        <v>20</v>
      </c>
      <c r="C670" s="43">
        <f>'Raw Data'!E672+Bill!$M$2</f>
        <v>25</v>
      </c>
      <c r="D670" s="43">
        <f>('Raw Data'!$F672*2)-10</f>
        <v>-10</v>
      </c>
      <c r="E670" s="43">
        <f>'Raw Data'!F672+Bill!$O$2</f>
        <v>20</v>
      </c>
      <c r="F670" s="43">
        <f>'Raw Data'!F672+Bill!$P$2</f>
        <v>25</v>
      </c>
      <c r="G670" s="43">
        <f>'Raw Data'!E672+Bill!$Q$2</f>
        <v>50</v>
      </c>
      <c r="H670" s="43">
        <f>('Raw Data'!F672+Bill!$R$2)</f>
        <v>20</v>
      </c>
      <c r="I670" s="36">
        <f>'Raw Data'!G672/100</f>
        <v>0</v>
      </c>
      <c r="K670" s="37">
        <f>Bill!$Y670</f>
        <v>46228</v>
      </c>
      <c r="L670" s="38">
        <f>Bill!$AA670*('Raw Data'!$E672+$L$2)</f>
        <v>0</v>
      </c>
      <c r="M670" s="38">
        <f>Bill!$AB670*('Raw Data'!$E672+$M$2)</f>
        <v>0</v>
      </c>
      <c r="N670" s="38">
        <f>(('Raw Data'!$F672 * 2)-10)*Bill!$AC670</f>
        <v>0</v>
      </c>
      <c r="O670" s="38">
        <f>('Raw Data'!F672+Bill!$O$2)*Bill!$AD670</f>
        <v>0</v>
      </c>
      <c r="P670" s="38">
        <f>('Raw Data'!F672+Bill!$P$2)*Bill!$AE670</f>
        <v>0</v>
      </c>
      <c r="Q670" s="38">
        <f>Bill!$Z670*('Raw Data'!$E672+$Q$2)</f>
        <v>0</v>
      </c>
      <c r="R670" s="38">
        <f>('Raw Data'!F672+Bill!$R$2)*Bill!$AF670</f>
        <v>0</v>
      </c>
      <c r="S670" s="48">
        <f>('Raw Data'!G672/100)*Bill!$AG670</f>
        <v>0</v>
      </c>
      <c r="T670" s="38">
        <f>SUM(Bill!$L670:$R670)</f>
        <v>0</v>
      </c>
      <c r="U670" s="53"/>
      <c r="V670" s="50"/>
      <c r="W670" s="38">
        <f>Bill!$U670-Bill!$T670</f>
        <v>0</v>
      </c>
      <c r="Y670" s="37">
        <f>'Raw Data'!D672</f>
        <v>46228</v>
      </c>
      <c r="Z670" s="47">
        <v>0.0</v>
      </c>
      <c r="AA670" s="47"/>
      <c r="AB670" s="47"/>
      <c r="AC670" s="47"/>
      <c r="AD670" s="47"/>
      <c r="AE670" s="47"/>
      <c r="AF670" s="47"/>
      <c r="AG670" s="47"/>
    </row>
    <row r="671" ht="15.75" customHeight="1">
      <c r="A671" s="35">
        <f>Bill!$Y671</f>
        <v>46229</v>
      </c>
      <c r="B671" s="43">
        <f>'Raw Data'!E673+Bill!$L$2</f>
        <v>20</v>
      </c>
      <c r="C671" s="43">
        <f>'Raw Data'!E673+Bill!$M$2</f>
        <v>25</v>
      </c>
      <c r="D671" s="43">
        <f>('Raw Data'!$F673*2)-10</f>
        <v>-10</v>
      </c>
      <c r="E671" s="43">
        <f>'Raw Data'!F673+Bill!$O$2</f>
        <v>20</v>
      </c>
      <c r="F671" s="43">
        <f>'Raw Data'!F673+Bill!$P$2</f>
        <v>25</v>
      </c>
      <c r="G671" s="43">
        <f>'Raw Data'!E673+Bill!$Q$2</f>
        <v>50</v>
      </c>
      <c r="H671" s="43">
        <f>('Raw Data'!F673+Bill!$R$2)</f>
        <v>20</v>
      </c>
      <c r="I671" s="36">
        <f>'Raw Data'!G673/100</f>
        <v>0</v>
      </c>
      <c r="K671" s="37">
        <f>Bill!$Y671</f>
        <v>46229</v>
      </c>
      <c r="L671" s="38">
        <f>Bill!$AA671*('Raw Data'!$E673+$L$2)</f>
        <v>0</v>
      </c>
      <c r="M671" s="38">
        <f>Bill!$AB671*('Raw Data'!$E673+$M$2)</f>
        <v>0</v>
      </c>
      <c r="N671" s="38">
        <f>(('Raw Data'!$F673 * 2)-10)*Bill!$AC671</f>
        <v>0</v>
      </c>
      <c r="O671" s="38">
        <f>('Raw Data'!F673+Bill!$O$2)*Bill!$AD671</f>
        <v>0</v>
      </c>
      <c r="P671" s="38">
        <f>('Raw Data'!F673+Bill!$P$2)*Bill!$AE671</f>
        <v>0</v>
      </c>
      <c r="Q671" s="38">
        <f>Bill!$Z671*('Raw Data'!$E673+$Q$2)</f>
        <v>0</v>
      </c>
      <c r="R671" s="38">
        <f>('Raw Data'!F673+Bill!$R$2)*Bill!$AF671</f>
        <v>0</v>
      </c>
      <c r="S671" s="48">
        <f>('Raw Data'!G673/100)*Bill!$AG671</f>
        <v>0</v>
      </c>
      <c r="T671" s="38">
        <f>SUM(Bill!$L671:$R671)</f>
        <v>0</v>
      </c>
      <c r="U671" s="53"/>
      <c r="V671" s="50"/>
      <c r="W671" s="38">
        <f>Bill!$U671-Bill!$T671</f>
        <v>0</v>
      </c>
      <c r="Y671" s="37">
        <f>'Raw Data'!D673</f>
        <v>46229</v>
      </c>
      <c r="Z671" s="47">
        <v>0.0</v>
      </c>
      <c r="AA671" s="47"/>
      <c r="AB671" s="47"/>
      <c r="AC671" s="47"/>
      <c r="AD671" s="47"/>
      <c r="AE671" s="47"/>
      <c r="AF671" s="47"/>
      <c r="AG671" s="47"/>
    </row>
    <row r="672" ht="15.75" customHeight="1">
      <c r="A672" s="35">
        <f>Bill!$Y672</f>
        <v>46230</v>
      </c>
      <c r="B672" s="43">
        <f>'Raw Data'!E674+Bill!$L$2</f>
        <v>20</v>
      </c>
      <c r="C672" s="43">
        <f>'Raw Data'!E674+Bill!$M$2</f>
        <v>25</v>
      </c>
      <c r="D672" s="43">
        <f>('Raw Data'!$F674*2)-10</f>
        <v>-10</v>
      </c>
      <c r="E672" s="43">
        <f>'Raw Data'!F674+Bill!$O$2</f>
        <v>20</v>
      </c>
      <c r="F672" s="43">
        <f>'Raw Data'!F674+Bill!$P$2</f>
        <v>25</v>
      </c>
      <c r="G672" s="43">
        <f>'Raw Data'!E674+Bill!$Q$2</f>
        <v>50</v>
      </c>
      <c r="H672" s="43">
        <f>('Raw Data'!F674+Bill!$R$2)</f>
        <v>20</v>
      </c>
      <c r="I672" s="36">
        <f>'Raw Data'!G674/100</f>
        <v>0</v>
      </c>
      <c r="K672" s="37">
        <f>Bill!$Y672</f>
        <v>46230</v>
      </c>
      <c r="L672" s="38">
        <f>Bill!$AA672*('Raw Data'!$E674+$L$2)</f>
        <v>0</v>
      </c>
      <c r="M672" s="38">
        <f>Bill!$AB672*('Raw Data'!$E674+$M$2)</f>
        <v>0</v>
      </c>
      <c r="N672" s="38">
        <f>(('Raw Data'!$F674 * 2)-10)*Bill!$AC672</f>
        <v>0</v>
      </c>
      <c r="O672" s="38">
        <f>('Raw Data'!F674+Bill!$O$2)*Bill!$AD672</f>
        <v>0</v>
      </c>
      <c r="P672" s="38">
        <f>('Raw Data'!F674+Bill!$P$2)*Bill!$AE672</f>
        <v>0</v>
      </c>
      <c r="Q672" s="38">
        <f>Bill!$Z672*('Raw Data'!$E674+$Q$2)</f>
        <v>0</v>
      </c>
      <c r="R672" s="38">
        <f>('Raw Data'!F674+Bill!$R$2)*Bill!$AF672</f>
        <v>0</v>
      </c>
      <c r="S672" s="48">
        <f>('Raw Data'!G674/100)*Bill!$AG672</f>
        <v>0</v>
      </c>
      <c r="T672" s="38">
        <f>SUM(Bill!$L672:$R672)</f>
        <v>0</v>
      </c>
      <c r="U672" s="53"/>
      <c r="V672" s="50"/>
      <c r="W672" s="38">
        <f>Bill!$U672-Bill!$T672</f>
        <v>0</v>
      </c>
      <c r="Y672" s="37">
        <f>'Raw Data'!D674</f>
        <v>46230</v>
      </c>
      <c r="Z672" s="47">
        <v>0.0</v>
      </c>
      <c r="AA672" s="47"/>
      <c r="AB672" s="47"/>
      <c r="AC672" s="47"/>
      <c r="AD672" s="47"/>
      <c r="AE672" s="47"/>
      <c r="AF672" s="47"/>
      <c r="AG672" s="47"/>
    </row>
    <row r="673" ht="15.75" customHeight="1">
      <c r="A673" s="35">
        <f>Bill!$Y673</f>
        <v>46231</v>
      </c>
      <c r="B673" s="43">
        <f>'Raw Data'!E675+Bill!$L$2</f>
        <v>20</v>
      </c>
      <c r="C673" s="43">
        <f>'Raw Data'!E675+Bill!$M$2</f>
        <v>25</v>
      </c>
      <c r="D673" s="43">
        <f>('Raw Data'!$F675*2)-10</f>
        <v>-10</v>
      </c>
      <c r="E673" s="43">
        <f>'Raw Data'!F675+Bill!$O$2</f>
        <v>20</v>
      </c>
      <c r="F673" s="43">
        <f>'Raw Data'!F675+Bill!$P$2</f>
        <v>25</v>
      </c>
      <c r="G673" s="43">
        <f>'Raw Data'!E675+Bill!$Q$2</f>
        <v>50</v>
      </c>
      <c r="H673" s="43">
        <f>('Raw Data'!F675+Bill!$R$2)</f>
        <v>20</v>
      </c>
      <c r="I673" s="36">
        <f>'Raw Data'!G675/100</f>
        <v>0</v>
      </c>
      <c r="K673" s="37">
        <f>Bill!$Y673</f>
        <v>46231</v>
      </c>
      <c r="L673" s="38">
        <f>Bill!$AA673*('Raw Data'!$E675+$L$2)</f>
        <v>0</v>
      </c>
      <c r="M673" s="38">
        <f>Bill!$AB673*('Raw Data'!$E675+$M$2)</f>
        <v>0</v>
      </c>
      <c r="N673" s="38">
        <f>(('Raw Data'!$F675 * 2)-10)*Bill!$AC673</f>
        <v>0</v>
      </c>
      <c r="O673" s="38">
        <f>('Raw Data'!F675+Bill!$O$2)*Bill!$AD673</f>
        <v>0</v>
      </c>
      <c r="P673" s="38">
        <f>('Raw Data'!F675+Bill!$P$2)*Bill!$AE673</f>
        <v>0</v>
      </c>
      <c r="Q673" s="38">
        <f>Bill!$Z673*('Raw Data'!$E675+$Q$2)</f>
        <v>0</v>
      </c>
      <c r="R673" s="38">
        <f>('Raw Data'!F675+Bill!$R$2)*Bill!$AF673</f>
        <v>0</v>
      </c>
      <c r="S673" s="48">
        <f>('Raw Data'!G675/100)*Bill!$AG673</f>
        <v>0</v>
      </c>
      <c r="T673" s="38">
        <f>SUM(Bill!$L673:$R673)</f>
        <v>0</v>
      </c>
      <c r="U673" s="53"/>
      <c r="V673" s="50"/>
      <c r="W673" s="38">
        <f>Bill!$U673-Bill!$T673</f>
        <v>0</v>
      </c>
      <c r="Y673" s="37">
        <f>'Raw Data'!D675</f>
        <v>46231</v>
      </c>
      <c r="Z673" s="47">
        <v>0.0</v>
      </c>
      <c r="AA673" s="47"/>
      <c r="AB673" s="47"/>
      <c r="AC673" s="47"/>
      <c r="AD673" s="47"/>
      <c r="AE673" s="47"/>
      <c r="AF673" s="47"/>
      <c r="AG673" s="47"/>
    </row>
    <row r="674" ht="15.75" customHeight="1">
      <c r="A674" s="35">
        <f>Bill!$Y674</f>
        <v>46232</v>
      </c>
      <c r="B674" s="43">
        <f>'Raw Data'!E676+Bill!$L$2</f>
        <v>20</v>
      </c>
      <c r="C674" s="43">
        <f>'Raw Data'!E676+Bill!$M$2</f>
        <v>25</v>
      </c>
      <c r="D674" s="43">
        <f>('Raw Data'!$F676*2)-10</f>
        <v>-10</v>
      </c>
      <c r="E674" s="43">
        <f>'Raw Data'!F676+Bill!$O$2</f>
        <v>20</v>
      </c>
      <c r="F674" s="43">
        <f>'Raw Data'!F676+Bill!$P$2</f>
        <v>25</v>
      </c>
      <c r="G674" s="43">
        <f>'Raw Data'!E676+Bill!$Q$2</f>
        <v>50</v>
      </c>
      <c r="H674" s="43">
        <f>('Raw Data'!F676+Bill!$R$2)</f>
        <v>20</v>
      </c>
      <c r="I674" s="36">
        <f>'Raw Data'!G676/100</f>
        <v>0</v>
      </c>
      <c r="K674" s="37">
        <f>Bill!$Y674</f>
        <v>46232</v>
      </c>
      <c r="L674" s="38">
        <f>Bill!$AA674*('Raw Data'!$E676+$L$2)</f>
        <v>0</v>
      </c>
      <c r="M674" s="38">
        <f>Bill!$AB674*('Raw Data'!$E676+$M$2)</f>
        <v>0</v>
      </c>
      <c r="N674" s="38">
        <f>(('Raw Data'!$F676 * 2)-10)*Bill!$AC674</f>
        <v>0</v>
      </c>
      <c r="O674" s="38">
        <f>('Raw Data'!F676+Bill!$O$2)*Bill!$AD674</f>
        <v>0</v>
      </c>
      <c r="P674" s="38">
        <f>('Raw Data'!F676+Bill!$P$2)*Bill!$AE674</f>
        <v>0</v>
      </c>
      <c r="Q674" s="38">
        <f>Bill!$Z674*('Raw Data'!$E676+$Q$2)</f>
        <v>0</v>
      </c>
      <c r="R674" s="38">
        <f>('Raw Data'!F676+Bill!$R$2)*Bill!$AF674</f>
        <v>0</v>
      </c>
      <c r="S674" s="48">
        <f>('Raw Data'!G676/100)*Bill!$AG674</f>
        <v>0</v>
      </c>
      <c r="T674" s="38">
        <f>SUM(Bill!$L674:$R674)</f>
        <v>0</v>
      </c>
      <c r="U674" s="53"/>
      <c r="V674" s="50"/>
      <c r="W674" s="38">
        <f>Bill!$U674-Bill!$T674</f>
        <v>0</v>
      </c>
      <c r="Y674" s="37">
        <f>'Raw Data'!D676</f>
        <v>46232</v>
      </c>
      <c r="Z674" s="47">
        <v>0.0</v>
      </c>
      <c r="AA674" s="47"/>
      <c r="AB674" s="47"/>
      <c r="AC674" s="47"/>
      <c r="AD674" s="47"/>
      <c r="AE674" s="47"/>
      <c r="AF674" s="47"/>
      <c r="AG674" s="47"/>
    </row>
    <row r="675" ht="15.75" customHeight="1">
      <c r="A675" s="35">
        <f>Bill!$Y675</f>
        <v>46233</v>
      </c>
      <c r="B675" s="43">
        <f>'Raw Data'!E677+Bill!$L$2</f>
        <v>20</v>
      </c>
      <c r="C675" s="43">
        <f>'Raw Data'!E677+Bill!$M$2</f>
        <v>25</v>
      </c>
      <c r="D675" s="43">
        <f>('Raw Data'!$F677*2)-10</f>
        <v>-10</v>
      </c>
      <c r="E675" s="43">
        <f>'Raw Data'!F677+Bill!$O$2</f>
        <v>20</v>
      </c>
      <c r="F675" s="43">
        <f>'Raw Data'!F677+Bill!$P$2</f>
        <v>25</v>
      </c>
      <c r="G675" s="43">
        <f>'Raw Data'!E677+Bill!$Q$2</f>
        <v>50</v>
      </c>
      <c r="H675" s="43">
        <f>('Raw Data'!F677+Bill!$R$2)</f>
        <v>20</v>
      </c>
      <c r="I675" s="36">
        <f>'Raw Data'!G677/100</f>
        <v>0</v>
      </c>
      <c r="K675" s="37">
        <f>Bill!$Y675</f>
        <v>46233</v>
      </c>
      <c r="L675" s="38">
        <f>Bill!$AA675*('Raw Data'!$E677+$L$2)</f>
        <v>0</v>
      </c>
      <c r="M675" s="38">
        <f>Bill!$AB675*('Raw Data'!$E677+$M$2)</f>
        <v>0</v>
      </c>
      <c r="N675" s="38">
        <f>(('Raw Data'!$F677 * 2)-10)*Bill!$AC675</f>
        <v>0</v>
      </c>
      <c r="O675" s="38">
        <f>('Raw Data'!F677+Bill!$O$2)*Bill!$AD675</f>
        <v>0</v>
      </c>
      <c r="P675" s="38">
        <f>('Raw Data'!F677+Bill!$P$2)*Bill!$AE675</f>
        <v>0</v>
      </c>
      <c r="Q675" s="38">
        <f>Bill!$Z675*('Raw Data'!$E677+$Q$2)</f>
        <v>0</v>
      </c>
      <c r="R675" s="38">
        <f>('Raw Data'!F677+Bill!$R$2)*Bill!$AF675</f>
        <v>0</v>
      </c>
      <c r="S675" s="48">
        <f>('Raw Data'!G677/100)*Bill!$AG675</f>
        <v>0</v>
      </c>
      <c r="T675" s="38">
        <f>SUM(Bill!$L675:$R675)</f>
        <v>0</v>
      </c>
      <c r="U675" s="53"/>
      <c r="V675" s="50"/>
      <c r="W675" s="38">
        <f>Bill!$U675-Bill!$T675</f>
        <v>0</v>
      </c>
      <c r="Y675" s="37">
        <f>'Raw Data'!D677</f>
        <v>46233</v>
      </c>
      <c r="Z675" s="47">
        <v>0.0</v>
      </c>
      <c r="AA675" s="47"/>
      <c r="AB675" s="47"/>
      <c r="AC675" s="47"/>
      <c r="AD675" s="47"/>
      <c r="AE675" s="47"/>
      <c r="AF675" s="47"/>
      <c r="AG675" s="47"/>
    </row>
    <row r="676" ht="15.75" customHeight="1">
      <c r="A676" s="35">
        <f>Bill!$Y676</f>
        <v>46234</v>
      </c>
      <c r="B676" s="43">
        <f>'Raw Data'!E678+Bill!$L$2</f>
        <v>20</v>
      </c>
      <c r="C676" s="43">
        <f>'Raw Data'!E678+Bill!$M$2</f>
        <v>25</v>
      </c>
      <c r="D676" s="43">
        <f>('Raw Data'!$F678*2)-10</f>
        <v>-10</v>
      </c>
      <c r="E676" s="43">
        <f>'Raw Data'!F678+Bill!$O$2</f>
        <v>20</v>
      </c>
      <c r="F676" s="43">
        <f>'Raw Data'!F678+Bill!$P$2</f>
        <v>25</v>
      </c>
      <c r="G676" s="43">
        <f>'Raw Data'!E678+Bill!$Q$2</f>
        <v>50</v>
      </c>
      <c r="H676" s="43">
        <f>('Raw Data'!F678+Bill!$R$2)</f>
        <v>20</v>
      </c>
      <c r="I676" s="36">
        <f>'Raw Data'!G678/100</f>
        <v>0</v>
      </c>
      <c r="K676" s="37">
        <f>Bill!$Y676</f>
        <v>46234</v>
      </c>
      <c r="L676" s="38">
        <f>Bill!$AA676*('Raw Data'!$E678+$L$2)</f>
        <v>0</v>
      </c>
      <c r="M676" s="38">
        <f>Bill!$AB676*('Raw Data'!$E678+$M$2)</f>
        <v>0</v>
      </c>
      <c r="N676" s="38">
        <f>(('Raw Data'!$F678 * 2)-10)*Bill!$AC676</f>
        <v>0</v>
      </c>
      <c r="O676" s="38">
        <f>('Raw Data'!F678+Bill!$O$2)*Bill!$AD676</f>
        <v>0</v>
      </c>
      <c r="P676" s="38">
        <f>('Raw Data'!F678+Bill!$P$2)*Bill!$AE676</f>
        <v>0</v>
      </c>
      <c r="Q676" s="38">
        <f>Bill!$Z676*('Raw Data'!$E678+$Q$2)</f>
        <v>0</v>
      </c>
      <c r="R676" s="38">
        <f>('Raw Data'!F678+Bill!$R$2)*Bill!$AF676</f>
        <v>0</v>
      </c>
      <c r="S676" s="48">
        <f>('Raw Data'!G678/100)*Bill!$AG676</f>
        <v>0</v>
      </c>
      <c r="T676" s="38">
        <f>SUM(Bill!$L676:$R676)</f>
        <v>0</v>
      </c>
      <c r="U676" s="53"/>
      <c r="V676" s="50"/>
      <c r="W676" s="38">
        <f>Bill!$U676-Bill!$T676</f>
        <v>0</v>
      </c>
      <c r="Y676" s="37">
        <f>'Raw Data'!D678</f>
        <v>46234</v>
      </c>
      <c r="Z676" s="47">
        <v>0.0</v>
      </c>
      <c r="AA676" s="47"/>
      <c r="AB676" s="47"/>
      <c r="AC676" s="47"/>
      <c r="AD676" s="47"/>
      <c r="AE676" s="47"/>
      <c r="AF676" s="47"/>
      <c r="AG676" s="47"/>
    </row>
    <row r="677" ht="15.75" customHeight="1">
      <c r="A677" s="35">
        <f>Bill!$Y677</f>
        <v>46235</v>
      </c>
      <c r="B677" s="43">
        <f>'Raw Data'!E679+Bill!$L$2</f>
        <v>20</v>
      </c>
      <c r="C677" s="43">
        <f>'Raw Data'!E679+Bill!$M$2</f>
        <v>25</v>
      </c>
      <c r="D677" s="43">
        <f>('Raw Data'!$F679*2)-10</f>
        <v>-10</v>
      </c>
      <c r="E677" s="43">
        <f>'Raw Data'!F679+Bill!$O$2</f>
        <v>20</v>
      </c>
      <c r="F677" s="43">
        <f>'Raw Data'!F679+Bill!$P$2</f>
        <v>25</v>
      </c>
      <c r="G677" s="43">
        <f>'Raw Data'!E679+Bill!$Q$2</f>
        <v>50</v>
      </c>
      <c r="H677" s="43">
        <f>('Raw Data'!F679+Bill!$R$2)</f>
        <v>20</v>
      </c>
      <c r="I677" s="36">
        <f>'Raw Data'!G679/100</f>
        <v>0</v>
      </c>
      <c r="K677" s="37">
        <f>Bill!$Y677</f>
        <v>46235</v>
      </c>
      <c r="L677" s="38">
        <f>Bill!$AA677*('Raw Data'!$E679+$L$2)</f>
        <v>0</v>
      </c>
      <c r="M677" s="38">
        <f>Bill!$AB677*('Raw Data'!$E679+$M$2)</f>
        <v>0</v>
      </c>
      <c r="N677" s="38">
        <f>(('Raw Data'!$F679 * 2)-10)*Bill!$AC677</f>
        <v>0</v>
      </c>
      <c r="O677" s="38">
        <f>('Raw Data'!F679+Bill!$O$2)*Bill!$AD677</f>
        <v>0</v>
      </c>
      <c r="P677" s="38">
        <f>('Raw Data'!F679+Bill!$P$2)*Bill!$AE677</f>
        <v>0</v>
      </c>
      <c r="Q677" s="38">
        <f>Bill!$Z677*('Raw Data'!$E679+$Q$2)</f>
        <v>0</v>
      </c>
      <c r="R677" s="38">
        <f>('Raw Data'!F679+Bill!$R$2)*Bill!$AF677</f>
        <v>0</v>
      </c>
      <c r="S677" s="48">
        <f>('Raw Data'!G679/100)*Bill!$AG677</f>
        <v>0</v>
      </c>
      <c r="T677" s="38">
        <f>SUM(Bill!$L677:$R677)</f>
        <v>0</v>
      </c>
      <c r="U677" s="53"/>
      <c r="V677" s="50"/>
      <c r="W677" s="38">
        <f>Bill!$U677-Bill!$T677</f>
        <v>0</v>
      </c>
      <c r="Y677" s="37">
        <f>'Raw Data'!D679</f>
        <v>46235</v>
      </c>
      <c r="Z677" s="47">
        <v>0.0</v>
      </c>
      <c r="AA677" s="47"/>
      <c r="AB677" s="47"/>
      <c r="AC677" s="47"/>
      <c r="AD677" s="47"/>
      <c r="AE677" s="47"/>
      <c r="AF677" s="47"/>
      <c r="AG677" s="47"/>
    </row>
    <row r="678" ht="15.75" customHeight="1">
      <c r="A678" s="35">
        <f>Bill!$Y678</f>
        <v>46236</v>
      </c>
      <c r="B678" s="43">
        <f>'Raw Data'!E680+Bill!$L$2</f>
        <v>20</v>
      </c>
      <c r="C678" s="43">
        <f>'Raw Data'!E680+Bill!$M$2</f>
        <v>25</v>
      </c>
      <c r="D678" s="43">
        <f>('Raw Data'!$F680*2)-10</f>
        <v>-10</v>
      </c>
      <c r="E678" s="43">
        <f>'Raw Data'!F680+Bill!$O$2</f>
        <v>20</v>
      </c>
      <c r="F678" s="43">
        <f>'Raw Data'!F680+Bill!$P$2</f>
        <v>25</v>
      </c>
      <c r="G678" s="43">
        <f>'Raw Data'!E680+Bill!$Q$2</f>
        <v>50</v>
      </c>
      <c r="H678" s="43">
        <f>('Raw Data'!F680+Bill!$R$2)</f>
        <v>20</v>
      </c>
      <c r="I678" s="36">
        <f>'Raw Data'!G680/100</f>
        <v>0</v>
      </c>
      <c r="K678" s="37">
        <f>Bill!$Y678</f>
        <v>46236</v>
      </c>
      <c r="L678" s="38">
        <f>Bill!$AA678*('Raw Data'!$E680+$L$2)</f>
        <v>0</v>
      </c>
      <c r="M678" s="38">
        <f>Bill!$AB678*('Raw Data'!$E680+$M$2)</f>
        <v>0</v>
      </c>
      <c r="N678" s="38">
        <f>(('Raw Data'!$F680 * 2)-10)*Bill!$AC678</f>
        <v>0</v>
      </c>
      <c r="O678" s="38">
        <f>('Raw Data'!F680+Bill!$O$2)*Bill!$AD678</f>
        <v>0</v>
      </c>
      <c r="P678" s="38">
        <f>('Raw Data'!F680+Bill!$P$2)*Bill!$AE678</f>
        <v>0</v>
      </c>
      <c r="Q678" s="38">
        <f>Bill!$Z678*('Raw Data'!$E680+$Q$2)</f>
        <v>0</v>
      </c>
      <c r="R678" s="38">
        <f>('Raw Data'!F680+Bill!$R$2)*Bill!$AF678</f>
        <v>0</v>
      </c>
      <c r="S678" s="48">
        <f>('Raw Data'!G680/100)*Bill!$AG678</f>
        <v>0</v>
      </c>
      <c r="T678" s="38">
        <f>SUM(Bill!$L678:$R678)</f>
        <v>0</v>
      </c>
      <c r="U678" s="53"/>
      <c r="V678" s="50"/>
      <c r="W678" s="38">
        <f>Bill!$U678-Bill!$T678</f>
        <v>0</v>
      </c>
      <c r="Y678" s="37">
        <f>'Raw Data'!D680</f>
        <v>46236</v>
      </c>
      <c r="Z678" s="47">
        <v>0.0</v>
      </c>
      <c r="AA678" s="47"/>
      <c r="AB678" s="47"/>
      <c r="AC678" s="47"/>
      <c r="AD678" s="47"/>
      <c r="AE678" s="47"/>
      <c r="AF678" s="47"/>
      <c r="AG678" s="47"/>
    </row>
    <row r="679" ht="15.75" customHeight="1">
      <c r="A679" s="35">
        <f>Bill!$Y679</f>
        <v>46237</v>
      </c>
      <c r="B679" s="43">
        <f>'Raw Data'!E681+Bill!$L$2</f>
        <v>20</v>
      </c>
      <c r="C679" s="43">
        <f>'Raw Data'!E681+Bill!$M$2</f>
        <v>25</v>
      </c>
      <c r="D679" s="43">
        <f>('Raw Data'!$F681*2)-10</f>
        <v>-10</v>
      </c>
      <c r="E679" s="43">
        <f>'Raw Data'!F681+Bill!$O$2</f>
        <v>20</v>
      </c>
      <c r="F679" s="43">
        <f>'Raw Data'!F681+Bill!$P$2</f>
        <v>25</v>
      </c>
      <c r="G679" s="43">
        <f>'Raw Data'!E681+Bill!$Q$2</f>
        <v>50</v>
      </c>
      <c r="H679" s="43">
        <f>('Raw Data'!F681+Bill!$R$2)</f>
        <v>20</v>
      </c>
      <c r="I679" s="36">
        <f>'Raw Data'!G681/100</f>
        <v>0</v>
      </c>
      <c r="K679" s="37">
        <f>Bill!$Y679</f>
        <v>46237</v>
      </c>
      <c r="L679" s="38">
        <f>Bill!$AA679*('Raw Data'!$E681+$L$2)</f>
        <v>0</v>
      </c>
      <c r="M679" s="38">
        <f>Bill!$AB679*('Raw Data'!$E681+$M$2)</f>
        <v>0</v>
      </c>
      <c r="N679" s="38">
        <f>(('Raw Data'!$F681 * 2)-10)*Bill!$AC679</f>
        <v>0</v>
      </c>
      <c r="O679" s="38">
        <f>('Raw Data'!F681+Bill!$O$2)*Bill!$AD679</f>
        <v>0</v>
      </c>
      <c r="P679" s="38">
        <f>('Raw Data'!F681+Bill!$P$2)*Bill!$AE679</f>
        <v>0</v>
      </c>
      <c r="Q679" s="38">
        <f>Bill!$Z679*('Raw Data'!$E681+$Q$2)</f>
        <v>0</v>
      </c>
      <c r="R679" s="38">
        <f>('Raw Data'!F681+Bill!$R$2)*Bill!$AF679</f>
        <v>0</v>
      </c>
      <c r="S679" s="48">
        <f>('Raw Data'!G681/100)*Bill!$AG679</f>
        <v>0</v>
      </c>
      <c r="T679" s="38">
        <f>SUM(Bill!$L679:$R679)</f>
        <v>0</v>
      </c>
      <c r="U679" s="53"/>
      <c r="V679" s="50"/>
      <c r="W679" s="38">
        <f>Bill!$U679-Bill!$T679</f>
        <v>0</v>
      </c>
      <c r="Y679" s="37">
        <f>'Raw Data'!D681</f>
        <v>46237</v>
      </c>
      <c r="Z679" s="47">
        <v>0.0</v>
      </c>
      <c r="AA679" s="47"/>
      <c r="AB679" s="47"/>
      <c r="AC679" s="47"/>
      <c r="AD679" s="47"/>
      <c r="AE679" s="47"/>
      <c r="AF679" s="47"/>
      <c r="AG679" s="47"/>
    </row>
    <row r="680" ht="15.75" customHeight="1">
      <c r="A680" s="35">
        <f>Bill!$Y680</f>
        <v>46238</v>
      </c>
      <c r="B680" s="43">
        <f>'Raw Data'!E682+Bill!$L$2</f>
        <v>20</v>
      </c>
      <c r="C680" s="43">
        <f>'Raw Data'!E682+Bill!$M$2</f>
        <v>25</v>
      </c>
      <c r="D680" s="43">
        <f>('Raw Data'!$F682*2)-10</f>
        <v>-10</v>
      </c>
      <c r="E680" s="43">
        <f>'Raw Data'!F682+Bill!$O$2</f>
        <v>20</v>
      </c>
      <c r="F680" s="43">
        <f>'Raw Data'!F682+Bill!$P$2</f>
        <v>25</v>
      </c>
      <c r="G680" s="43">
        <f>'Raw Data'!E682+Bill!$Q$2</f>
        <v>50</v>
      </c>
      <c r="H680" s="43">
        <f>('Raw Data'!F682+Bill!$R$2)</f>
        <v>20</v>
      </c>
      <c r="I680" s="36">
        <f>'Raw Data'!G682/100</f>
        <v>0</v>
      </c>
      <c r="K680" s="37">
        <f>Bill!$Y680</f>
        <v>46238</v>
      </c>
      <c r="L680" s="38">
        <f>Bill!$AA680*('Raw Data'!$E682+$L$2)</f>
        <v>0</v>
      </c>
      <c r="M680" s="38">
        <f>Bill!$AB680*('Raw Data'!$E682+$M$2)</f>
        <v>0</v>
      </c>
      <c r="N680" s="38">
        <f>(('Raw Data'!$F682 * 2)-10)*Bill!$AC680</f>
        <v>0</v>
      </c>
      <c r="O680" s="38">
        <f>('Raw Data'!F682+Bill!$O$2)*Bill!$AD680</f>
        <v>0</v>
      </c>
      <c r="P680" s="38">
        <f>('Raw Data'!F682+Bill!$P$2)*Bill!$AE680</f>
        <v>0</v>
      </c>
      <c r="Q680" s="38">
        <f>Bill!$Z680*('Raw Data'!$E682+$Q$2)</f>
        <v>0</v>
      </c>
      <c r="R680" s="38">
        <f>('Raw Data'!F682+Bill!$R$2)*Bill!$AF680</f>
        <v>0</v>
      </c>
      <c r="S680" s="48">
        <f>('Raw Data'!G682/100)*Bill!$AG680</f>
        <v>0</v>
      </c>
      <c r="T680" s="38">
        <f>SUM(Bill!$L680:$R680)</f>
        <v>0</v>
      </c>
      <c r="U680" s="53"/>
      <c r="V680" s="50"/>
      <c r="W680" s="38">
        <f>Bill!$U680-Bill!$T680</f>
        <v>0</v>
      </c>
      <c r="Y680" s="37">
        <f>'Raw Data'!D682</f>
        <v>46238</v>
      </c>
      <c r="Z680" s="47">
        <v>0.0</v>
      </c>
      <c r="AA680" s="47"/>
      <c r="AB680" s="47"/>
      <c r="AC680" s="47"/>
      <c r="AD680" s="47"/>
      <c r="AE680" s="47"/>
      <c r="AF680" s="47"/>
      <c r="AG680" s="47"/>
    </row>
    <row r="681" ht="15.75" customHeight="1">
      <c r="A681" s="35">
        <f>Bill!$Y681</f>
        <v>46239</v>
      </c>
      <c r="B681" s="43">
        <f>'Raw Data'!E683+Bill!$L$2</f>
        <v>20</v>
      </c>
      <c r="C681" s="43">
        <f>'Raw Data'!E683+Bill!$M$2</f>
        <v>25</v>
      </c>
      <c r="D681" s="43">
        <f>('Raw Data'!$F683*2)-10</f>
        <v>-10</v>
      </c>
      <c r="E681" s="43">
        <f>'Raw Data'!F683+Bill!$O$2</f>
        <v>20</v>
      </c>
      <c r="F681" s="43">
        <f>'Raw Data'!F683+Bill!$P$2</f>
        <v>25</v>
      </c>
      <c r="G681" s="43">
        <f>'Raw Data'!E683+Bill!$Q$2</f>
        <v>50</v>
      </c>
      <c r="H681" s="43">
        <f>('Raw Data'!F683+Bill!$R$2)</f>
        <v>20</v>
      </c>
      <c r="I681" s="36">
        <f>'Raw Data'!G683/100</f>
        <v>0</v>
      </c>
      <c r="K681" s="37">
        <f>Bill!$Y681</f>
        <v>46239</v>
      </c>
      <c r="L681" s="38">
        <f>Bill!$AA681*('Raw Data'!$E683+$L$2)</f>
        <v>0</v>
      </c>
      <c r="M681" s="38">
        <f>Bill!$AB681*('Raw Data'!$E683+$M$2)</f>
        <v>0</v>
      </c>
      <c r="N681" s="38">
        <f>(('Raw Data'!$F683 * 2)-10)*Bill!$AC681</f>
        <v>0</v>
      </c>
      <c r="O681" s="38">
        <f>('Raw Data'!F683+Bill!$O$2)*Bill!$AD681</f>
        <v>0</v>
      </c>
      <c r="P681" s="38">
        <f>('Raw Data'!F683+Bill!$P$2)*Bill!$AE681</f>
        <v>0</v>
      </c>
      <c r="Q681" s="38">
        <f>Bill!$Z681*('Raw Data'!$E683+$Q$2)</f>
        <v>0</v>
      </c>
      <c r="R681" s="38">
        <f>('Raw Data'!F683+Bill!$R$2)*Bill!$AF681</f>
        <v>0</v>
      </c>
      <c r="S681" s="48">
        <f>('Raw Data'!G683/100)*Bill!$AG681</f>
        <v>0</v>
      </c>
      <c r="T681" s="38">
        <f>SUM(Bill!$L681:$R681)</f>
        <v>0</v>
      </c>
      <c r="U681" s="53"/>
      <c r="V681" s="50"/>
      <c r="W681" s="38">
        <f>Bill!$U681-Bill!$T681</f>
        <v>0</v>
      </c>
      <c r="Y681" s="37">
        <f>'Raw Data'!D683</f>
        <v>46239</v>
      </c>
      <c r="Z681" s="47">
        <v>0.0</v>
      </c>
      <c r="AA681" s="47"/>
      <c r="AB681" s="47"/>
      <c r="AC681" s="47"/>
      <c r="AD681" s="47"/>
      <c r="AE681" s="47"/>
      <c r="AF681" s="47"/>
      <c r="AG681" s="47"/>
    </row>
    <row r="682" ht="15.75" customHeight="1">
      <c r="A682" s="35">
        <f>Bill!$Y682</f>
        <v>46240</v>
      </c>
      <c r="B682" s="43">
        <f>'Raw Data'!E684+Bill!$L$2</f>
        <v>20</v>
      </c>
      <c r="C682" s="43">
        <f>'Raw Data'!E684+Bill!$M$2</f>
        <v>25</v>
      </c>
      <c r="D682" s="43">
        <f>('Raw Data'!$F684*2)-10</f>
        <v>-10</v>
      </c>
      <c r="E682" s="43">
        <f>'Raw Data'!F684+Bill!$O$2</f>
        <v>20</v>
      </c>
      <c r="F682" s="43">
        <f>'Raw Data'!F684+Bill!$P$2</f>
        <v>25</v>
      </c>
      <c r="G682" s="43">
        <f>'Raw Data'!E684+Bill!$Q$2</f>
        <v>50</v>
      </c>
      <c r="H682" s="43">
        <f>('Raw Data'!F684+Bill!$R$2)</f>
        <v>20</v>
      </c>
      <c r="I682" s="36">
        <f>'Raw Data'!G684/100</f>
        <v>0</v>
      </c>
      <c r="K682" s="37">
        <f>Bill!$Y682</f>
        <v>46240</v>
      </c>
      <c r="L682" s="38">
        <f>Bill!$AA682*('Raw Data'!$E684+$L$2)</f>
        <v>0</v>
      </c>
      <c r="M682" s="38">
        <f>Bill!$AB682*('Raw Data'!$E684+$M$2)</f>
        <v>0</v>
      </c>
      <c r="N682" s="38">
        <f>(('Raw Data'!$F684 * 2)-10)*Bill!$AC682</f>
        <v>0</v>
      </c>
      <c r="O682" s="38">
        <f>('Raw Data'!F684+Bill!$O$2)*Bill!$AD682</f>
        <v>0</v>
      </c>
      <c r="P682" s="38">
        <f>('Raw Data'!F684+Bill!$P$2)*Bill!$AE682</f>
        <v>0</v>
      </c>
      <c r="Q682" s="38">
        <f>Bill!$Z682*('Raw Data'!$E684+$Q$2)</f>
        <v>0</v>
      </c>
      <c r="R682" s="38">
        <f>('Raw Data'!F684+Bill!$R$2)*Bill!$AF682</f>
        <v>0</v>
      </c>
      <c r="S682" s="48">
        <f>('Raw Data'!G684/100)*Bill!$AG682</f>
        <v>0</v>
      </c>
      <c r="T682" s="38">
        <f>SUM(Bill!$L682:$R682)</f>
        <v>0</v>
      </c>
      <c r="U682" s="53"/>
      <c r="V682" s="50"/>
      <c r="W682" s="38">
        <f>Bill!$U682-Bill!$T682</f>
        <v>0</v>
      </c>
      <c r="Y682" s="37">
        <f>'Raw Data'!D684</f>
        <v>46240</v>
      </c>
      <c r="Z682" s="47">
        <v>0.0</v>
      </c>
      <c r="AA682" s="47"/>
      <c r="AB682" s="47"/>
      <c r="AC682" s="47"/>
      <c r="AD682" s="47"/>
      <c r="AE682" s="47"/>
      <c r="AF682" s="47"/>
      <c r="AG682" s="47"/>
    </row>
    <row r="683" ht="15.75" customHeight="1">
      <c r="A683" s="35">
        <f>Bill!$Y683</f>
        <v>46241</v>
      </c>
      <c r="B683" s="43">
        <f>'Raw Data'!E685+Bill!$L$2</f>
        <v>20</v>
      </c>
      <c r="C683" s="43">
        <f>'Raw Data'!E685+Bill!$M$2</f>
        <v>25</v>
      </c>
      <c r="D683" s="43">
        <f>('Raw Data'!$F685*2)-10</f>
        <v>-10</v>
      </c>
      <c r="E683" s="43">
        <f>'Raw Data'!F685+Bill!$O$2</f>
        <v>20</v>
      </c>
      <c r="F683" s="43">
        <f>'Raw Data'!F685+Bill!$P$2</f>
        <v>25</v>
      </c>
      <c r="G683" s="43">
        <f>'Raw Data'!E685+Bill!$Q$2</f>
        <v>50</v>
      </c>
      <c r="H683" s="43">
        <f>('Raw Data'!F685+Bill!$R$2)</f>
        <v>20</v>
      </c>
      <c r="I683" s="36">
        <f>'Raw Data'!G685/100</f>
        <v>0</v>
      </c>
      <c r="K683" s="37">
        <f>Bill!$Y683</f>
        <v>46241</v>
      </c>
      <c r="L683" s="38">
        <f>Bill!$AA683*('Raw Data'!$E685+$L$2)</f>
        <v>0</v>
      </c>
      <c r="M683" s="38">
        <f>Bill!$AB683*('Raw Data'!$E685+$M$2)</f>
        <v>0</v>
      </c>
      <c r="N683" s="38">
        <f>(('Raw Data'!$F685 * 2)-10)*Bill!$AC683</f>
        <v>0</v>
      </c>
      <c r="O683" s="38">
        <f>('Raw Data'!F685+Bill!$O$2)*Bill!$AD683</f>
        <v>0</v>
      </c>
      <c r="P683" s="38">
        <f>('Raw Data'!F685+Bill!$P$2)*Bill!$AE683</f>
        <v>0</v>
      </c>
      <c r="Q683" s="38">
        <f>Bill!$Z683*('Raw Data'!$E685+$Q$2)</f>
        <v>0</v>
      </c>
      <c r="R683" s="38">
        <f>('Raw Data'!F685+Bill!$R$2)*Bill!$AF683</f>
        <v>0</v>
      </c>
      <c r="S683" s="48">
        <f>('Raw Data'!G685/100)*Bill!$AG683</f>
        <v>0</v>
      </c>
      <c r="T683" s="38">
        <f>SUM(Bill!$L683:$R683)</f>
        <v>0</v>
      </c>
      <c r="U683" s="53"/>
      <c r="V683" s="50"/>
      <c r="W683" s="38">
        <f>Bill!$U683-Bill!$T683</f>
        <v>0</v>
      </c>
      <c r="Y683" s="37">
        <f>'Raw Data'!D685</f>
        <v>46241</v>
      </c>
      <c r="Z683" s="47">
        <v>0.0</v>
      </c>
      <c r="AA683" s="47"/>
      <c r="AB683" s="47"/>
      <c r="AC683" s="47"/>
      <c r="AD683" s="47"/>
      <c r="AE683" s="47"/>
      <c r="AF683" s="47"/>
      <c r="AG683" s="47"/>
    </row>
    <row r="684" ht="15.75" customHeight="1">
      <c r="A684" s="35">
        <f>Bill!$Y684</f>
        <v>46242</v>
      </c>
      <c r="B684" s="43">
        <f>'Raw Data'!E686+Bill!$L$2</f>
        <v>20</v>
      </c>
      <c r="C684" s="43">
        <f>'Raw Data'!E686+Bill!$M$2</f>
        <v>25</v>
      </c>
      <c r="D684" s="43">
        <f>('Raw Data'!$F686*2)-10</f>
        <v>-10</v>
      </c>
      <c r="E684" s="43">
        <f>'Raw Data'!F686+Bill!$O$2</f>
        <v>20</v>
      </c>
      <c r="F684" s="43">
        <f>'Raw Data'!F686+Bill!$P$2</f>
        <v>25</v>
      </c>
      <c r="G684" s="43">
        <f>'Raw Data'!E686+Bill!$Q$2</f>
        <v>50</v>
      </c>
      <c r="H684" s="43">
        <f>('Raw Data'!F686+Bill!$R$2)</f>
        <v>20</v>
      </c>
      <c r="I684" s="36">
        <f>'Raw Data'!G686/100</f>
        <v>0</v>
      </c>
      <c r="K684" s="37">
        <f>Bill!$Y684</f>
        <v>46242</v>
      </c>
      <c r="L684" s="38">
        <f>Bill!$AA684*('Raw Data'!$E686+$L$2)</f>
        <v>0</v>
      </c>
      <c r="M684" s="38">
        <f>Bill!$AB684*('Raw Data'!$E686+$M$2)</f>
        <v>0</v>
      </c>
      <c r="N684" s="38">
        <f>(('Raw Data'!$F686 * 2)-10)*Bill!$AC684</f>
        <v>0</v>
      </c>
      <c r="O684" s="38">
        <f>('Raw Data'!F686+Bill!$O$2)*Bill!$AD684</f>
        <v>0</v>
      </c>
      <c r="P684" s="38">
        <f>('Raw Data'!F686+Bill!$P$2)*Bill!$AE684</f>
        <v>0</v>
      </c>
      <c r="Q684" s="38">
        <f>Bill!$Z684*('Raw Data'!$E686+$Q$2)</f>
        <v>0</v>
      </c>
      <c r="R684" s="38">
        <f>('Raw Data'!F686+Bill!$R$2)*Bill!$AF684</f>
        <v>0</v>
      </c>
      <c r="S684" s="48">
        <f>('Raw Data'!G686/100)*Bill!$AG684</f>
        <v>0</v>
      </c>
      <c r="T684" s="38">
        <f>SUM(Bill!$L684:$R684)</f>
        <v>0</v>
      </c>
      <c r="U684" s="53"/>
      <c r="V684" s="50"/>
      <c r="W684" s="38">
        <f>Bill!$U684-Bill!$T684</f>
        <v>0</v>
      </c>
      <c r="Y684" s="37">
        <f>'Raw Data'!D686</f>
        <v>46242</v>
      </c>
      <c r="Z684" s="47">
        <v>0.0</v>
      </c>
      <c r="AA684" s="47"/>
      <c r="AB684" s="47"/>
      <c r="AC684" s="47"/>
      <c r="AD684" s="47"/>
      <c r="AE684" s="47"/>
      <c r="AF684" s="47"/>
      <c r="AG684" s="47"/>
    </row>
    <row r="685" ht="15.75" customHeight="1">
      <c r="A685" s="35">
        <f>Bill!$Y685</f>
        <v>46243</v>
      </c>
      <c r="B685" s="43">
        <f>'Raw Data'!E687+Bill!$L$2</f>
        <v>20</v>
      </c>
      <c r="C685" s="43">
        <f>'Raw Data'!E687+Bill!$M$2</f>
        <v>25</v>
      </c>
      <c r="D685" s="43">
        <f>('Raw Data'!$F687*2)-10</f>
        <v>-10</v>
      </c>
      <c r="E685" s="43">
        <f>'Raw Data'!F687+Bill!$O$2</f>
        <v>20</v>
      </c>
      <c r="F685" s="43">
        <f>'Raw Data'!F687+Bill!$P$2</f>
        <v>25</v>
      </c>
      <c r="G685" s="43">
        <f>'Raw Data'!E687+Bill!$Q$2</f>
        <v>50</v>
      </c>
      <c r="H685" s="43">
        <f>('Raw Data'!F687+Bill!$R$2)</f>
        <v>20</v>
      </c>
      <c r="I685" s="36">
        <f>'Raw Data'!G687/100</f>
        <v>0</v>
      </c>
      <c r="K685" s="37">
        <f>Bill!$Y685</f>
        <v>46243</v>
      </c>
      <c r="L685" s="38">
        <f>Bill!$AA685*('Raw Data'!$E687+$L$2)</f>
        <v>0</v>
      </c>
      <c r="M685" s="38">
        <f>Bill!$AB685*('Raw Data'!$E687+$M$2)</f>
        <v>0</v>
      </c>
      <c r="N685" s="38">
        <f>(('Raw Data'!$F687 * 2)-10)*Bill!$AC685</f>
        <v>0</v>
      </c>
      <c r="O685" s="38">
        <f>('Raw Data'!F687+Bill!$O$2)*Bill!$AD685</f>
        <v>0</v>
      </c>
      <c r="P685" s="38">
        <f>('Raw Data'!F687+Bill!$P$2)*Bill!$AE685</f>
        <v>0</v>
      </c>
      <c r="Q685" s="38">
        <f>Bill!$Z685*('Raw Data'!$E687+$Q$2)</f>
        <v>0</v>
      </c>
      <c r="R685" s="38">
        <f>('Raw Data'!F687+Bill!$R$2)*Bill!$AF685</f>
        <v>0</v>
      </c>
      <c r="S685" s="48">
        <f>('Raw Data'!G687/100)*Bill!$AG685</f>
        <v>0</v>
      </c>
      <c r="T685" s="38">
        <f>SUM(Bill!$L685:$R685)</f>
        <v>0</v>
      </c>
      <c r="U685" s="53"/>
      <c r="V685" s="50"/>
      <c r="W685" s="38">
        <f>Bill!$U685-Bill!$T685</f>
        <v>0</v>
      </c>
      <c r="Y685" s="37">
        <f>'Raw Data'!D687</f>
        <v>46243</v>
      </c>
      <c r="Z685" s="47">
        <v>0.0</v>
      </c>
      <c r="AA685" s="47"/>
      <c r="AB685" s="47"/>
      <c r="AC685" s="47"/>
      <c r="AD685" s="47"/>
      <c r="AE685" s="47"/>
      <c r="AF685" s="47"/>
      <c r="AG685" s="47"/>
    </row>
    <row r="686" ht="15.75" customHeight="1">
      <c r="A686" s="35">
        <f>Bill!$Y686</f>
        <v>46244</v>
      </c>
      <c r="B686" s="43">
        <f>'Raw Data'!E688+Bill!$L$2</f>
        <v>20</v>
      </c>
      <c r="C686" s="43">
        <f>'Raw Data'!E688+Bill!$M$2</f>
        <v>25</v>
      </c>
      <c r="D686" s="43">
        <f>('Raw Data'!$F688*2)-10</f>
        <v>-10</v>
      </c>
      <c r="E686" s="43">
        <f>'Raw Data'!F688+Bill!$O$2</f>
        <v>20</v>
      </c>
      <c r="F686" s="43">
        <f>'Raw Data'!F688+Bill!$P$2</f>
        <v>25</v>
      </c>
      <c r="G686" s="43">
        <f>'Raw Data'!E688+Bill!$Q$2</f>
        <v>50</v>
      </c>
      <c r="H686" s="43">
        <f>('Raw Data'!F688+Bill!$R$2)</f>
        <v>20</v>
      </c>
      <c r="I686" s="36">
        <f>'Raw Data'!G688/100</f>
        <v>0</v>
      </c>
      <c r="K686" s="37">
        <f>Bill!$Y686</f>
        <v>46244</v>
      </c>
      <c r="L686" s="38">
        <f>Bill!$AA686*('Raw Data'!$E688+$L$2)</f>
        <v>0</v>
      </c>
      <c r="M686" s="38">
        <f>Bill!$AB686*('Raw Data'!$E688+$M$2)</f>
        <v>0</v>
      </c>
      <c r="N686" s="38">
        <f>(('Raw Data'!$F688 * 2)-10)*Bill!$AC686</f>
        <v>0</v>
      </c>
      <c r="O686" s="38">
        <f>('Raw Data'!F688+Bill!$O$2)*Bill!$AD686</f>
        <v>0</v>
      </c>
      <c r="P686" s="38">
        <f>('Raw Data'!F688+Bill!$P$2)*Bill!$AE686</f>
        <v>0</v>
      </c>
      <c r="Q686" s="38">
        <f>Bill!$Z686*('Raw Data'!$E688+$Q$2)</f>
        <v>0</v>
      </c>
      <c r="R686" s="38">
        <f>('Raw Data'!F688+Bill!$R$2)*Bill!$AF686</f>
        <v>0</v>
      </c>
      <c r="S686" s="48">
        <f>('Raw Data'!G688/100)*Bill!$AG686</f>
        <v>0</v>
      </c>
      <c r="T686" s="38">
        <f>SUM(Bill!$L686:$R686)</f>
        <v>0</v>
      </c>
      <c r="U686" s="53"/>
      <c r="V686" s="50"/>
      <c r="W686" s="38">
        <f>Bill!$U686-Bill!$T686</f>
        <v>0</v>
      </c>
      <c r="Y686" s="37">
        <f>'Raw Data'!D688</f>
        <v>46244</v>
      </c>
      <c r="Z686" s="47">
        <v>0.0</v>
      </c>
      <c r="AA686" s="47"/>
      <c r="AB686" s="47"/>
      <c r="AC686" s="47"/>
      <c r="AD686" s="47"/>
      <c r="AE686" s="47"/>
      <c r="AF686" s="47"/>
      <c r="AG686" s="47"/>
    </row>
    <row r="687" ht="15.75" customHeight="1">
      <c r="A687" s="35">
        <f>Bill!$Y687</f>
        <v>46245</v>
      </c>
      <c r="B687" s="43">
        <f>'Raw Data'!E689+Bill!$L$2</f>
        <v>20</v>
      </c>
      <c r="C687" s="43">
        <f>'Raw Data'!E689+Bill!$M$2</f>
        <v>25</v>
      </c>
      <c r="D687" s="43">
        <f>('Raw Data'!$F689*2)-10</f>
        <v>-10</v>
      </c>
      <c r="E687" s="43">
        <f>'Raw Data'!F689+Bill!$O$2</f>
        <v>20</v>
      </c>
      <c r="F687" s="43">
        <f>'Raw Data'!F689+Bill!$P$2</f>
        <v>25</v>
      </c>
      <c r="G687" s="43">
        <f>'Raw Data'!E689+Bill!$Q$2</f>
        <v>50</v>
      </c>
      <c r="H687" s="43">
        <f>('Raw Data'!F689+Bill!$R$2)</f>
        <v>20</v>
      </c>
      <c r="I687" s="36">
        <f>'Raw Data'!G689/100</f>
        <v>0</v>
      </c>
      <c r="K687" s="37">
        <f>Bill!$Y687</f>
        <v>46245</v>
      </c>
      <c r="L687" s="38">
        <f>Bill!$AA687*('Raw Data'!$E689+$L$2)</f>
        <v>0</v>
      </c>
      <c r="M687" s="38">
        <f>Bill!$AB687*('Raw Data'!$E689+$M$2)</f>
        <v>0</v>
      </c>
      <c r="N687" s="38">
        <f>(('Raw Data'!$F689 * 2)-10)*Bill!$AC687</f>
        <v>0</v>
      </c>
      <c r="O687" s="38">
        <f>('Raw Data'!F689+Bill!$O$2)*Bill!$AD687</f>
        <v>0</v>
      </c>
      <c r="P687" s="38">
        <f>('Raw Data'!F689+Bill!$P$2)*Bill!$AE687</f>
        <v>0</v>
      </c>
      <c r="Q687" s="38">
        <f>Bill!$Z687*('Raw Data'!$E689+$Q$2)</f>
        <v>0</v>
      </c>
      <c r="R687" s="38">
        <f>('Raw Data'!F689+Bill!$R$2)*Bill!$AF687</f>
        <v>0</v>
      </c>
      <c r="S687" s="48">
        <f>('Raw Data'!G689/100)*Bill!$AG687</f>
        <v>0</v>
      </c>
      <c r="T687" s="38">
        <f>SUM(Bill!$L687:$R687)</f>
        <v>0</v>
      </c>
      <c r="U687" s="53"/>
      <c r="V687" s="50"/>
      <c r="W687" s="38">
        <f>Bill!$U687-Bill!$T687</f>
        <v>0</v>
      </c>
      <c r="Y687" s="37">
        <f>'Raw Data'!D689</f>
        <v>46245</v>
      </c>
      <c r="Z687" s="47">
        <v>0.0</v>
      </c>
      <c r="AA687" s="47"/>
      <c r="AB687" s="47"/>
      <c r="AC687" s="47"/>
      <c r="AD687" s="47"/>
      <c r="AE687" s="47"/>
      <c r="AF687" s="47"/>
      <c r="AG687" s="47"/>
    </row>
    <row r="688" ht="15.75" customHeight="1">
      <c r="A688" s="35">
        <f>Bill!$Y688</f>
        <v>46246</v>
      </c>
      <c r="B688" s="43">
        <f>'Raw Data'!E690+Bill!$L$2</f>
        <v>20</v>
      </c>
      <c r="C688" s="43">
        <f>'Raw Data'!E690+Bill!$M$2</f>
        <v>25</v>
      </c>
      <c r="D688" s="43">
        <f>('Raw Data'!$F690*2)-10</f>
        <v>-10</v>
      </c>
      <c r="E688" s="43">
        <f>'Raw Data'!F690+Bill!$O$2</f>
        <v>20</v>
      </c>
      <c r="F688" s="43">
        <f>'Raw Data'!F690+Bill!$P$2</f>
        <v>25</v>
      </c>
      <c r="G688" s="43">
        <f>'Raw Data'!E690+Bill!$Q$2</f>
        <v>50</v>
      </c>
      <c r="H688" s="43">
        <f>('Raw Data'!F690+Bill!$R$2)</f>
        <v>20</v>
      </c>
      <c r="I688" s="36">
        <f>'Raw Data'!G690/100</f>
        <v>0</v>
      </c>
      <c r="K688" s="37">
        <f>Bill!$Y688</f>
        <v>46246</v>
      </c>
      <c r="L688" s="38">
        <f>Bill!$AA688*('Raw Data'!$E690+$L$2)</f>
        <v>0</v>
      </c>
      <c r="M688" s="38">
        <f>Bill!$AB688*('Raw Data'!$E690+$M$2)</f>
        <v>0</v>
      </c>
      <c r="N688" s="38">
        <f>(('Raw Data'!$F690 * 2)-10)*Bill!$AC688</f>
        <v>0</v>
      </c>
      <c r="O688" s="38">
        <f>('Raw Data'!F690+Bill!$O$2)*Bill!$AD688</f>
        <v>0</v>
      </c>
      <c r="P688" s="38">
        <f>('Raw Data'!F690+Bill!$P$2)*Bill!$AE688</f>
        <v>0</v>
      </c>
      <c r="Q688" s="38">
        <f>Bill!$Z688*('Raw Data'!$E690+$Q$2)</f>
        <v>0</v>
      </c>
      <c r="R688" s="38">
        <f>('Raw Data'!F690+Bill!$R$2)*Bill!$AF688</f>
        <v>0</v>
      </c>
      <c r="S688" s="48">
        <f>('Raw Data'!G690/100)*Bill!$AG688</f>
        <v>0</v>
      </c>
      <c r="T688" s="38">
        <f>SUM(Bill!$L688:$R688)</f>
        <v>0</v>
      </c>
      <c r="U688" s="53"/>
      <c r="V688" s="50"/>
      <c r="W688" s="38">
        <f>Bill!$U688-Bill!$T688</f>
        <v>0</v>
      </c>
      <c r="Y688" s="37">
        <f>'Raw Data'!D690</f>
        <v>46246</v>
      </c>
      <c r="Z688" s="47">
        <v>0.0</v>
      </c>
      <c r="AA688" s="47"/>
      <c r="AB688" s="47"/>
      <c r="AC688" s="47"/>
      <c r="AD688" s="47"/>
      <c r="AE688" s="47"/>
      <c r="AF688" s="47"/>
      <c r="AG688" s="47"/>
    </row>
    <row r="689" ht="15.75" customHeight="1">
      <c r="A689" s="35">
        <f>Bill!$Y689</f>
        <v>46247</v>
      </c>
      <c r="B689" s="43">
        <f>'Raw Data'!E691+Bill!$L$2</f>
        <v>20</v>
      </c>
      <c r="C689" s="43">
        <f>'Raw Data'!E691+Bill!$M$2</f>
        <v>25</v>
      </c>
      <c r="D689" s="43">
        <f>('Raw Data'!$F691*2)-10</f>
        <v>-10</v>
      </c>
      <c r="E689" s="43">
        <f>'Raw Data'!F691+Bill!$O$2</f>
        <v>20</v>
      </c>
      <c r="F689" s="43">
        <f>'Raw Data'!F691+Bill!$P$2</f>
        <v>25</v>
      </c>
      <c r="G689" s="43">
        <f>'Raw Data'!E691+Bill!$Q$2</f>
        <v>50</v>
      </c>
      <c r="H689" s="43">
        <f>('Raw Data'!F691+Bill!$R$2)</f>
        <v>20</v>
      </c>
      <c r="I689" s="36">
        <f>'Raw Data'!G691/100</f>
        <v>0</v>
      </c>
      <c r="K689" s="37">
        <f>Bill!$Y689</f>
        <v>46247</v>
      </c>
      <c r="L689" s="38">
        <f>Bill!$AA689*('Raw Data'!$E691+$L$2)</f>
        <v>0</v>
      </c>
      <c r="M689" s="38">
        <f>Bill!$AB689*('Raw Data'!$E691+$M$2)</f>
        <v>0</v>
      </c>
      <c r="N689" s="38">
        <f>(('Raw Data'!$F691 * 2)-10)*Bill!$AC689</f>
        <v>0</v>
      </c>
      <c r="O689" s="38">
        <f>('Raw Data'!F691+Bill!$O$2)*Bill!$AD689</f>
        <v>0</v>
      </c>
      <c r="P689" s="38">
        <f>('Raw Data'!F691+Bill!$P$2)*Bill!$AE689</f>
        <v>0</v>
      </c>
      <c r="Q689" s="38">
        <f>Bill!$Z689*('Raw Data'!$E691+$Q$2)</f>
        <v>0</v>
      </c>
      <c r="R689" s="38">
        <f>('Raw Data'!F691+Bill!$R$2)*Bill!$AF689</f>
        <v>0</v>
      </c>
      <c r="S689" s="48">
        <f>('Raw Data'!G691/100)*Bill!$AG689</f>
        <v>0</v>
      </c>
      <c r="T689" s="38">
        <f>SUM(Bill!$L689:$R689)</f>
        <v>0</v>
      </c>
      <c r="U689" s="53"/>
      <c r="V689" s="50"/>
      <c r="W689" s="38">
        <f>Bill!$U689-Bill!$T689</f>
        <v>0</v>
      </c>
      <c r="Y689" s="37">
        <f>'Raw Data'!D691</f>
        <v>46247</v>
      </c>
      <c r="Z689" s="47">
        <v>0.0</v>
      </c>
      <c r="AA689" s="47"/>
      <c r="AB689" s="47"/>
      <c r="AC689" s="47"/>
      <c r="AD689" s="47"/>
      <c r="AE689" s="47"/>
      <c r="AF689" s="47"/>
      <c r="AG689" s="47"/>
    </row>
    <row r="690" ht="15.75" customHeight="1">
      <c r="A690" s="35">
        <f>Bill!$Y690</f>
        <v>46248</v>
      </c>
      <c r="B690" s="43">
        <f>'Raw Data'!E692+Bill!$L$2</f>
        <v>20</v>
      </c>
      <c r="C690" s="43">
        <f>'Raw Data'!E692+Bill!$M$2</f>
        <v>25</v>
      </c>
      <c r="D690" s="43">
        <f>('Raw Data'!$F692*2)-10</f>
        <v>-10</v>
      </c>
      <c r="E690" s="43">
        <f>'Raw Data'!F692+Bill!$O$2</f>
        <v>20</v>
      </c>
      <c r="F690" s="43">
        <f>'Raw Data'!F692+Bill!$P$2</f>
        <v>25</v>
      </c>
      <c r="G690" s="43">
        <f>'Raw Data'!E692+Bill!$Q$2</f>
        <v>50</v>
      </c>
      <c r="H690" s="43">
        <f>('Raw Data'!F692+Bill!$R$2)</f>
        <v>20</v>
      </c>
      <c r="I690" s="36">
        <f>'Raw Data'!G692/100</f>
        <v>0</v>
      </c>
      <c r="K690" s="37">
        <f>Bill!$Y690</f>
        <v>46248</v>
      </c>
      <c r="L690" s="38">
        <f>Bill!$AA690*('Raw Data'!$E692+$L$2)</f>
        <v>0</v>
      </c>
      <c r="M690" s="38">
        <f>Bill!$AB690*('Raw Data'!$E692+$M$2)</f>
        <v>0</v>
      </c>
      <c r="N690" s="38">
        <f>(('Raw Data'!$F692 * 2)-10)*Bill!$AC690</f>
        <v>0</v>
      </c>
      <c r="O690" s="38">
        <f>('Raw Data'!F692+Bill!$O$2)*Bill!$AD690</f>
        <v>0</v>
      </c>
      <c r="P690" s="38">
        <f>('Raw Data'!F692+Bill!$P$2)*Bill!$AE690</f>
        <v>0</v>
      </c>
      <c r="Q690" s="38">
        <f>Bill!$Z690*('Raw Data'!$E692+$Q$2)</f>
        <v>0</v>
      </c>
      <c r="R690" s="38">
        <f>('Raw Data'!F692+Bill!$R$2)*Bill!$AF690</f>
        <v>0</v>
      </c>
      <c r="S690" s="48">
        <f>('Raw Data'!G692/100)*Bill!$AG690</f>
        <v>0</v>
      </c>
      <c r="T690" s="38">
        <f>SUM(Bill!$L690:$R690)</f>
        <v>0</v>
      </c>
      <c r="U690" s="53"/>
      <c r="V690" s="50"/>
      <c r="W690" s="38">
        <f>Bill!$U690-Bill!$T690</f>
        <v>0</v>
      </c>
      <c r="Y690" s="37">
        <f>'Raw Data'!D692</f>
        <v>46248</v>
      </c>
      <c r="Z690" s="47">
        <v>0.0</v>
      </c>
      <c r="AA690" s="47"/>
      <c r="AB690" s="47"/>
      <c r="AC690" s="47"/>
      <c r="AD690" s="47"/>
      <c r="AE690" s="47"/>
      <c r="AF690" s="47"/>
      <c r="AG690" s="47"/>
    </row>
    <row r="691" ht="15.75" customHeight="1">
      <c r="A691" s="35">
        <f>Bill!$Y691</f>
        <v>46249</v>
      </c>
      <c r="B691" s="43">
        <f>'Raw Data'!E693+Bill!$L$2</f>
        <v>20</v>
      </c>
      <c r="C691" s="43">
        <f>'Raw Data'!E693+Bill!$M$2</f>
        <v>25</v>
      </c>
      <c r="D691" s="43">
        <f>('Raw Data'!$F693*2)-10</f>
        <v>-10</v>
      </c>
      <c r="E691" s="43">
        <f>'Raw Data'!F693+Bill!$O$2</f>
        <v>20</v>
      </c>
      <c r="F691" s="43">
        <f>'Raw Data'!F693+Bill!$P$2</f>
        <v>25</v>
      </c>
      <c r="G691" s="43">
        <f>'Raw Data'!E693+Bill!$Q$2</f>
        <v>50</v>
      </c>
      <c r="H691" s="43">
        <f>('Raw Data'!F693+Bill!$R$2)</f>
        <v>20</v>
      </c>
      <c r="I691" s="36">
        <f>'Raw Data'!G693/100</f>
        <v>0</v>
      </c>
      <c r="K691" s="37">
        <f>Bill!$Y691</f>
        <v>46249</v>
      </c>
      <c r="L691" s="38">
        <f>Bill!$AA691*('Raw Data'!$E693+$L$2)</f>
        <v>0</v>
      </c>
      <c r="M691" s="38">
        <f>Bill!$AB691*('Raw Data'!$E693+$M$2)</f>
        <v>0</v>
      </c>
      <c r="N691" s="38">
        <f>(('Raw Data'!$F693 * 2)-10)*Bill!$AC691</f>
        <v>0</v>
      </c>
      <c r="O691" s="38">
        <f>('Raw Data'!F693+Bill!$O$2)*Bill!$AD691</f>
        <v>0</v>
      </c>
      <c r="P691" s="38">
        <f>('Raw Data'!F693+Bill!$P$2)*Bill!$AE691</f>
        <v>0</v>
      </c>
      <c r="Q691" s="38">
        <f>Bill!$Z691*('Raw Data'!$E693+$Q$2)</f>
        <v>0</v>
      </c>
      <c r="R691" s="38">
        <f>('Raw Data'!F693+Bill!$R$2)*Bill!$AF691</f>
        <v>0</v>
      </c>
      <c r="S691" s="48">
        <f>('Raw Data'!G693/100)*Bill!$AG691</f>
        <v>0</v>
      </c>
      <c r="T691" s="38">
        <f>SUM(Bill!$L691:$R691)</f>
        <v>0</v>
      </c>
      <c r="U691" s="53"/>
      <c r="V691" s="50"/>
      <c r="W691" s="38">
        <f>Bill!$U691-Bill!$T691</f>
        <v>0</v>
      </c>
      <c r="Y691" s="37">
        <f>'Raw Data'!D693</f>
        <v>46249</v>
      </c>
      <c r="Z691" s="47">
        <v>0.0</v>
      </c>
      <c r="AA691" s="47"/>
      <c r="AB691" s="47"/>
      <c r="AC691" s="47"/>
      <c r="AD691" s="47"/>
      <c r="AE691" s="47"/>
      <c r="AF691" s="47"/>
      <c r="AG691" s="47"/>
    </row>
    <row r="692" ht="15.75" customHeight="1">
      <c r="A692" s="35">
        <f>Bill!$Y692</f>
        <v>46250</v>
      </c>
      <c r="B692" s="43">
        <f>'Raw Data'!E694+Bill!$L$2</f>
        <v>20</v>
      </c>
      <c r="C692" s="43">
        <f>'Raw Data'!E694+Bill!$M$2</f>
        <v>25</v>
      </c>
      <c r="D692" s="43">
        <f>('Raw Data'!$F694*2)-10</f>
        <v>-10</v>
      </c>
      <c r="E692" s="43">
        <f>'Raw Data'!F694+Bill!$O$2</f>
        <v>20</v>
      </c>
      <c r="F692" s="43">
        <f>'Raw Data'!F694+Bill!$P$2</f>
        <v>25</v>
      </c>
      <c r="G692" s="43">
        <f>'Raw Data'!E694+Bill!$Q$2</f>
        <v>50</v>
      </c>
      <c r="H692" s="43">
        <f>('Raw Data'!F694+Bill!$R$2)</f>
        <v>20</v>
      </c>
      <c r="I692" s="36">
        <f>'Raw Data'!G694/100</f>
        <v>0</v>
      </c>
      <c r="K692" s="37">
        <f>Bill!$Y692</f>
        <v>46250</v>
      </c>
      <c r="L692" s="38">
        <f>Bill!$AA692*('Raw Data'!$E694+$L$2)</f>
        <v>0</v>
      </c>
      <c r="M692" s="38">
        <f>Bill!$AB692*('Raw Data'!$E694+$M$2)</f>
        <v>0</v>
      </c>
      <c r="N692" s="38">
        <f>(('Raw Data'!$F694 * 2)-10)*Bill!$AC692</f>
        <v>0</v>
      </c>
      <c r="O692" s="38">
        <f>('Raw Data'!F694+Bill!$O$2)*Bill!$AD692</f>
        <v>0</v>
      </c>
      <c r="P692" s="38">
        <f>('Raw Data'!F694+Bill!$P$2)*Bill!$AE692</f>
        <v>0</v>
      </c>
      <c r="Q692" s="38">
        <f>Bill!$Z692*('Raw Data'!$E694+$Q$2)</f>
        <v>0</v>
      </c>
      <c r="R692" s="38">
        <f>('Raw Data'!F694+Bill!$R$2)*Bill!$AF692</f>
        <v>0</v>
      </c>
      <c r="S692" s="48">
        <f>('Raw Data'!G694/100)*Bill!$AG692</f>
        <v>0</v>
      </c>
      <c r="T692" s="38">
        <f>SUM(Bill!$L692:$R692)</f>
        <v>0</v>
      </c>
      <c r="U692" s="53"/>
      <c r="V692" s="50"/>
      <c r="W692" s="38">
        <f>Bill!$U692-Bill!$T692</f>
        <v>0</v>
      </c>
      <c r="Y692" s="37">
        <f>'Raw Data'!D694</f>
        <v>46250</v>
      </c>
      <c r="Z692" s="47">
        <v>0.0</v>
      </c>
      <c r="AA692" s="47"/>
      <c r="AB692" s="47"/>
      <c r="AC692" s="47"/>
      <c r="AD692" s="47"/>
      <c r="AE692" s="47"/>
      <c r="AF692" s="47"/>
      <c r="AG692" s="47"/>
    </row>
    <row r="693" ht="15.75" customHeight="1">
      <c r="A693" s="35">
        <f>Bill!$Y693</f>
        <v>46251</v>
      </c>
      <c r="B693" s="43">
        <f>'Raw Data'!E695+Bill!$L$2</f>
        <v>20</v>
      </c>
      <c r="C693" s="43">
        <f>'Raw Data'!E695+Bill!$M$2</f>
        <v>25</v>
      </c>
      <c r="D693" s="43">
        <f>('Raw Data'!$F695*2)-10</f>
        <v>-10</v>
      </c>
      <c r="E693" s="43">
        <f>'Raw Data'!F695+Bill!$O$2</f>
        <v>20</v>
      </c>
      <c r="F693" s="43">
        <f>'Raw Data'!F695+Bill!$P$2</f>
        <v>25</v>
      </c>
      <c r="G693" s="43">
        <f>'Raw Data'!E695+Bill!$Q$2</f>
        <v>50</v>
      </c>
      <c r="H693" s="43">
        <f>('Raw Data'!F695+Bill!$R$2)</f>
        <v>20</v>
      </c>
      <c r="I693" s="36">
        <f>'Raw Data'!G695/100</f>
        <v>0</v>
      </c>
      <c r="K693" s="37">
        <f>Bill!$Y693</f>
        <v>46251</v>
      </c>
      <c r="L693" s="38">
        <f>Bill!$AA693*('Raw Data'!$E695+$L$2)</f>
        <v>0</v>
      </c>
      <c r="M693" s="38">
        <f>Bill!$AB693*('Raw Data'!$E695+$M$2)</f>
        <v>0</v>
      </c>
      <c r="N693" s="38">
        <f>(('Raw Data'!$F695 * 2)-10)*Bill!$AC693</f>
        <v>0</v>
      </c>
      <c r="O693" s="38">
        <f>('Raw Data'!F695+Bill!$O$2)*Bill!$AD693</f>
        <v>0</v>
      </c>
      <c r="P693" s="38">
        <f>('Raw Data'!F695+Bill!$P$2)*Bill!$AE693</f>
        <v>0</v>
      </c>
      <c r="Q693" s="38">
        <f>Bill!$Z693*('Raw Data'!$E695+$Q$2)</f>
        <v>0</v>
      </c>
      <c r="R693" s="38">
        <f>('Raw Data'!F695+Bill!$R$2)*Bill!$AF693</f>
        <v>0</v>
      </c>
      <c r="S693" s="48">
        <f>('Raw Data'!G695/100)*Bill!$AG693</f>
        <v>0</v>
      </c>
      <c r="T693" s="38">
        <f>SUM(Bill!$L693:$R693)</f>
        <v>0</v>
      </c>
      <c r="U693" s="53"/>
      <c r="V693" s="50"/>
      <c r="W693" s="38">
        <f>Bill!$U693-Bill!$T693</f>
        <v>0</v>
      </c>
      <c r="Y693" s="37">
        <f>'Raw Data'!D695</f>
        <v>46251</v>
      </c>
      <c r="Z693" s="47">
        <v>0.0</v>
      </c>
      <c r="AA693" s="47"/>
      <c r="AB693" s="47"/>
      <c r="AC693" s="47"/>
      <c r="AD693" s="47"/>
      <c r="AE693" s="47"/>
      <c r="AF693" s="47"/>
      <c r="AG693" s="47"/>
    </row>
    <row r="694" ht="15.75" customHeight="1">
      <c r="A694" s="35">
        <f>Bill!$Y694</f>
        <v>46252</v>
      </c>
      <c r="B694" s="43">
        <f>'Raw Data'!E696+Bill!$L$2</f>
        <v>20</v>
      </c>
      <c r="C694" s="43">
        <f>'Raw Data'!E696+Bill!$M$2</f>
        <v>25</v>
      </c>
      <c r="D694" s="43">
        <f>('Raw Data'!$F696*2)-10</f>
        <v>-10</v>
      </c>
      <c r="E694" s="43">
        <f>'Raw Data'!F696+Bill!$O$2</f>
        <v>20</v>
      </c>
      <c r="F694" s="43">
        <f>'Raw Data'!F696+Bill!$P$2</f>
        <v>25</v>
      </c>
      <c r="G694" s="43">
        <f>'Raw Data'!E696+Bill!$Q$2</f>
        <v>50</v>
      </c>
      <c r="H694" s="43">
        <f>('Raw Data'!F696+Bill!$R$2)</f>
        <v>20</v>
      </c>
      <c r="I694" s="36">
        <f>'Raw Data'!G696/100</f>
        <v>0</v>
      </c>
      <c r="K694" s="37">
        <f>Bill!$Y694</f>
        <v>46252</v>
      </c>
      <c r="L694" s="38">
        <f>Bill!$AA694*('Raw Data'!$E696+$L$2)</f>
        <v>0</v>
      </c>
      <c r="M694" s="38">
        <f>Bill!$AB694*('Raw Data'!$E696+$M$2)</f>
        <v>0</v>
      </c>
      <c r="N694" s="38">
        <f>(('Raw Data'!$F696 * 2)-10)*Bill!$AC694</f>
        <v>0</v>
      </c>
      <c r="O694" s="38">
        <f>('Raw Data'!F696+Bill!$O$2)*Bill!$AD694</f>
        <v>0</v>
      </c>
      <c r="P694" s="38">
        <f>('Raw Data'!F696+Bill!$P$2)*Bill!$AE694</f>
        <v>0</v>
      </c>
      <c r="Q694" s="38">
        <f>Bill!$Z694*('Raw Data'!$E696+$Q$2)</f>
        <v>0</v>
      </c>
      <c r="R694" s="38">
        <f>('Raw Data'!F696+Bill!$R$2)*Bill!$AF694</f>
        <v>0</v>
      </c>
      <c r="S694" s="48">
        <f>('Raw Data'!G696/100)*Bill!$AG694</f>
        <v>0</v>
      </c>
      <c r="T694" s="38">
        <f>SUM(Bill!$L694:$R694)</f>
        <v>0</v>
      </c>
      <c r="U694" s="53"/>
      <c r="V694" s="50"/>
      <c r="W694" s="38">
        <f>Bill!$U694-Bill!$T694</f>
        <v>0</v>
      </c>
      <c r="Y694" s="37">
        <f>'Raw Data'!D696</f>
        <v>46252</v>
      </c>
      <c r="Z694" s="47">
        <v>0.0</v>
      </c>
      <c r="AA694" s="47"/>
      <c r="AB694" s="47"/>
      <c r="AC694" s="47"/>
      <c r="AD694" s="47"/>
      <c r="AE694" s="47"/>
      <c r="AF694" s="47"/>
      <c r="AG694" s="47"/>
    </row>
    <row r="695" ht="15.75" customHeight="1">
      <c r="A695" s="35">
        <f>Bill!$Y695</f>
        <v>46253</v>
      </c>
      <c r="B695" s="43">
        <f>'Raw Data'!E697+Bill!$L$2</f>
        <v>20</v>
      </c>
      <c r="C695" s="43">
        <f>'Raw Data'!E697+Bill!$M$2</f>
        <v>25</v>
      </c>
      <c r="D695" s="43">
        <f>('Raw Data'!$F697*2)-10</f>
        <v>-10</v>
      </c>
      <c r="E695" s="43">
        <f>'Raw Data'!F697+Bill!$O$2</f>
        <v>20</v>
      </c>
      <c r="F695" s="43">
        <f>'Raw Data'!F697+Bill!$P$2</f>
        <v>25</v>
      </c>
      <c r="G695" s="43">
        <f>'Raw Data'!E697+Bill!$Q$2</f>
        <v>50</v>
      </c>
      <c r="H695" s="43">
        <f>('Raw Data'!F697+Bill!$R$2)</f>
        <v>20</v>
      </c>
      <c r="I695" s="36">
        <f>'Raw Data'!G697/100</f>
        <v>0</v>
      </c>
      <c r="K695" s="37">
        <f>Bill!$Y695</f>
        <v>46253</v>
      </c>
      <c r="L695" s="38">
        <f>Bill!$AA695*('Raw Data'!$E697+$L$2)</f>
        <v>0</v>
      </c>
      <c r="M695" s="38">
        <f>Bill!$AB695*('Raw Data'!$E697+$M$2)</f>
        <v>0</v>
      </c>
      <c r="N695" s="38">
        <f>(('Raw Data'!$F697 * 2)-10)*Bill!$AC695</f>
        <v>0</v>
      </c>
      <c r="O695" s="38">
        <f>('Raw Data'!F697+Bill!$O$2)*Bill!$AD695</f>
        <v>0</v>
      </c>
      <c r="P695" s="38">
        <f>('Raw Data'!F697+Bill!$P$2)*Bill!$AE695</f>
        <v>0</v>
      </c>
      <c r="Q695" s="38">
        <f>Bill!$Z695*('Raw Data'!$E697+$Q$2)</f>
        <v>0</v>
      </c>
      <c r="R695" s="38">
        <f>('Raw Data'!F697+Bill!$R$2)*Bill!$AF695</f>
        <v>0</v>
      </c>
      <c r="S695" s="48">
        <f>('Raw Data'!G697/100)*Bill!$AG695</f>
        <v>0</v>
      </c>
      <c r="T695" s="38">
        <f>SUM(Bill!$L695:$R695)</f>
        <v>0</v>
      </c>
      <c r="U695" s="53"/>
      <c r="V695" s="50"/>
      <c r="W695" s="38">
        <f>Bill!$U695-Bill!$T695</f>
        <v>0</v>
      </c>
      <c r="Y695" s="37">
        <f>'Raw Data'!D697</f>
        <v>46253</v>
      </c>
      <c r="Z695" s="47">
        <v>0.0</v>
      </c>
      <c r="AA695" s="47"/>
      <c r="AB695" s="47"/>
      <c r="AC695" s="47"/>
      <c r="AD695" s="47"/>
      <c r="AE695" s="47"/>
      <c r="AF695" s="47"/>
      <c r="AG695" s="47"/>
    </row>
    <row r="696" ht="15.75" customHeight="1">
      <c r="A696" s="35">
        <f>Bill!$Y696</f>
        <v>46254</v>
      </c>
      <c r="B696" s="43">
        <f>'Raw Data'!E698+Bill!$L$2</f>
        <v>20</v>
      </c>
      <c r="C696" s="43">
        <f>'Raw Data'!E698+Bill!$M$2</f>
        <v>25</v>
      </c>
      <c r="D696" s="43">
        <f>('Raw Data'!$F698*2)-10</f>
        <v>-10</v>
      </c>
      <c r="E696" s="43">
        <f>'Raw Data'!F698+Bill!$O$2</f>
        <v>20</v>
      </c>
      <c r="F696" s="43">
        <f>'Raw Data'!F698+Bill!$P$2</f>
        <v>25</v>
      </c>
      <c r="G696" s="43">
        <f>'Raw Data'!E698+Bill!$Q$2</f>
        <v>50</v>
      </c>
      <c r="H696" s="43">
        <f>('Raw Data'!F698+Bill!$R$2)</f>
        <v>20</v>
      </c>
      <c r="I696" s="36">
        <f>'Raw Data'!G698/100</f>
        <v>0</v>
      </c>
      <c r="K696" s="37">
        <f>Bill!$Y696</f>
        <v>46254</v>
      </c>
      <c r="L696" s="38">
        <f>Bill!$AA696*('Raw Data'!$E698+$L$2)</f>
        <v>0</v>
      </c>
      <c r="M696" s="38">
        <f>Bill!$AB696*('Raw Data'!$E698+$M$2)</f>
        <v>0</v>
      </c>
      <c r="N696" s="38">
        <f>(('Raw Data'!$F698 * 2)-10)*Bill!$AC696</f>
        <v>0</v>
      </c>
      <c r="O696" s="38">
        <f>('Raw Data'!F698+Bill!$O$2)*Bill!$AD696</f>
        <v>0</v>
      </c>
      <c r="P696" s="38">
        <f>('Raw Data'!F698+Bill!$P$2)*Bill!$AE696</f>
        <v>0</v>
      </c>
      <c r="Q696" s="38">
        <f>Bill!$Z696*('Raw Data'!$E698+$Q$2)</f>
        <v>0</v>
      </c>
      <c r="R696" s="38">
        <f>('Raw Data'!F698+Bill!$R$2)*Bill!$AF696</f>
        <v>0</v>
      </c>
      <c r="S696" s="48">
        <f>('Raw Data'!G698/100)*Bill!$AG696</f>
        <v>0</v>
      </c>
      <c r="T696" s="38">
        <f>SUM(Bill!$L696:$R696)</f>
        <v>0</v>
      </c>
      <c r="U696" s="53"/>
      <c r="V696" s="50"/>
      <c r="W696" s="38">
        <f>Bill!$U696-Bill!$T696</f>
        <v>0</v>
      </c>
      <c r="Y696" s="37">
        <f>'Raw Data'!D698</f>
        <v>46254</v>
      </c>
      <c r="Z696" s="47">
        <v>0.0</v>
      </c>
      <c r="AA696" s="47"/>
      <c r="AB696" s="47"/>
      <c r="AC696" s="47"/>
      <c r="AD696" s="47"/>
      <c r="AE696" s="47"/>
      <c r="AF696" s="47"/>
      <c r="AG696" s="47"/>
    </row>
    <row r="697" ht="15.75" customHeight="1">
      <c r="A697" s="35">
        <f>Bill!$Y697</f>
        <v>46255</v>
      </c>
      <c r="B697" s="43">
        <f>'Raw Data'!E699+Bill!$L$2</f>
        <v>20</v>
      </c>
      <c r="C697" s="43">
        <f>'Raw Data'!E699+Bill!$M$2</f>
        <v>25</v>
      </c>
      <c r="D697" s="43">
        <f>('Raw Data'!$F699*2)-10</f>
        <v>-10</v>
      </c>
      <c r="E697" s="43">
        <f>'Raw Data'!F699+Bill!$O$2</f>
        <v>20</v>
      </c>
      <c r="F697" s="43">
        <f>'Raw Data'!F699+Bill!$P$2</f>
        <v>25</v>
      </c>
      <c r="G697" s="43">
        <f>'Raw Data'!E699+Bill!$Q$2</f>
        <v>50</v>
      </c>
      <c r="H697" s="43">
        <f>('Raw Data'!F699+Bill!$R$2)</f>
        <v>20</v>
      </c>
      <c r="I697" s="36">
        <f>'Raw Data'!G699/100</f>
        <v>0</v>
      </c>
      <c r="K697" s="37">
        <f>Bill!$Y697</f>
        <v>46255</v>
      </c>
      <c r="L697" s="38">
        <f>Bill!$AA697*('Raw Data'!$E699+$L$2)</f>
        <v>0</v>
      </c>
      <c r="M697" s="38">
        <f>Bill!$AB697*('Raw Data'!$E699+$M$2)</f>
        <v>0</v>
      </c>
      <c r="N697" s="38">
        <f>(('Raw Data'!$F699 * 2)-10)*Bill!$AC697</f>
        <v>0</v>
      </c>
      <c r="O697" s="38">
        <f>('Raw Data'!F699+Bill!$O$2)*Bill!$AD697</f>
        <v>0</v>
      </c>
      <c r="P697" s="38">
        <f>('Raw Data'!F699+Bill!$P$2)*Bill!$AE697</f>
        <v>0</v>
      </c>
      <c r="Q697" s="38">
        <f>Bill!$Z697*('Raw Data'!$E699+$Q$2)</f>
        <v>0</v>
      </c>
      <c r="R697" s="38">
        <f>('Raw Data'!F699+Bill!$R$2)*Bill!$AF697</f>
        <v>0</v>
      </c>
      <c r="S697" s="48">
        <f>('Raw Data'!G699/100)*Bill!$AG697</f>
        <v>0</v>
      </c>
      <c r="T697" s="38">
        <f>SUM(Bill!$L697:$R697)</f>
        <v>0</v>
      </c>
      <c r="U697" s="53"/>
      <c r="V697" s="50"/>
      <c r="W697" s="38">
        <f>Bill!$U697-Bill!$T697</f>
        <v>0</v>
      </c>
      <c r="Y697" s="37">
        <f>'Raw Data'!D699</f>
        <v>46255</v>
      </c>
      <c r="Z697" s="47">
        <v>0.0</v>
      </c>
      <c r="AA697" s="47"/>
      <c r="AB697" s="47"/>
      <c r="AC697" s="47"/>
      <c r="AD697" s="47"/>
      <c r="AE697" s="47"/>
      <c r="AF697" s="47"/>
      <c r="AG697" s="47"/>
    </row>
    <row r="698" ht="15.75" customHeight="1">
      <c r="A698" s="35">
        <f>Bill!$Y698</f>
        <v>46256</v>
      </c>
      <c r="B698" s="43">
        <f>'Raw Data'!E700+Bill!$L$2</f>
        <v>20</v>
      </c>
      <c r="C698" s="43">
        <f>'Raw Data'!E700+Bill!$M$2</f>
        <v>25</v>
      </c>
      <c r="D698" s="43">
        <f>('Raw Data'!$F700*2)-10</f>
        <v>-10</v>
      </c>
      <c r="E698" s="43">
        <f>'Raw Data'!F700+Bill!$O$2</f>
        <v>20</v>
      </c>
      <c r="F698" s="43">
        <f>'Raw Data'!F700+Bill!$P$2</f>
        <v>25</v>
      </c>
      <c r="G698" s="43">
        <f>'Raw Data'!E700+Bill!$Q$2</f>
        <v>50</v>
      </c>
      <c r="H698" s="43">
        <f>('Raw Data'!F700+Bill!$R$2)</f>
        <v>20</v>
      </c>
      <c r="I698" s="36">
        <f>'Raw Data'!G700/100</f>
        <v>0</v>
      </c>
      <c r="K698" s="37">
        <f>Bill!$Y698</f>
        <v>46256</v>
      </c>
      <c r="L698" s="38">
        <f>Bill!$AA698*('Raw Data'!$E700+$L$2)</f>
        <v>0</v>
      </c>
      <c r="M698" s="38">
        <f>Bill!$AB698*('Raw Data'!$E700+$M$2)</f>
        <v>0</v>
      </c>
      <c r="N698" s="38">
        <f>(('Raw Data'!$F700 * 2)-10)*Bill!$AC698</f>
        <v>0</v>
      </c>
      <c r="O698" s="38">
        <f>('Raw Data'!F700+Bill!$O$2)*Bill!$AD698</f>
        <v>0</v>
      </c>
      <c r="P698" s="38">
        <f>('Raw Data'!F700+Bill!$P$2)*Bill!$AE698</f>
        <v>0</v>
      </c>
      <c r="Q698" s="38">
        <f>Bill!$Z698*('Raw Data'!$E700+$Q$2)</f>
        <v>0</v>
      </c>
      <c r="R698" s="38">
        <f>('Raw Data'!F700+Bill!$R$2)*Bill!$AF698</f>
        <v>0</v>
      </c>
      <c r="S698" s="48">
        <f>('Raw Data'!G700/100)*Bill!$AG698</f>
        <v>0</v>
      </c>
      <c r="T698" s="38">
        <f>SUM(Bill!$L698:$R698)</f>
        <v>0</v>
      </c>
      <c r="U698" s="53"/>
      <c r="V698" s="50"/>
      <c r="W698" s="38">
        <f>Bill!$U698-Bill!$T698</f>
        <v>0</v>
      </c>
      <c r="Y698" s="37">
        <f>'Raw Data'!D700</f>
        <v>46256</v>
      </c>
      <c r="Z698" s="47">
        <v>0.0</v>
      </c>
      <c r="AA698" s="47"/>
      <c r="AB698" s="47"/>
      <c r="AC698" s="47"/>
      <c r="AD698" s="47"/>
      <c r="AE698" s="47"/>
      <c r="AF698" s="47"/>
      <c r="AG698" s="47"/>
    </row>
    <row r="699" ht="15.75" customHeight="1">
      <c r="A699" s="35">
        <f>Bill!$Y699</f>
        <v>46257</v>
      </c>
      <c r="B699" s="43">
        <f>'Raw Data'!E701+Bill!$L$2</f>
        <v>20</v>
      </c>
      <c r="C699" s="43">
        <f>'Raw Data'!E701+Bill!$M$2</f>
        <v>25</v>
      </c>
      <c r="D699" s="43">
        <f>('Raw Data'!$F701*2)-10</f>
        <v>-10</v>
      </c>
      <c r="E699" s="43">
        <f>'Raw Data'!F701+Bill!$O$2</f>
        <v>20</v>
      </c>
      <c r="F699" s="43">
        <f>'Raw Data'!F701+Bill!$P$2</f>
        <v>25</v>
      </c>
      <c r="G699" s="43">
        <f>'Raw Data'!E701+Bill!$Q$2</f>
        <v>50</v>
      </c>
      <c r="H699" s="43">
        <f>('Raw Data'!F701+Bill!$R$2)</f>
        <v>20</v>
      </c>
      <c r="I699" s="36">
        <f>'Raw Data'!G701/100</f>
        <v>0</v>
      </c>
      <c r="K699" s="37">
        <f>Bill!$Y699</f>
        <v>46257</v>
      </c>
      <c r="L699" s="38">
        <f>Bill!$AA699*('Raw Data'!$E701+$L$2)</f>
        <v>0</v>
      </c>
      <c r="M699" s="38">
        <f>Bill!$AB699*('Raw Data'!$E701+$M$2)</f>
        <v>0</v>
      </c>
      <c r="N699" s="38">
        <f>(('Raw Data'!$F701 * 2)-10)*Bill!$AC699</f>
        <v>0</v>
      </c>
      <c r="O699" s="38">
        <f>('Raw Data'!F701+Bill!$O$2)*Bill!$AD699</f>
        <v>0</v>
      </c>
      <c r="P699" s="38">
        <f>('Raw Data'!F701+Bill!$P$2)*Bill!$AE699</f>
        <v>0</v>
      </c>
      <c r="Q699" s="38">
        <f>Bill!$Z699*('Raw Data'!$E701+$Q$2)</f>
        <v>0</v>
      </c>
      <c r="R699" s="38">
        <f>('Raw Data'!F701+Bill!$R$2)*Bill!$AF699</f>
        <v>0</v>
      </c>
      <c r="S699" s="48">
        <f>('Raw Data'!G701/100)*Bill!$AG699</f>
        <v>0</v>
      </c>
      <c r="T699" s="38">
        <f>SUM(Bill!$L699:$R699)</f>
        <v>0</v>
      </c>
      <c r="U699" s="53"/>
      <c r="V699" s="50"/>
      <c r="W699" s="38">
        <f>Bill!$U699-Bill!$T699</f>
        <v>0</v>
      </c>
      <c r="Y699" s="37">
        <f>'Raw Data'!D701</f>
        <v>46257</v>
      </c>
      <c r="Z699" s="47">
        <v>0.0</v>
      </c>
      <c r="AA699" s="47"/>
      <c r="AB699" s="47"/>
      <c r="AC699" s="47"/>
      <c r="AD699" s="47"/>
      <c r="AE699" s="47"/>
      <c r="AF699" s="47"/>
      <c r="AG699" s="47"/>
    </row>
    <row r="700" ht="15.75" customHeight="1">
      <c r="A700" s="35">
        <f>Bill!$Y700</f>
        <v>46258</v>
      </c>
      <c r="B700" s="43">
        <f>'Raw Data'!E702+Bill!$L$2</f>
        <v>20</v>
      </c>
      <c r="C700" s="43">
        <f>'Raw Data'!E702+Bill!$M$2</f>
        <v>25</v>
      </c>
      <c r="D700" s="43">
        <f>('Raw Data'!$F702*2)-10</f>
        <v>-10</v>
      </c>
      <c r="E700" s="43">
        <f>'Raw Data'!F702+Bill!$O$2</f>
        <v>20</v>
      </c>
      <c r="F700" s="43">
        <f>'Raw Data'!F702+Bill!$P$2</f>
        <v>25</v>
      </c>
      <c r="G700" s="43">
        <f>'Raw Data'!E702+Bill!$Q$2</f>
        <v>50</v>
      </c>
      <c r="H700" s="43">
        <f>('Raw Data'!F702+Bill!$R$2)</f>
        <v>20</v>
      </c>
      <c r="I700" s="36">
        <f>'Raw Data'!G702/100</f>
        <v>0</v>
      </c>
      <c r="K700" s="37">
        <f>Bill!$Y700</f>
        <v>46258</v>
      </c>
      <c r="L700" s="38">
        <f>Bill!$AA700*('Raw Data'!$E702+$L$2)</f>
        <v>0</v>
      </c>
      <c r="M700" s="38">
        <f>Bill!$AB700*('Raw Data'!$E702+$M$2)</f>
        <v>0</v>
      </c>
      <c r="N700" s="38">
        <f>(('Raw Data'!$F702 * 2)-10)*Bill!$AC700</f>
        <v>0</v>
      </c>
      <c r="O700" s="38">
        <f>('Raw Data'!F702+Bill!$O$2)*Bill!$AD700</f>
        <v>0</v>
      </c>
      <c r="P700" s="38">
        <f>('Raw Data'!F702+Bill!$P$2)*Bill!$AE700</f>
        <v>0</v>
      </c>
      <c r="Q700" s="38">
        <f>Bill!$Z700*('Raw Data'!$E702+$Q$2)</f>
        <v>0</v>
      </c>
      <c r="R700" s="38">
        <f>('Raw Data'!F702+Bill!$R$2)*Bill!$AF700</f>
        <v>0</v>
      </c>
      <c r="S700" s="48">
        <f>('Raw Data'!G702/100)*Bill!$AG700</f>
        <v>0</v>
      </c>
      <c r="T700" s="38">
        <f>SUM(Bill!$L700:$R700)</f>
        <v>0</v>
      </c>
      <c r="U700" s="53"/>
      <c r="V700" s="50"/>
      <c r="W700" s="38">
        <f>Bill!$U700-Bill!$T700</f>
        <v>0</v>
      </c>
      <c r="Y700" s="37">
        <f>'Raw Data'!D702</f>
        <v>46258</v>
      </c>
      <c r="Z700" s="47">
        <v>0.0</v>
      </c>
      <c r="AA700" s="47"/>
      <c r="AB700" s="47"/>
      <c r="AC700" s="47"/>
      <c r="AD700" s="47"/>
      <c r="AE700" s="47"/>
      <c r="AF700" s="47"/>
      <c r="AG700" s="47"/>
    </row>
    <row r="701" ht="15.75" customHeight="1">
      <c r="A701" s="35">
        <f>Bill!$Y701</f>
        <v>46259</v>
      </c>
      <c r="B701" s="43">
        <f>'Raw Data'!E703+Bill!$L$2</f>
        <v>20</v>
      </c>
      <c r="C701" s="43">
        <f>'Raw Data'!E703+Bill!$M$2</f>
        <v>25</v>
      </c>
      <c r="D701" s="43">
        <f>('Raw Data'!$F703*2)-10</f>
        <v>-10</v>
      </c>
      <c r="E701" s="43">
        <f>'Raw Data'!F703+Bill!$O$2</f>
        <v>20</v>
      </c>
      <c r="F701" s="43">
        <f>'Raw Data'!F703+Bill!$P$2</f>
        <v>25</v>
      </c>
      <c r="G701" s="43">
        <f>'Raw Data'!E703+Bill!$Q$2</f>
        <v>50</v>
      </c>
      <c r="H701" s="43">
        <f>('Raw Data'!F703+Bill!$R$2)</f>
        <v>20</v>
      </c>
      <c r="I701" s="36">
        <f>'Raw Data'!G703/100</f>
        <v>0</v>
      </c>
      <c r="K701" s="37">
        <f>Bill!$Y701</f>
        <v>46259</v>
      </c>
      <c r="L701" s="38">
        <f>Bill!$AA701*('Raw Data'!$E703+$L$2)</f>
        <v>0</v>
      </c>
      <c r="M701" s="38">
        <f>Bill!$AB701*('Raw Data'!$E703+$M$2)</f>
        <v>0</v>
      </c>
      <c r="N701" s="38">
        <f>(('Raw Data'!$F703 * 2)-10)*Bill!$AC701</f>
        <v>0</v>
      </c>
      <c r="O701" s="38">
        <f>('Raw Data'!F703+Bill!$O$2)*Bill!$AD701</f>
        <v>0</v>
      </c>
      <c r="P701" s="38">
        <f>('Raw Data'!F703+Bill!$P$2)*Bill!$AE701</f>
        <v>0</v>
      </c>
      <c r="Q701" s="38">
        <f>Bill!$Z701*('Raw Data'!$E703+$Q$2)</f>
        <v>0</v>
      </c>
      <c r="R701" s="38">
        <f>('Raw Data'!F703+Bill!$R$2)*Bill!$AF701</f>
        <v>0</v>
      </c>
      <c r="S701" s="48">
        <f>('Raw Data'!G703/100)*Bill!$AG701</f>
        <v>0</v>
      </c>
      <c r="T701" s="38">
        <f>SUM(Bill!$L701:$R701)</f>
        <v>0</v>
      </c>
      <c r="U701" s="53"/>
      <c r="V701" s="50"/>
      <c r="W701" s="38">
        <f>Bill!$U701-Bill!$T701</f>
        <v>0</v>
      </c>
      <c r="Y701" s="37">
        <f>'Raw Data'!D703</f>
        <v>46259</v>
      </c>
      <c r="Z701" s="47">
        <v>0.0</v>
      </c>
      <c r="AA701" s="47"/>
      <c r="AB701" s="47"/>
      <c r="AC701" s="47"/>
      <c r="AD701" s="47"/>
      <c r="AE701" s="47"/>
      <c r="AF701" s="47"/>
      <c r="AG701" s="47"/>
    </row>
    <row r="702" ht="15.75" customHeight="1">
      <c r="A702" s="35">
        <f>Bill!$Y702</f>
        <v>46260</v>
      </c>
      <c r="B702" s="43">
        <f>'Raw Data'!E704+Bill!$L$2</f>
        <v>20</v>
      </c>
      <c r="C702" s="43">
        <f>'Raw Data'!E704+Bill!$M$2</f>
        <v>25</v>
      </c>
      <c r="D702" s="43">
        <f>('Raw Data'!$F704*2)-10</f>
        <v>-10</v>
      </c>
      <c r="E702" s="43">
        <f>'Raw Data'!F704+Bill!$O$2</f>
        <v>20</v>
      </c>
      <c r="F702" s="43">
        <f>'Raw Data'!F704+Bill!$P$2</f>
        <v>25</v>
      </c>
      <c r="G702" s="43">
        <f>'Raw Data'!E704+Bill!$Q$2</f>
        <v>50</v>
      </c>
      <c r="H702" s="43">
        <f>('Raw Data'!F704+Bill!$R$2)</f>
        <v>20</v>
      </c>
      <c r="I702" s="36">
        <f>'Raw Data'!G704/100</f>
        <v>0</v>
      </c>
      <c r="K702" s="37">
        <f>Bill!$Y702</f>
        <v>46260</v>
      </c>
      <c r="L702" s="38">
        <f>Bill!$AA702*('Raw Data'!$E704+$L$2)</f>
        <v>0</v>
      </c>
      <c r="M702" s="38">
        <f>Bill!$AB702*('Raw Data'!$E704+$M$2)</f>
        <v>0</v>
      </c>
      <c r="N702" s="38">
        <f>(('Raw Data'!$F704 * 2)-10)*Bill!$AC702</f>
        <v>0</v>
      </c>
      <c r="O702" s="38">
        <f>('Raw Data'!F704+Bill!$O$2)*Bill!$AD702</f>
        <v>0</v>
      </c>
      <c r="P702" s="38">
        <f>('Raw Data'!F704+Bill!$P$2)*Bill!$AE702</f>
        <v>0</v>
      </c>
      <c r="Q702" s="38">
        <f>Bill!$Z702*('Raw Data'!$E704+$Q$2)</f>
        <v>0</v>
      </c>
      <c r="R702" s="38">
        <f>('Raw Data'!F704+Bill!$R$2)*Bill!$AF702</f>
        <v>0</v>
      </c>
      <c r="S702" s="48">
        <f>('Raw Data'!G704/100)*Bill!$AG702</f>
        <v>0</v>
      </c>
      <c r="T702" s="38">
        <f>SUM(Bill!$L702:$R702)</f>
        <v>0</v>
      </c>
      <c r="U702" s="53"/>
      <c r="V702" s="50"/>
      <c r="W702" s="38">
        <f>Bill!$U702-Bill!$T702</f>
        <v>0</v>
      </c>
      <c r="Y702" s="37">
        <f>'Raw Data'!D704</f>
        <v>46260</v>
      </c>
      <c r="Z702" s="47">
        <v>0.0</v>
      </c>
      <c r="AA702" s="47"/>
      <c r="AB702" s="47"/>
      <c r="AC702" s="47"/>
      <c r="AD702" s="47"/>
      <c r="AE702" s="47"/>
      <c r="AF702" s="47"/>
      <c r="AG702" s="47"/>
    </row>
    <row r="703" ht="15.75" customHeight="1">
      <c r="A703" s="35">
        <f>Bill!$Y703</f>
        <v>46261</v>
      </c>
      <c r="B703" s="43">
        <f>'Raw Data'!E705+Bill!$L$2</f>
        <v>20</v>
      </c>
      <c r="C703" s="43">
        <f>'Raw Data'!E705+Bill!$M$2</f>
        <v>25</v>
      </c>
      <c r="D703" s="43">
        <f>('Raw Data'!$F705*2)-10</f>
        <v>-10</v>
      </c>
      <c r="E703" s="43">
        <f>'Raw Data'!F705+Bill!$O$2</f>
        <v>20</v>
      </c>
      <c r="F703" s="43">
        <f>'Raw Data'!F705+Bill!$P$2</f>
        <v>25</v>
      </c>
      <c r="G703" s="43">
        <f>'Raw Data'!E705+Bill!$Q$2</f>
        <v>50</v>
      </c>
      <c r="H703" s="43">
        <f>('Raw Data'!F705+Bill!$R$2)</f>
        <v>20</v>
      </c>
      <c r="I703" s="36">
        <f>'Raw Data'!G705/100</f>
        <v>0</v>
      </c>
      <c r="K703" s="37">
        <f>Bill!$Y703</f>
        <v>46261</v>
      </c>
      <c r="L703" s="38">
        <f>Bill!$AA703*('Raw Data'!$E705+$L$2)</f>
        <v>0</v>
      </c>
      <c r="M703" s="38">
        <f>Bill!$AB703*('Raw Data'!$E705+$M$2)</f>
        <v>0</v>
      </c>
      <c r="N703" s="38">
        <f>(('Raw Data'!$F705 * 2)-10)*Bill!$AC703</f>
        <v>0</v>
      </c>
      <c r="O703" s="38">
        <f>('Raw Data'!F705+Bill!$O$2)*Bill!$AD703</f>
        <v>0</v>
      </c>
      <c r="P703" s="38">
        <f>('Raw Data'!F705+Bill!$P$2)*Bill!$AE703</f>
        <v>0</v>
      </c>
      <c r="Q703" s="38">
        <f>Bill!$Z703*('Raw Data'!$E705+$Q$2)</f>
        <v>0</v>
      </c>
      <c r="R703" s="38">
        <f>('Raw Data'!F705+Bill!$R$2)*Bill!$AF703</f>
        <v>0</v>
      </c>
      <c r="S703" s="48">
        <f>('Raw Data'!G705/100)*Bill!$AG703</f>
        <v>0</v>
      </c>
      <c r="T703" s="38">
        <f>SUM(Bill!$L703:$R703)</f>
        <v>0</v>
      </c>
      <c r="U703" s="53"/>
      <c r="V703" s="50"/>
      <c r="W703" s="38">
        <f>Bill!$U703-Bill!$T703</f>
        <v>0</v>
      </c>
      <c r="Y703" s="37">
        <f>'Raw Data'!D705</f>
        <v>46261</v>
      </c>
      <c r="Z703" s="47">
        <v>0.0</v>
      </c>
      <c r="AA703" s="47"/>
      <c r="AB703" s="47"/>
      <c r="AC703" s="47"/>
      <c r="AD703" s="47"/>
      <c r="AE703" s="47"/>
      <c r="AF703" s="47"/>
      <c r="AG703" s="47"/>
    </row>
    <row r="704" ht="15.75" customHeight="1">
      <c r="A704" s="35">
        <f>Bill!$Y704</f>
        <v>46262</v>
      </c>
      <c r="B704" s="43">
        <f>'Raw Data'!E706+Bill!$L$2</f>
        <v>20</v>
      </c>
      <c r="C704" s="43">
        <f>'Raw Data'!E706+Bill!$M$2</f>
        <v>25</v>
      </c>
      <c r="D704" s="43">
        <f>('Raw Data'!$F706*2)-10</f>
        <v>-10</v>
      </c>
      <c r="E704" s="43">
        <f>'Raw Data'!F706+Bill!$O$2</f>
        <v>20</v>
      </c>
      <c r="F704" s="43">
        <f>'Raw Data'!F706+Bill!$P$2</f>
        <v>25</v>
      </c>
      <c r="G704" s="43">
        <f>'Raw Data'!E706+Bill!$Q$2</f>
        <v>50</v>
      </c>
      <c r="H704" s="43">
        <f>('Raw Data'!F706+Bill!$R$2)</f>
        <v>20</v>
      </c>
      <c r="I704" s="36">
        <f>'Raw Data'!G706/100</f>
        <v>0</v>
      </c>
      <c r="K704" s="37">
        <f>Bill!$Y704</f>
        <v>46262</v>
      </c>
      <c r="L704" s="38">
        <f>Bill!$AA704*('Raw Data'!$E706+$L$2)</f>
        <v>0</v>
      </c>
      <c r="M704" s="38">
        <f>Bill!$AB704*('Raw Data'!$E706+$M$2)</f>
        <v>0</v>
      </c>
      <c r="N704" s="38">
        <f>(('Raw Data'!$F706 * 2)-10)*Bill!$AC704</f>
        <v>0</v>
      </c>
      <c r="O704" s="38">
        <f>('Raw Data'!F706+Bill!$O$2)*Bill!$AD704</f>
        <v>0</v>
      </c>
      <c r="P704" s="38">
        <f>('Raw Data'!F706+Bill!$P$2)*Bill!$AE704</f>
        <v>0</v>
      </c>
      <c r="Q704" s="38">
        <f>Bill!$Z704*('Raw Data'!$E706+$Q$2)</f>
        <v>0</v>
      </c>
      <c r="R704" s="38">
        <f>('Raw Data'!F706+Bill!$R$2)*Bill!$AF704</f>
        <v>0</v>
      </c>
      <c r="S704" s="48">
        <f>('Raw Data'!G706/100)*Bill!$AG704</f>
        <v>0</v>
      </c>
      <c r="T704" s="38">
        <f>SUM(Bill!$L704:$R704)</f>
        <v>0</v>
      </c>
      <c r="U704" s="53"/>
      <c r="V704" s="50"/>
      <c r="W704" s="38">
        <f>Bill!$U704-Bill!$T704</f>
        <v>0</v>
      </c>
      <c r="Y704" s="37">
        <f>'Raw Data'!D706</f>
        <v>46262</v>
      </c>
      <c r="Z704" s="47">
        <v>0.0</v>
      </c>
      <c r="AA704" s="47"/>
      <c r="AB704" s="47"/>
      <c r="AC704" s="47"/>
      <c r="AD704" s="47"/>
      <c r="AE704" s="47"/>
      <c r="AF704" s="47"/>
      <c r="AG704" s="47"/>
    </row>
    <row r="705" ht="15.75" customHeight="1">
      <c r="A705" s="35">
        <f>Bill!$Y705</f>
        <v>46263</v>
      </c>
      <c r="B705" s="43">
        <f>'Raw Data'!E707+Bill!$L$2</f>
        <v>20</v>
      </c>
      <c r="C705" s="43">
        <f>'Raw Data'!E707+Bill!$M$2</f>
        <v>25</v>
      </c>
      <c r="D705" s="43">
        <f>('Raw Data'!$F707*2)-10</f>
        <v>-10</v>
      </c>
      <c r="E705" s="43">
        <f>'Raw Data'!F707+Bill!$O$2</f>
        <v>20</v>
      </c>
      <c r="F705" s="43">
        <f>'Raw Data'!F707+Bill!$P$2</f>
        <v>25</v>
      </c>
      <c r="G705" s="43">
        <f>'Raw Data'!E707+Bill!$Q$2</f>
        <v>50</v>
      </c>
      <c r="H705" s="43">
        <f>('Raw Data'!F707+Bill!$R$2)</f>
        <v>20</v>
      </c>
      <c r="I705" s="36">
        <f>'Raw Data'!G707/100</f>
        <v>0</v>
      </c>
      <c r="K705" s="37">
        <f>Bill!$Y705</f>
        <v>46263</v>
      </c>
      <c r="L705" s="38">
        <f>Bill!$AA705*('Raw Data'!$E707+$L$2)</f>
        <v>0</v>
      </c>
      <c r="M705" s="38">
        <f>Bill!$AB705*('Raw Data'!$E707+$M$2)</f>
        <v>0</v>
      </c>
      <c r="N705" s="38">
        <f>(('Raw Data'!$F707 * 2)-10)*Bill!$AC705</f>
        <v>0</v>
      </c>
      <c r="O705" s="38">
        <f>('Raw Data'!F707+Bill!$O$2)*Bill!$AD705</f>
        <v>0</v>
      </c>
      <c r="P705" s="38">
        <f>('Raw Data'!F707+Bill!$P$2)*Bill!$AE705</f>
        <v>0</v>
      </c>
      <c r="Q705" s="38">
        <f>Bill!$Z705*('Raw Data'!$E707+$Q$2)</f>
        <v>0</v>
      </c>
      <c r="R705" s="38">
        <f>('Raw Data'!F707+Bill!$R$2)*Bill!$AF705</f>
        <v>0</v>
      </c>
      <c r="S705" s="48">
        <f>('Raw Data'!G707/100)*Bill!$AG705</f>
        <v>0</v>
      </c>
      <c r="T705" s="38">
        <f>SUM(Bill!$L705:$R705)</f>
        <v>0</v>
      </c>
      <c r="U705" s="53"/>
      <c r="V705" s="50"/>
      <c r="W705" s="38">
        <f>Bill!$U705-Bill!$T705</f>
        <v>0</v>
      </c>
      <c r="Y705" s="37">
        <f>'Raw Data'!D707</f>
        <v>46263</v>
      </c>
      <c r="Z705" s="47">
        <v>0.0</v>
      </c>
      <c r="AA705" s="47"/>
      <c r="AB705" s="47"/>
      <c r="AC705" s="47"/>
      <c r="AD705" s="47"/>
      <c r="AE705" s="47"/>
      <c r="AF705" s="47"/>
      <c r="AG705" s="47"/>
    </row>
    <row r="706" ht="15.75" customHeight="1">
      <c r="A706" s="35">
        <f>Bill!$Y706</f>
        <v>46264</v>
      </c>
      <c r="B706" s="43">
        <f>'Raw Data'!E708+Bill!$L$2</f>
        <v>20</v>
      </c>
      <c r="C706" s="43">
        <f>'Raw Data'!E708+Bill!$M$2</f>
        <v>25</v>
      </c>
      <c r="D706" s="43">
        <f>('Raw Data'!$F708*2)-10</f>
        <v>-10</v>
      </c>
      <c r="E706" s="43">
        <f>'Raw Data'!F708+Bill!$O$2</f>
        <v>20</v>
      </c>
      <c r="F706" s="43">
        <f>'Raw Data'!F708+Bill!$P$2</f>
        <v>25</v>
      </c>
      <c r="G706" s="43">
        <f>'Raw Data'!E708+Bill!$Q$2</f>
        <v>50</v>
      </c>
      <c r="H706" s="43">
        <f>('Raw Data'!F708+Bill!$R$2)</f>
        <v>20</v>
      </c>
      <c r="I706" s="36">
        <f>'Raw Data'!G708/100</f>
        <v>0</v>
      </c>
      <c r="K706" s="37">
        <f>Bill!$Y706</f>
        <v>46264</v>
      </c>
      <c r="L706" s="38">
        <f>Bill!$AA706*('Raw Data'!$E708+$L$2)</f>
        <v>0</v>
      </c>
      <c r="M706" s="38">
        <f>Bill!$AB706*('Raw Data'!$E708+$M$2)</f>
        <v>0</v>
      </c>
      <c r="N706" s="38">
        <f>(('Raw Data'!$F708 * 2)-10)*Bill!$AC706</f>
        <v>0</v>
      </c>
      <c r="O706" s="38">
        <f>('Raw Data'!F708+Bill!$O$2)*Bill!$AD706</f>
        <v>0</v>
      </c>
      <c r="P706" s="38">
        <f>('Raw Data'!F708+Bill!$P$2)*Bill!$AE706</f>
        <v>0</v>
      </c>
      <c r="Q706" s="38">
        <f>Bill!$Z706*('Raw Data'!$E708+$Q$2)</f>
        <v>0</v>
      </c>
      <c r="R706" s="38">
        <f>('Raw Data'!F708+Bill!$R$2)*Bill!$AF706</f>
        <v>0</v>
      </c>
      <c r="S706" s="48">
        <f>('Raw Data'!G708/100)*Bill!$AG706</f>
        <v>0</v>
      </c>
      <c r="T706" s="38">
        <f>SUM(Bill!$L706:$R706)</f>
        <v>0</v>
      </c>
      <c r="U706" s="53"/>
      <c r="V706" s="50"/>
      <c r="W706" s="38">
        <f>Bill!$U706-Bill!$T706</f>
        <v>0</v>
      </c>
      <c r="Y706" s="37">
        <f>'Raw Data'!D708</f>
        <v>46264</v>
      </c>
      <c r="Z706" s="47">
        <v>0.0</v>
      </c>
      <c r="AA706" s="47"/>
      <c r="AB706" s="47"/>
      <c r="AC706" s="47"/>
      <c r="AD706" s="47"/>
      <c r="AE706" s="47"/>
      <c r="AF706" s="47"/>
      <c r="AG706" s="47"/>
    </row>
    <row r="707" ht="15.75" customHeight="1">
      <c r="A707" s="35">
        <f>Bill!$Y707</f>
        <v>46265</v>
      </c>
      <c r="B707" s="43">
        <f>'Raw Data'!E709+Bill!$L$2</f>
        <v>20</v>
      </c>
      <c r="C707" s="43">
        <f>'Raw Data'!E709+Bill!$M$2</f>
        <v>25</v>
      </c>
      <c r="D707" s="43">
        <f>('Raw Data'!$F709*2)-10</f>
        <v>-10</v>
      </c>
      <c r="E707" s="43">
        <f>'Raw Data'!F709+Bill!$O$2</f>
        <v>20</v>
      </c>
      <c r="F707" s="43">
        <f>'Raw Data'!F709+Bill!$P$2</f>
        <v>25</v>
      </c>
      <c r="G707" s="43">
        <f>'Raw Data'!E709+Bill!$Q$2</f>
        <v>50</v>
      </c>
      <c r="H707" s="43">
        <f>('Raw Data'!F709+Bill!$R$2)</f>
        <v>20</v>
      </c>
      <c r="I707" s="36">
        <f>'Raw Data'!G709/100</f>
        <v>0</v>
      </c>
      <c r="K707" s="37">
        <f>Bill!$Y707</f>
        <v>46265</v>
      </c>
      <c r="L707" s="38">
        <f>Bill!$AA707*('Raw Data'!$E709+$L$2)</f>
        <v>0</v>
      </c>
      <c r="M707" s="38">
        <f>Bill!$AB707*('Raw Data'!$E709+$M$2)</f>
        <v>0</v>
      </c>
      <c r="N707" s="38">
        <f>(('Raw Data'!$F709 * 2)-10)*Bill!$AC707</f>
        <v>0</v>
      </c>
      <c r="O707" s="38">
        <f>('Raw Data'!F709+Bill!$O$2)*Bill!$AD707</f>
        <v>0</v>
      </c>
      <c r="P707" s="38">
        <f>('Raw Data'!F709+Bill!$P$2)*Bill!$AE707</f>
        <v>0</v>
      </c>
      <c r="Q707" s="38">
        <f>Bill!$Z707*('Raw Data'!$E709+$Q$2)</f>
        <v>0</v>
      </c>
      <c r="R707" s="38">
        <f>('Raw Data'!F709+Bill!$R$2)*Bill!$AF707</f>
        <v>0</v>
      </c>
      <c r="S707" s="48">
        <f>('Raw Data'!G709/100)*Bill!$AG707</f>
        <v>0</v>
      </c>
      <c r="T707" s="38">
        <f>SUM(Bill!$L707:$R707)</f>
        <v>0</v>
      </c>
      <c r="U707" s="53"/>
      <c r="V707" s="50"/>
      <c r="W707" s="38">
        <f>Bill!$U707-Bill!$T707</f>
        <v>0</v>
      </c>
      <c r="Y707" s="37">
        <f>'Raw Data'!D709</f>
        <v>46265</v>
      </c>
      <c r="Z707" s="47">
        <v>0.0</v>
      </c>
      <c r="AA707" s="47"/>
      <c r="AB707" s="47"/>
      <c r="AC707" s="47"/>
      <c r="AD707" s="47"/>
      <c r="AE707" s="47"/>
      <c r="AF707" s="47"/>
      <c r="AG707" s="47"/>
    </row>
    <row r="708" ht="15.75" customHeight="1">
      <c r="A708" s="35">
        <f>Bill!$Y708</f>
        <v>46266</v>
      </c>
      <c r="B708" s="43">
        <f>'Raw Data'!E710+Bill!$L$2</f>
        <v>20</v>
      </c>
      <c r="C708" s="43">
        <f>'Raw Data'!E710+Bill!$M$2</f>
        <v>25</v>
      </c>
      <c r="D708" s="43">
        <f>('Raw Data'!$F710*2)-10</f>
        <v>-10</v>
      </c>
      <c r="E708" s="43">
        <f>'Raw Data'!F710+Bill!$O$2</f>
        <v>20</v>
      </c>
      <c r="F708" s="43">
        <f>'Raw Data'!F710+Bill!$P$2</f>
        <v>25</v>
      </c>
      <c r="G708" s="43">
        <f>'Raw Data'!E710+Bill!$Q$2</f>
        <v>50</v>
      </c>
      <c r="H708" s="43">
        <f>('Raw Data'!F710+Bill!$R$2)</f>
        <v>20</v>
      </c>
      <c r="I708" s="36">
        <f>'Raw Data'!G710/100</f>
        <v>0</v>
      </c>
      <c r="K708" s="37">
        <f>Bill!$Y708</f>
        <v>46266</v>
      </c>
      <c r="L708" s="38">
        <f>Bill!$AA708*('Raw Data'!$E710+$L$2)</f>
        <v>0</v>
      </c>
      <c r="M708" s="38">
        <f>Bill!$AB708*('Raw Data'!$E710+$M$2)</f>
        <v>0</v>
      </c>
      <c r="N708" s="38">
        <f>(('Raw Data'!$F710 * 2)-10)*Bill!$AC708</f>
        <v>0</v>
      </c>
      <c r="O708" s="38">
        <f>('Raw Data'!F710+Bill!$O$2)*Bill!$AD708</f>
        <v>0</v>
      </c>
      <c r="P708" s="38">
        <f>('Raw Data'!F710+Bill!$P$2)*Bill!$AE708</f>
        <v>0</v>
      </c>
      <c r="Q708" s="38">
        <f>Bill!$Z708*('Raw Data'!$E710+$Q$2)</f>
        <v>0</v>
      </c>
      <c r="R708" s="38">
        <f>('Raw Data'!F710+Bill!$R$2)*Bill!$AF708</f>
        <v>0</v>
      </c>
      <c r="S708" s="48">
        <f>('Raw Data'!G710/100)*Bill!$AG708</f>
        <v>0</v>
      </c>
      <c r="T708" s="38">
        <f>SUM(Bill!$L708:$R708)</f>
        <v>0</v>
      </c>
      <c r="U708" s="53"/>
      <c r="V708" s="50"/>
      <c r="W708" s="38">
        <f>Bill!$U708-Bill!$T708</f>
        <v>0</v>
      </c>
      <c r="Y708" s="37">
        <f>'Raw Data'!D710</f>
        <v>46266</v>
      </c>
      <c r="Z708" s="47">
        <v>0.0</v>
      </c>
      <c r="AA708" s="47"/>
      <c r="AB708" s="47"/>
      <c r="AC708" s="47"/>
      <c r="AD708" s="47"/>
      <c r="AE708" s="47"/>
      <c r="AF708" s="47"/>
      <c r="AG708" s="47"/>
    </row>
    <row r="709" ht="15.75" customHeight="1">
      <c r="A709" s="35">
        <f>Bill!$Y709</f>
        <v>46267</v>
      </c>
      <c r="B709" s="43">
        <f>'Raw Data'!E711+Bill!$L$2</f>
        <v>20</v>
      </c>
      <c r="C709" s="43">
        <f>'Raw Data'!E711+Bill!$M$2</f>
        <v>25</v>
      </c>
      <c r="D709" s="43">
        <f>('Raw Data'!$F711*2)-10</f>
        <v>-10</v>
      </c>
      <c r="E709" s="43">
        <f>'Raw Data'!F711+Bill!$O$2</f>
        <v>20</v>
      </c>
      <c r="F709" s="43">
        <f>'Raw Data'!F711+Bill!$P$2</f>
        <v>25</v>
      </c>
      <c r="G709" s="43">
        <f>'Raw Data'!E711+Bill!$Q$2</f>
        <v>50</v>
      </c>
      <c r="H709" s="43">
        <f>('Raw Data'!F711+Bill!$R$2)</f>
        <v>20</v>
      </c>
      <c r="I709" s="36">
        <f>'Raw Data'!G711/100</f>
        <v>0</v>
      </c>
      <c r="K709" s="37">
        <f>Bill!$Y709</f>
        <v>46267</v>
      </c>
      <c r="L709" s="38">
        <f>Bill!$AA709*('Raw Data'!$E711+$L$2)</f>
        <v>0</v>
      </c>
      <c r="M709" s="38">
        <f>Bill!$AB709*('Raw Data'!$E711+$M$2)</f>
        <v>0</v>
      </c>
      <c r="N709" s="38">
        <f>(('Raw Data'!$F711 * 2)-10)*Bill!$AC709</f>
        <v>0</v>
      </c>
      <c r="O709" s="38">
        <f>('Raw Data'!F711+Bill!$O$2)*Bill!$AD709</f>
        <v>0</v>
      </c>
      <c r="P709" s="38">
        <f>('Raw Data'!F711+Bill!$P$2)*Bill!$AE709</f>
        <v>0</v>
      </c>
      <c r="Q709" s="38">
        <f>Bill!$Z709*('Raw Data'!$E711+$Q$2)</f>
        <v>0</v>
      </c>
      <c r="R709" s="38">
        <f>('Raw Data'!F711+Bill!$R$2)*Bill!$AF709</f>
        <v>0</v>
      </c>
      <c r="S709" s="48">
        <f>('Raw Data'!G711/100)*Bill!$AG709</f>
        <v>0</v>
      </c>
      <c r="T709" s="38">
        <f>SUM(Bill!$L709:$R709)</f>
        <v>0</v>
      </c>
      <c r="U709" s="53"/>
      <c r="V709" s="50"/>
      <c r="W709" s="38">
        <f>Bill!$U709-Bill!$T709</f>
        <v>0</v>
      </c>
      <c r="Y709" s="37">
        <f>'Raw Data'!D711</f>
        <v>46267</v>
      </c>
      <c r="Z709" s="47">
        <v>0.0</v>
      </c>
      <c r="AA709" s="47"/>
      <c r="AB709" s="47"/>
      <c r="AC709" s="47"/>
      <c r="AD709" s="47"/>
      <c r="AE709" s="47"/>
      <c r="AF709" s="47"/>
      <c r="AG709" s="47"/>
    </row>
    <row r="710" ht="15.75" customHeight="1">
      <c r="A710" s="35">
        <f>Bill!$Y710</f>
        <v>46268</v>
      </c>
      <c r="B710" s="43">
        <f>'Raw Data'!E712+Bill!$L$2</f>
        <v>20</v>
      </c>
      <c r="C710" s="43">
        <f>'Raw Data'!E712+Bill!$M$2</f>
        <v>25</v>
      </c>
      <c r="D710" s="43">
        <f>('Raw Data'!$F712*2)-10</f>
        <v>-10</v>
      </c>
      <c r="E710" s="43">
        <f>'Raw Data'!F712+Bill!$O$2</f>
        <v>20</v>
      </c>
      <c r="F710" s="43">
        <f>'Raw Data'!F712+Bill!$P$2</f>
        <v>25</v>
      </c>
      <c r="G710" s="43">
        <f>'Raw Data'!E712+Bill!$Q$2</f>
        <v>50</v>
      </c>
      <c r="H710" s="43">
        <f>('Raw Data'!F712+Bill!$R$2)</f>
        <v>20</v>
      </c>
      <c r="I710" s="36">
        <f>'Raw Data'!G712/100</f>
        <v>0</v>
      </c>
      <c r="K710" s="37">
        <f>Bill!$Y710</f>
        <v>46268</v>
      </c>
      <c r="L710" s="38">
        <f>Bill!$AA710*('Raw Data'!$E712+$L$2)</f>
        <v>0</v>
      </c>
      <c r="M710" s="38">
        <f>Bill!$AB710*('Raw Data'!$E712+$M$2)</f>
        <v>0</v>
      </c>
      <c r="N710" s="38">
        <f>(('Raw Data'!$F712 * 2)-10)*Bill!$AC710</f>
        <v>0</v>
      </c>
      <c r="O710" s="38">
        <f>('Raw Data'!F712+Bill!$O$2)*Bill!$AD710</f>
        <v>0</v>
      </c>
      <c r="P710" s="38">
        <f>('Raw Data'!F712+Bill!$P$2)*Bill!$AE710</f>
        <v>0</v>
      </c>
      <c r="Q710" s="38">
        <f>Bill!$Z710*('Raw Data'!$E712+$Q$2)</f>
        <v>0</v>
      </c>
      <c r="R710" s="38">
        <f>('Raw Data'!F712+Bill!$R$2)*Bill!$AF710</f>
        <v>0</v>
      </c>
      <c r="S710" s="48">
        <f>('Raw Data'!G712/100)*Bill!$AG710</f>
        <v>0</v>
      </c>
      <c r="T710" s="38">
        <f>SUM(Bill!$L710:$R710)</f>
        <v>0</v>
      </c>
      <c r="U710" s="53"/>
      <c r="V710" s="50"/>
      <c r="W710" s="38">
        <f>Bill!$U710-Bill!$T710</f>
        <v>0</v>
      </c>
      <c r="Y710" s="37">
        <f>'Raw Data'!D712</f>
        <v>46268</v>
      </c>
      <c r="Z710" s="47">
        <v>0.0</v>
      </c>
      <c r="AA710" s="47"/>
      <c r="AB710" s="47"/>
      <c r="AC710" s="47"/>
      <c r="AD710" s="47"/>
      <c r="AE710" s="47"/>
      <c r="AF710" s="47"/>
      <c r="AG710" s="47"/>
    </row>
    <row r="711" ht="15.75" customHeight="1">
      <c r="A711" s="35">
        <f>Bill!$Y711</f>
        <v>46269</v>
      </c>
      <c r="B711" s="43">
        <f>'Raw Data'!E713+Bill!$L$2</f>
        <v>20</v>
      </c>
      <c r="C711" s="43">
        <f>'Raw Data'!E713+Bill!$M$2</f>
        <v>25</v>
      </c>
      <c r="D711" s="43">
        <f>('Raw Data'!$F713*2)-10</f>
        <v>-10</v>
      </c>
      <c r="E711" s="43">
        <f>'Raw Data'!F713+Bill!$O$2</f>
        <v>20</v>
      </c>
      <c r="F711" s="43">
        <f>'Raw Data'!F713+Bill!$P$2</f>
        <v>25</v>
      </c>
      <c r="G711" s="43">
        <f>'Raw Data'!E713+Bill!$Q$2</f>
        <v>50</v>
      </c>
      <c r="H711" s="43">
        <f>('Raw Data'!F713+Bill!$R$2)</f>
        <v>20</v>
      </c>
      <c r="I711" s="36">
        <f>'Raw Data'!G713/100</f>
        <v>0</v>
      </c>
      <c r="K711" s="37">
        <f>Bill!$Y711</f>
        <v>46269</v>
      </c>
      <c r="L711" s="38">
        <f>Bill!$AA711*('Raw Data'!$E713+$L$2)</f>
        <v>0</v>
      </c>
      <c r="M711" s="38">
        <f>Bill!$AB711*('Raw Data'!$E713+$M$2)</f>
        <v>0</v>
      </c>
      <c r="N711" s="38">
        <f>(('Raw Data'!$F713 * 2)-10)*Bill!$AC711</f>
        <v>0</v>
      </c>
      <c r="O711" s="38">
        <f>('Raw Data'!F713+Bill!$O$2)*Bill!$AD711</f>
        <v>0</v>
      </c>
      <c r="P711" s="38">
        <f>('Raw Data'!F713+Bill!$P$2)*Bill!$AE711</f>
        <v>0</v>
      </c>
      <c r="Q711" s="38">
        <f>Bill!$Z711*('Raw Data'!$E713+$Q$2)</f>
        <v>0</v>
      </c>
      <c r="R711" s="38">
        <f>('Raw Data'!F713+Bill!$R$2)*Bill!$AF711</f>
        <v>0</v>
      </c>
      <c r="S711" s="48">
        <f>('Raw Data'!G713/100)*Bill!$AG711</f>
        <v>0</v>
      </c>
      <c r="T711" s="38">
        <f>SUM(Bill!$L711:$R711)</f>
        <v>0</v>
      </c>
      <c r="U711" s="53"/>
      <c r="V711" s="50"/>
      <c r="W711" s="38">
        <f>Bill!$U711-Bill!$T711</f>
        <v>0</v>
      </c>
      <c r="Y711" s="37">
        <f>'Raw Data'!D713</f>
        <v>46269</v>
      </c>
      <c r="Z711" s="47">
        <v>0.0</v>
      </c>
      <c r="AA711" s="47"/>
      <c r="AB711" s="47"/>
      <c r="AC711" s="47"/>
      <c r="AD711" s="47"/>
      <c r="AE711" s="47"/>
      <c r="AF711" s="47"/>
      <c r="AG711" s="47"/>
    </row>
    <row r="712" ht="15.75" customHeight="1">
      <c r="A712" s="35">
        <f>Bill!$Y712</f>
        <v>46270</v>
      </c>
      <c r="B712" s="43">
        <f>'Raw Data'!E714+Bill!$L$2</f>
        <v>20</v>
      </c>
      <c r="C712" s="43">
        <f>'Raw Data'!E714+Bill!$M$2</f>
        <v>25</v>
      </c>
      <c r="D712" s="43">
        <f>('Raw Data'!$F714*2)-10</f>
        <v>-10</v>
      </c>
      <c r="E712" s="43">
        <f>'Raw Data'!F714+Bill!$O$2</f>
        <v>20</v>
      </c>
      <c r="F712" s="43">
        <f>'Raw Data'!F714+Bill!$P$2</f>
        <v>25</v>
      </c>
      <c r="G712" s="43">
        <f>'Raw Data'!E714+Bill!$Q$2</f>
        <v>50</v>
      </c>
      <c r="H712" s="43">
        <f>('Raw Data'!F714+Bill!$R$2)</f>
        <v>20</v>
      </c>
      <c r="I712" s="36">
        <f>'Raw Data'!G714/100</f>
        <v>0</v>
      </c>
      <c r="K712" s="37">
        <f>Bill!$Y712</f>
        <v>46270</v>
      </c>
      <c r="L712" s="38">
        <f>Bill!$AA712*('Raw Data'!$E714+$L$2)</f>
        <v>0</v>
      </c>
      <c r="M712" s="38">
        <f>Bill!$AB712*('Raw Data'!$E714+$M$2)</f>
        <v>0</v>
      </c>
      <c r="N712" s="38">
        <f>(('Raw Data'!$F714 * 2)-10)*Bill!$AC712</f>
        <v>0</v>
      </c>
      <c r="O712" s="38">
        <f>('Raw Data'!F714+Bill!$O$2)*Bill!$AD712</f>
        <v>0</v>
      </c>
      <c r="P712" s="38">
        <f>('Raw Data'!F714+Bill!$P$2)*Bill!$AE712</f>
        <v>0</v>
      </c>
      <c r="Q712" s="38">
        <f>Bill!$Z712*('Raw Data'!$E714+$Q$2)</f>
        <v>0</v>
      </c>
      <c r="R712" s="38">
        <f>('Raw Data'!F714+Bill!$R$2)*Bill!$AF712</f>
        <v>0</v>
      </c>
      <c r="S712" s="48">
        <f>('Raw Data'!G714/100)*Bill!$AG712</f>
        <v>0</v>
      </c>
      <c r="T712" s="38">
        <f>SUM(Bill!$L712:$R712)</f>
        <v>0</v>
      </c>
      <c r="U712" s="53"/>
      <c r="V712" s="50"/>
      <c r="W712" s="38">
        <f>Bill!$U712-Bill!$T712</f>
        <v>0</v>
      </c>
      <c r="Y712" s="37">
        <f>'Raw Data'!D714</f>
        <v>46270</v>
      </c>
      <c r="Z712" s="47">
        <v>0.0</v>
      </c>
      <c r="AA712" s="47"/>
      <c r="AB712" s="47"/>
      <c r="AC712" s="47"/>
      <c r="AD712" s="47"/>
      <c r="AE712" s="47"/>
      <c r="AF712" s="47"/>
      <c r="AG712" s="47"/>
    </row>
    <row r="713" ht="15.75" customHeight="1">
      <c r="A713" s="35">
        <f>Bill!$Y713</f>
        <v>46271</v>
      </c>
      <c r="B713" s="43">
        <f>'Raw Data'!E715+Bill!$L$2</f>
        <v>20</v>
      </c>
      <c r="C713" s="43">
        <f>'Raw Data'!E715+Bill!$M$2</f>
        <v>25</v>
      </c>
      <c r="D713" s="43">
        <f>('Raw Data'!$F715*2)-10</f>
        <v>-10</v>
      </c>
      <c r="E713" s="43">
        <f>'Raw Data'!F715+Bill!$O$2</f>
        <v>20</v>
      </c>
      <c r="F713" s="43">
        <f>'Raw Data'!F715+Bill!$P$2</f>
        <v>25</v>
      </c>
      <c r="G713" s="43">
        <f>'Raw Data'!E715+Bill!$Q$2</f>
        <v>50</v>
      </c>
      <c r="H713" s="43">
        <f>('Raw Data'!F715+Bill!$R$2)</f>
        <v>20</v>
      </c>
      <c r="I713" s="36">
        <f>'Raw Data'!G715/100</f>
        <v>0</v>
      </c>
      <c r="K713" s="37">
        <f>Bill!$Y713</f>
        <v>46271</v>
      </c>
      <c r="L713" s="38">
        <f>Bill!$AA713*('Raw Data'!$E715+$L$2)</f>
        <v>0</v>
      </c>
      <c r="M713" s="38">
        <f>Bill!$AB713*('Raw Data'!$E715+$M$2)</f>
        <v>0</v>
      </c>
      <c r="N713" s="38">
        <f>(('Raw Data'!$F715 * 2)-10)*Bill!$AC713</f>
        <v>0</v>
      </c>
      <c r="O713" s="38">
        <f>('Raw Data'!F715+Bill!$O$2)*Bill!$AD713</f>
        <v>0</v>
      </c>
      <c r="P713" s="38">
        <f>('Raw Data'!F715+Bill!$P$2)*Bill!$AE713</f>
        <v>0</v>
      </c>
      <c r="Q713" s="38">
        <f>Bill!$Z713*('Raw Data'!$E715+$Q$2)</f>
        <v>0</v>
      </c>
      <c r="R713" s="38">
        <f>('Raw Data'!F715+Bill!$R$2)*Bill!$AF713</f>
        <v>0</v>
      </c>
      <c r="S713" s="48">
        <f>('Raw Data'!G715/100)*Bill!$AG713</f>
        <v>0</v>
      </c>
      <c r="T713" s="38">
        <f>SUM(Bill!$L713:$R713)</f>
        <v>0</v>
      </c>
      <c r="U713" s="53"/>
      <c r="V713" s="50"/>
      <c r="W713" s="38">
        <f>Bill!$U713-Bill!$T713</f>
        <v>0</v>
      </c>
      <c r="Y713" s="37">
        <f>'Raw Data'!D715</f>
        <v>46271</v>
      </c>
      <c r="Z713" s="47">
        <v>0.0</v>
      </c>
      <c r="AA713" s="47"/>
      <c r="AB713" s="47"/>
      <c r="AC713" s="47"/>
      <c r="AD713" s="47"/>
      <c r="AE713" s="47"/>
      <c r="AF713" s="47"/>
      <c r="AG713" s="47"/>
    </row>
    <row r="714" ht="15.75" customHeight="1">
      <c r="A714" s="35">
        <f>Bill!$Y714</f>
        <v>46272</v>
      </c>
      <c r="B714" s="43">
        <f>'Raw Data'!E716+Bill!$L$2</f>
        <v>20</v>
      </c>
      <c r="C714" s="43">
        <f>'Raw Data'!E716+Bill!$M$2</f>
        <v>25</v>
      </c>
      <c r="D714" s="43">
        <f>('Raw Data'!$F716*2)-10</f>
        <v>-10</v>
      </c>
      <c r="E714" s="43">
        <f>'Raw Data'!F716+Bill!$O$2</f>
        <v>20</v>
      </c>
      <c r="F714" s="43">
        <f>'Raw Data'!F716+Bill!$P$2</f>
        <v>25</v>
      </c>
      <c r="G714" s="43">
        <f>'Raw Data'!E716+Bill!$Q$2</f>
        <v>50</v>
      </c>
      <c r="H714" s="43">
        <f>('Raw Data'!F716+Bill!$R$2)</f>
        <v>20</v>
      </c>
      <c r="I714" s="36">
        <f>'Raw Data'!G716/100</f>
        <v>0</v>
      </c>
      <c r="K714" s="37">
        <f>Bill!$Y714</f>
        <v>46272</v>
      </c>
      <c r="L714" s="38">
        <f>Bill!$AA714*('Raw Data'!$E716+$L$2)</f>
        <v>0</v>
      </c>
      <c r="M714" s="38">
        <f>Bill!$AB714*('Raw Data'!$E716+$M$2)</f>
        <v>0</v>
      </c>
      <c r="N714" s="38">
        <f>(('Raw Data'!$F716 * 2)-10)*Bill!$AC714</f>
        <v>0</v>
      </c>
      <c r="O714" s="38">
        <f>('Raw Data'!F716+Bill!$O$2)*Bill!$AD714</f>
        <v>0</v>
      </c>
      <c r="P714" s="38">
        <f>('Raw Data'!F716+Bill!$P$2)*Bill!$AE714</f>
        <v>0</v>
      </c>
      <c r="Q714" s="38">
        <f>Bill!$Z714*('Raw Data'!$E716+$Q$2)</f>
        <v>0</v>
      </c>
      <c r="R714" s="38">
        <f>('Raw Data'!F716+Bill!$R$2)*Bill!$AF714</f>
        <v>0</v>
      </c>
      <c r="S714" s="48">
        <f>('Raw Data'!G716/100)*Bill!$AG714</f>
        <v>0</v>
      </c>
      <c r="T714" s="38">
        <f>SUM(Bill!$L714:$R714)</f>
        <v>0</v>
      </c>
      <c r="U714" s="53"/>
      <c r="V714" s="50"/>
      <c r="W714" s="38">
        <f>Bill!$U714-Bill!$T714</f>
        <v>0</v>
      </c>
      <c r="Y714" s="37">
        <f>'Raw Data'!D716</f>
        <v>46272</v>
      </c>
      <c r="Z714" s="47">
        <v>0.0</v>
      </c>
      <c r="AA714" s="47"/>
      <c r="AB714" s="47"/>
      <c r="AC714" s="47"/>
      <c r="AD714" s="47"/>
      <c r="AE714" s="47"/>
      <c r="AF714" s="47"/>
      <c r="AG714" s="47"/>
    </row>
    <row r="715" ht="15.75" customHeight="1">
      <c r="A715" s="35">
        <f>Bill!$Y715</f>
        <v>46273</v>
      </c>
      <c r="B715" s="43">
        <f>'Raw Data'!E717+Bill!$L$2</f>
        <v>20</v>
      </c>
      <c r="C715" s="43">
        <f>'Raw Data'!E717+Bill!$M$2</f>
        <v>25</v>
      </c>
      <c r="D715" s="43">
        <f>('Raw Data'!$F717*2)-10</f>
        <v>-10</v>
      </c>
      <c r="E715" s="43">
        <f>'Raw Data'!F717+Bill!$O$2</f>
        <v>20</v>
      </c>
      <c r="F715" s="43">
        <f>'Raw Data'!F717+Bill!$P$2</f>
        <v>25</v>
      </c>
      <c r="G715" s="43">
        <f>'Raw Data'!E717+Bill!$Q$2</f>
        <v>50</v>
      </c>
      <c r="H715" s="43">
        <f>('Raw Data'!F717+Bill!$R$2)</f>
        <v>20</v>
      </c>
      <c r="I715" s="36">
        <f>'Raw Data'!G717/100</f>
        <v>0</v>
      </c>
      <c r="K715" s="37">
        <f>Bill!$Y715</f>
        <v>46273</v>
      </c>
      <c r="L715" s="38">
        <f>Bill!$AA715*('Raw Data'!$E717+$L$2)</f>
        <v>0</v>
      </c>
      <c r="M715" s="38">
        <f>Bill!$AB715*('Raw Data'!$E717+$M$2)</f>
        <v>0</v>
      </c>
      <c r="N715" s="38">
        <f>(('Raw Data'!$F717 * 2)-10)*Bill!$AC715</f>
        <v>0</v>
      </c>
      <c r="O715" s="38">
        <f>('Raw Data'!F717+Bill!$O$2)*Bill!$AD715</f>
        <v>0</v>
      </c>
      <c r="P715" s="38">
        <f>('Raw Data'!F717+Bill!$P$2)*Bill!$AE715</f>
        <v>0</v>
      </c>
      <c r="Q715" s="38">
        <f>Bill!$Z715*('Raw Data'!$E717+$Q$2)</f>
        <v>0</v>
      </c>
      <c r="R715" s="38">
        <f>('Raw Data'!F717+Bill!$R$2)*Bill!$AF715</f>
        <v>0</v>
      </c>
      <c r="S715" s="48">
        <f>('Raw Data'!G717/100)*Bill!$AG715</f>
        <v>0</v>
      </c>
      <c r="T715" s="38">
        <f>SUM(Bill!$L715:$R715)</f>
        <v>0</v>
      </c>
      <c r="U715" s="53"/>
      <c r="V715" s="50"/>
      <c r="W715" s="38">
        <f>Bill!$U715-Bill!$T715</f>
        <v>0</v>
      </c>
      <c r="Y715" s="37">
        <f>'Raw Data'!D717</f>
        <v>46273</v>
      </c>
      <c r="Z715" s="47">
        <v>0.0</v>
      </c>
      <c r="AA715" s="47"/>
      <c r="AB715" s="47"/>
      <c r="AC715" s="47"/>
      <c r="AD715" s="47"/>
      <c r="AE715" s="47"/>
      <c r="AF715" s="47"/>
      <c r="AG715" s="47"/>
    </row>
    <row r="716" ht="15.75" customHeight="1">
      <c r="A716" s="35">
        <f>Bill!$Y716</f>
        <v>46274</v>
      </c>
      <c r="B716" s="43">
        <f>'Raw Data'!E718+Bill!$L$2</f>
        <v>20</v>
      </c>
      <c r="C716" s="43">
        <f>'Raw Data'!E718+Bill!$M$2</f>
        <v>25</v>
      </c>
      <c r="D716" s="43">
        <f>('Raw Data'!$F718*2)-10</f>
        <v>-10</v>
      </c>
      <c r="E716" s="43">
        <f>'Raw Data'!F718+Bill!$O$2</f>
        <v>20</v>
      </c>
      <c r="F716" s="43">
        <f>'Raw Data'!F718+Bill!$P$2</f>
        <v>25</v>
      </c>
      <c r="G716" s="43">
        <f>'Raw Data'!E718+Bill!$Q$2</f>
        <v>50</v>
      </c>
      <c r="H716" s="43">
        <f>('Raw Data'!F718+Bill!$R$2)</f>
        <v>20</v>
      </c>
      <c r="I716" s="36">
        <f>'Raw Data'!G718/100</f>
        <v>0</v>
      </c>
      <c r="K716" s="37">
        <f>Bill!$Y716</f>
        <v>46274</v>
      </c>
      <c r="L716" s="38">
        <f>Bill!$AA716*('Raw Data'!$E718+$L$2)</f>
        <v>0</v>
      </c>
      <c r="M716" s="38">
        <f>Bill!$AB716*('Raw Data'!$E718+$M$2)</f>
        <v>0</v>
      </c>
      <c r="N716" s="38">
        <f>(('Raw Data'!$F718 * 2)-10)*Bill!$AC716</f>
        <v>0</v>
      </c>
      <c r="O716" s="38">
        <f>('Raw Data'!F718+Bill!$O$2)*Bill!$AD716</f>
        <v>0</v>
      </c>
      <c r="P716" s="38">
        <f>('Raw Data'!F718+Bill!$P$2)*Bill!$AE716</f>
        <v>0</v>
      </c>
      <c r="Q716" s="38">
        <f>Bill!$Z716*('Raw Data'!$E718+$Q$2)</f>
        <v>0</v>
      </c>
      <c r="R716" s="38">
        <f>('Raw Data'!F718+Bill!$R$2)*Bill!$AF716</f>
        <v>0</v>
      </c>
      <c r="S716" s="48">
        <f>('Raw Data'!G718/100)*Bill!$AG716</f>
        <v>0</v>
      </c>
      <c r="T716" s="38">
        <f>SUM(Bill!$L716:$R716)</f>
        <v>0</v>
      </c>
      <c r="U716" s="53"/>
      <c r="V716" s="50"/>
      <c r="W716" s="38">
        <f>Bill!$U716-Bill!$T716</f>
        <v>0</v>
      </c>
      <c r="Y716" s="37">
        <f>'Raw Data'!D718</f>
        <v>46274</v>
      </c>
      <c r="Z716" s="47">
        <v>0.0</v>
      </c>
      <c r="AA716" s="47"/>
      <c r="AB716" s="47"/>
      <c r="AC716" s="47"/>
      <c r="AD716" s="47"/>
      <c r="AE716" s="47"/>
      <c r="AF716" s="47"/>
      <c r="AG716" s="47"/>
    </row>
    <row r="717" ht="15.75" customHeight="1">
      <c r="A717" s="35">
        <f>Bill!$Y717</f>
        <v>46275</v>
      </c>
      <c r="B717" s="43">
        <f>'Raw Data'!E719+Bill!$L$2</f>
        <v>20</v>
      </c>
      <c r="C717" s="43">
        <f>'Raw Data'!E719+Bill!$M$2</f>
        <v>25</v>
      </c>
      <c r="D717" s="43">
        <f>('Raw Data'!$F719*2)-10</f>
        <v>-10</v>
      </c>
      <c r="E717" s="43">
        <f>'Raw Data'!F719+Bill!$O$2</f>
        <v>20</v>
      </c>
      <c r="F717" s="43">
        <f>'Raw Data'!F719+Bill!$P$2</f>
        <v>25</v>
      </c>
      <c r="G717" s="43">
        <f>'Raw Data'!E719+Bill!$Q$2</f>
        <v>50</v>
      </c>
      <c r="H717" s="43">
        <f>('Raw Data'!F719+Bill!$R$2)</f>
        <v>20</v>
      </c>
      <c r="I717" s="36">
        <f>'Raw Data'!G719/100</f>
        <v>0</v>
      </c>
      <c r="K717" s="37">
        <f>Bill!$Y717</f>
        <v>46275</v>
      </c>
      <c r="L717" s="38">
        <f>Bill!$AA717*('Raw Data'!$E719+$L$2)</f>
        <v>0</v>
      </c>
      <c r="M717" s="38">
        <f>Bill!$AB717*('Raw Data'!$E719+$M$2)</f>
        <v>0</v>
      </c>
      <c r="N717" s="38">
        <f>(('Raw Data'!$F719 * 2)-10)*Bill!$AC717</f>
        <v>0</v>
      </c>
      <c r="O717" s="38">
        <f>('Raw Data'!F719+Bill!$O$2)*Bill!$AD717</f>
        <v>0</v>
      </c>
      <c r="P717" s="38">
        <f>('Raw Data'!F719+Bill!$P$2)*Bill!$AE717</f>
        <v>0</v>
      </c>
      <c r="Q717" s="38">
        <f>Bill!$Z717*('Raw Data'!$E719+$Q$2)</f>
        <v>0</v>
      </c>
      <c r="R717" s="38">
        <f>('Raw Data'!F719+Bill!$R$2)*Bill!$AF717</f>
        <v>0</v>
      </c>
      <c r="S717" s="48">
        <f>('Raw Data'!G719/100)*Bill!$AG717</f>
        <v>0</v>
      </c>
      <c r="T717" s="38">
        <f>SUM(Bill!$L717:$R717)</f>
        <v>0</v>
      </c>
      <c r="U717" s="53"/>
      <c r="V717" s="50"/>
      <c r="W717" s="38">
        <f>Bill!$U717-Bill!$T717</f>
        <v>0</v>
      </c>
      <c r="Y717" s="37">
        <f>'Raw Data'!D719</f>
        <v>46275</v>
      </c>
      <c r="Z717" s="47">
        <v>0.0</v>
      </c>
      <c r="AA717" s="47"/>
      <c r="AB717" s="47"/>
      <c r="AC717" s="47"/>
      <c r="AD717" s="47"/>
      <c r="AE717" s="47"/>
      <c r="AF717" s="47"/>
      <c r="AG717" s="47"/>
    </row>
    <row r="718" ht="15.75" customHeight="1">
      <c r="A718" s="35">
        <f>Bill!$Y718</f>
        <v>46276</v>
      </c>
      <c r="B718" s="43">
        <f>'Raw Data'!E720+Bill!$L$2</f>
        <v>20</v>
      </c>
      <c r="C718" s="43">
        <f>'Raw Data'!E720+Bill!$M$2</f>
        <v>25</v>
      </c>
      <c r="D718" s="43">
        <f>('Raw Data'!$F720*2)-10</f>
        <v>-10</v>
      </c>
      <c r="E718" s="43">
        <f>'Raw Data'!F720+Bill!$O$2</f>
        <v>20</v>
      </c>
      <c r="F718" s="43">
        <f>'Raw Data'!F720+Bill!$P$2</f>
        <v>25</v>
      </c>
      <c r="G718" s="43">
        <f>'Raw Data'!E720+Bill!$Q$2</f>
        <v>50</v>
      </c>
      <c r="H718" s="43">
        <f>('Raw Data'!F720+Bill!$R$2)</f>
        <v>20</v>
      </c>
      <c r="I718" s="36">
        <f>'Raw Data'!G720/100</f>
        <v>0</v>
      </c>
      <c r="K718" s="37">
        <f>Bill!$Y718</f>
        <v>46276</v>
      </c>
      <c r="L718" s="38">
        <f>Bill!$AA718*('Raw Data'!$E720+$L$2)</f>
        <v>0</v>
      </c>
      <c r="M718" s="38">
        <f>Bill!$AB718*('Raw Data'!$E720+$M$2)</f>
        <v>0</v>
      </c>
      <c r="N718" s="38">
        <f>(('Raw Data'!$F720 * 2)-10)*Bill!$AC718</f>
        <v>0</v>
      </c>
      <c r="O718" s="38">
        <f>('Raw Data'!F720+Bill!$O$2)*Bill!$AD718</f>
        <v>0</v>
      </c>
      <c r="P718" s="38">
        <f>('Raw Data'!F720+Bill!$P$2)*Bill!$AE718</f>
        <v>0</v>
      </c>
      <c r="Q718" s="38">
        <f>Bill!$Z718*('Raw Data'!$E720+$Q$2)</f>
        <v>0</v>
      </c>
      <c r="R718" s="38">
        <f>('Raw Data'!F720+Bill!$R$2)*Bill!$AF718</f>
        <v>0</v>
      </c>
      <c r="S718" s="48">
        <f>('Raw Data'!G720/100)*Bill!$AG718</f>
        <v>0</v>
      </c>
      <c r="T718" s="38">
        <f>SUM(Bill!$L718:$R718)</f>
        <v>0</v>
      </c>
      <c r="U718" s="53"/>
      <c r="V718" s="50"/>
      <c r="W718" s="38">
        <f>Bill!$U718-Bill!$T718</f>
        <v>0</v>
      </c>
      <c r="Y718" s="37">
        <f>'Raw Data'!D720</f>
        <v>46276</v>
      </c>
      <c r="Z718" s="47">
        <v>0.0</v>
      </c>
      <c r="AA718" s="47"/>
      <c r="AB718" s="47"/>
      <c r="AC718" s="47"/>
      <c r="AD718" s="47"/>
      <c r="AE718" s="47"/>
      <c r="AF718" s="47"/>
      <c r="AG718" s="47"/>
    </row>
    <row r="719" ht="15.75" customHeight="1">
      <c r="A719" s="35">
        <f>Bill!$Y719</f>
        <v>46277</v>
      </c>
      <c r="B719" s="43">
        <f>'Raw Data'!E721+Bill!$L$2</f>
        <v>20</v>
      </c>
      <c r="C719" s="43">
        <f>'Raw Data'!E721+Bill!$M$2</f>
        <v>25</v>
      </c>
      <c r="D719" s="43">
        <f>('Raw Data'!$F721*2)-10</f>
        <v>-10</v>
      </c>
      <c r="E719" s="43">
        <f>'Raw Data'!F721+Bill!$O$2</f>
        <v>20</v>
      </c>
      <c r="F719" s="43">
        <f>'Raw Data'!F721+Bill!$P$2</f>
        <v>25</v>
      </c>
      <c r="G719" s="43">
        <f>'Raw Data'!E721+Bill!$Q$2</f>
        <v>50</v>
      </c>
      <c r="H719" s="43">
        <f>('Raw Data'!F721+Bill!$R$2)</f>
        <v>20</v>
      </c>
      <c r="I719" s="36">
        <f>'Raw Data'!G721/100</f>
        <v>0</v>
      </c>
      <c r="K719" s="37">
        <f>Bill!$Y719</f>
        <v>46277</v>
      </c>
      <c r="L719" s="38">
        <f>Bill!$AA719*('Raw Data'!$E721+$L$2)</f>
        <v>0</v>
      </c>
      <c r="M719" s="38">
        <f>Bill!$AB719*('Raw Data'!$E721+$M$2)</f>
        <v>0</v>
      </c>
      <c r="N719" s="38">
        <f>(('Raw Data'!$F721 * 2)-10)*Bill!$AC719</f>
        <v>0</v>
      </c>
      <c r="O719" s="38">
        <f>('Raw Data'!F721+Bill!$O$2)*Bill!$AD719</f>
        <v>0</v>
      </c>
      <c r="P719" s="38">
        <f>('Raw Data'!F721+Bill!$P$2)*Bill!$AE719</f>
        <v>0</v>
      </c>
      <c r="Q719" s="38">
        <f>Bill!$Z719*('Raw Data'!$E721+$Q$2)</f>
        <v>0</v>
      </c>
      <c r="R719" s="38">
        <f>('Raw Data'!F721+Bill!$R$2)*Bill!$AF719</f>
        <v>0</v>
      </c>
      <c r="S719" s="48">
        <f>('Raw Data'!G721/100)*Bill!$AG719</f>
        <v>0</v>
      </c>
      <c r="T719" s="38">
        <f>SUM(Bill!$L719:$R719)</f>
        <v>0</v>
      </c>
      <c r="U719" s="53"/>
      <c r="V719" s="50"/>
      <c r="W719" s="38">
        <f>Bill!$U719-Bill!$T719</f>
        <v>0</v>
      </c>
      <c r="Y719" s="37">
        <f>'Raw Data'!D721</f>
        <v>46277</v>
      </c>
      <c r="Z719" s="47">
        <v>0.0</v>
      </c>
      <c r="AA719" s="47"/>
      <c r="AB719" s="47"/>
      <c r="AC719" s="47"/>
      <c r="AD719" s="47"/>
      <c r="AE719" s="47"/>
      <c r="AF719" s="47"/>
      <c r="AG719" s="47"/>
    </row>
    <row r="720" ht="15.75" customHeight="1">
      <c r="A720" s="35">
        <f>Bill!$Y720</f>
        <v>46278</v>
      </c>
      <c r="B720" s="43">
        <f>'Raw Data'!E722+Bill!$L$2</f>
        <v>20</v>
      </c>
      <c r="C720" s="43">
        <f>'Raw Data'!E722+Bill!$M$2</f>
        <v>25</v>
      </c>
      <c r="D720" s="43">
        <f>('Raw Data'!$F722*2)-10</f>
        <v>-10</v>
      </c>
      <c r="E720" s="43">
        <f>'Raw Data'!F722+Bill!$O$2</f>
        <v>20</v>
      </c>
      <c r="F720" s="43">
        <f>'Raw Data'!F722+Bill!$P$2</f>
        <v>25</v>
      </c>
      <c r="G720" s="43">
        <f>'Raw Data'!E722+Bill!$Q$2</f>
        <v>50</v>
      </c>
      <c r="H720" s="43">
        <f>('Raw Data'!F722+Bill!$R$2)</f>
        <v>20</v>
      </c>
      <c r="I720" s="36">
        <f>'Raw Data'!G722/100</f>
        <v>0</v>
      </c>
      <c r="K720" s="37">
        <f>Bill!$Y720</f>
        <v>46278</v>
      </c>
      <c r="L720" s="38">
        <f>Bill!$AA720*('Raw Data'!$E722+$L$2)</f>
        <v>0</v>
      </c>
      <c r="M720" s="38">
        <f>Bill!$AB720*('Raw Data'!$E722+$M$2)</f>
        <v>0</v>
      </c>
      <c r="N720" s="38">
        <f>(('Raw Data'!$F722 * 2)-10)*Bill!$AC720</f>
        <v>0</v>
      </c>
      <c r="O720" s="38">
        <f>('Raw Data'!F722+Bill!$O$2)*Bill!$AD720</f>
        <v>0</v>
      </c>
      <c r="P720" s="38">
        <f>('Raw Data'!F722+Bill!$P$2)*Bill!$AE720</f>
        <v>0</v>
      </c>
      <c r="Q720" s="38">
        <f>Bill!$Z720*('Raw Data'!$E722+$Q$2)</f>
        <v>0</v>
      </c>
      <c r="R720" s="38">
        <f>('Raw Data'!F722+Bill!$R$2)*Bill!$AF720</f>
        <v>0</v>
      </c>
      <c r="S720" s="48">
        <f>('Raw Data'!G722/100)*Bill!$AG720</f>
        <v>0</v>
      </c>
      <c r="T720" s="38">
        <f>SUM(Bill!$L720:$R720)</f>
        <v>0</v>
      </c>
      <c r="U720" s="53"/>
      <c r="V720" s="50"/>
      <c r="W720" s="38">
        <f>Bill!$U720-Bill!$T720</f>
        <v>0</v>
      </c>
      <c r="Y720" s="37">
        <f>'Raw Data'!D722</f>
        <v>46278</v>
      </c>
      <c r="Z720" s="47">
        <v>0.0</v>
      </c>
      <c r="AA720" s="47"/>
      <c r="AB720" s="47"/>
      <c r="AC720" s="47"/>
      <c r="AD720" s="47"/>
      <c r="AE720" s="47"/>
      <c r="AF720" s="47"/>
      <c r="AG720" s="47"/>
    </row>
    <row r="721" ht="15.75" customHeight="1">
      <c r="A721" s="35">
        <f>Bill!$Y721</f>
        <v>46279</v>
      </c>
      <c r="B721" s="43">
        <f>'Raw Data'!E723+Bill!$L$2</f>
        <v>20</v>
      </c>
      <c r="C721" s="43">
        <f>'Raw Data'!E723+Bill!$M$2</f>
        <v>25</v>
      </c>
      <c r="D721" s="43">
        <f>('Raw Data'!$F723*2)-10</f>
        <v>-10</v>
      </c>
      <c r="E721" s="43">
        <f>'Raw Data'!F723+Bill!$O$2</f>
        <v>20</v>
      </c>
      <c r="F721" s="43">
        <f>'Raw Data'!F723+Bill!$P$2</f>
        <v>25</v>
      </c>
      <c r="G721" s="43">
        <f>'Raw Data'!E723+Bill!$Q$2</f>
        <v>50</v>
      </c>
      <c r="H721" s="43">
        <f>('Raw Data'!F723+Bill!$R$2)</f>
        <v>20</v>
      </c>
      <c r="I721" s="36">
        <f>'Raw Data'!G723/100</f>
        <v>0</v>
      </c>
      <c r="K721" s="37">
        <f>Bill!$Y721</f>
        <v>46279</v>
      </c>
      <c r="L721" s="38">
        <f>Bill!$AA721*('Raw Data'!$E723+$L$2)</f>
        <v>0</v>
      </c>
      <c r="M721" s="38">
        <f>Bill!$AB721*('Raw Data'!$E723+$M$2)</f>
        <v>0</v>
      </c>
      <c r="N721" s="38">
        <f>(('Raw Data'!$F723 * 2)-10)*Bill!$AC721</f>
        <v>0</v>
      </c>
      <c r="O721" s="38">
        <f>('Raw Data'!F723+Bill!$O$2)*Bill!$AD721</f>
        <v>0</v>
      </c>
      <c r="P721" s="38">
        <f>('Raw Data'!F723+Bill!$P$2)*Bill!$AE721</f>
        <v>0</v>
      </c>
      <c r="Q721" s="38">
        <f>Bill!$Z721*('Raw Data'!$E723+$Q$2)</f>
        <v>0</v>
      </c>
      <c r="R721" s="38">
        <f>('Raw Data'!F723+Bill!$R$2)*Bill!$AF721</f>
        <v>0</v>
      </c>
      <c r="S721" s="48">
        <f>('Raw Data'!G723/100)*Bill!$AG721</f>
        <v>0</v>
      </c>
      <c r="T721" s="38">
        <f>SUM(Bill!$L721:$R721)</f>
        <v>0</v>
      </c>
      <c r="U721" s="53"/>
      <c r="V721" s="50"/>
      <c r="W721" s="38">
        <f>Bill!$U721-Bill!$T721</f>
        <v>0</v>
      </c>
      <c r="Y721" s="37">
        <f>'Raw Data'!D723</f>
        <v>46279</v>
      </c>
      <c r="Z721" s="47">
        <v>0.0</v>
      </c>
      <c r="AA721" s="47"/>
      <c r="AB721" s="47"/>
      <c r="AC721" s="47"/>
      <c r="AD721" s="47"/>
      <c r="AE721" s="47"/>
      <c r="AF721" s="47"/>
      <c r="AG721" s="47"/>
    </row>
    <row r="722" ht="15.75" customHeight="1">
      <c r="A722" s="35">
        <f>Bill!$Y722</f>
        <v>46280</v>
      </c>
      <c r="B722" s="43">
        <f>'Raw Data'!E724+Bill!$L$2</f>
        <v>20</v>
      </c>
      <c r="C722" s="43">
        <f>'Raw Data'!E724+Bill!$M$2</f>
        <v>25</v>
      </c>
      <c r="D722" s="43">
        <f>('Raw Data'!$F724*2)-10</f>
        <v>-10</v>
      </c>
      <c r="E722" s="43">
        <f>'Raw Data'!F724+Bill!$O$2</f>
        <v>20</v>
      </c>
      <c r="F722" s="43">
        <f>'Raw Data'!F724+Bill!$P$2</f>
        <v>25</v>
      </c>
      <c r="G722" s="43">
        <f>'Raw Data'!E724+Bill!$Q$2</f>
        <v>50</v>
      </c>
      <c r="H722" s="43">
        <f>('Raw Data'!F724+Bill!$R$2)</f>
        <v>20</v>
      </c>
      <c r="I722" s="36">
        <f>'Raw Data'!G724/100</f>
        <v>0</v>
      </c>
      <c r="K722" s="37">
        <f>Bill!$Y722</f>
        <v>46280</v>
      </c>
      <c r="L722" s="38">
        <f>Bill!$AA722*('Raw Data'!$E724+$L$2)</f>
        <v>0</v>
      </c>
      <c r="M722" s="38">
        <f>Bill!$AB722*('Raw Data'!$E724+$M$2)</f>
        <v>0</v>
      </c>
      <c r="N722" s="38">
        <f>(('Raw Data'!$F724 * 2)-10)*Bill!$AC722</f>
        <v>0</v>
      </c>
      <c r="O722" s="38">
        <f>('Raw Data'!F724+Bill!$O$2)*Bill!$AD722</f>
        <v>0</v>
      </c>
      <c r="P722" s="38">
        <f>('Raw Data'!F724+Bill!$P$2)*Bill!$AE722</f>
        <v>0</v>
      </c>
      <c r="Q722" s="38">
        <f>Bill!$Z722*('Raw Data'!$E724+$Q$2)</f>
        <v>0</v>
      </c>
      <c r="R722" s="38">
        <f>('Raw Data'!F724+Bill!$R$2)*Bill!$AF722</f>
        <v>0</v>
      </c>
      <c r="S722" s="48">
        <f>('Raw Data'!G724/100)*Bill!$AG722</f>
        <v>0</v>
      </c>
      <c r="T722" s="38">
        <f>SUM(Bill!$L722:$R722)</f>
        <v>0</v>
      </c>
      <c r="U722" s="53"/>
      <c r="V722" s="50"/>
      <c r="W722" s="38">
        <f>Bill!$U722-Bill!$T722</f>
        <v>0</v>
      </c>
      <c r="Y722" s="37">
        <f>'Raw Data'!D724</f>
        <v>46280</v>
      </c>
      <c r="Z722" s="47">
        <v>0.0</v>
      </c>
      <c r="AA722" s="47"/>
      <c r="AB722" s="47"/>
      <c r="AC722" s="47"/>
      <c r="AD722" s="47"/>
      <c r="AE722" s="47"/>
      <c r="AF722" s="47"/>
      <c r="AG722" s="47"/>
    </row>
    <row r="723" ht="15.75" customHeight="1">
      <c r="A723" s="35">
        <f>Bill!$Y723</f>
        <v>46281</v>
      </c>
      <c r="B723" s="43">
        <f>'Raw Data'!E725+Bill!$L$2</f>
        <v>20</v>
      </c>
      <c r="C723" s="43">
        <f>'Raw Data'!E725+Bill!$M$2</f>
        <v>25</v>
      </c>
      <c r="D723" s="43">
        <f>('Raw Data'!$F725*2)-10</f>
        <v>-10</v>
      </c>
      <c r="E723" s="43">
        <f>'Raw Data'!F725+Bill!$O$2</f>
        <v>20</v>
      </c>
      <c r="F723" s="43">
        <f>'Raw Data'!F725+Bill!$P$2</f>
        <v>25</v>
      </c>
      <c r="G723" s="43">
        <f>'Raw Data'!E725+Bill!$Q$2</f>
        <v>50</v>
      </c>
      <c r="H723" s="43">
        <f>('Raw Data'!F725+Bill!$R$2)</f>
        <v>20</v>
      </c>
      <c r="I723" s="36">
        <f>'Raw Data'!G725/100</f>
        <v>0</v>
      </c>
      <c r="K723" s="37">
        <f>Bill!$Y723</f>
        <v>46281</v>
      </c>
      <c r="L723" s="38">
        <f>Bill!$AA723*('Raw Data'!$E725+$L$2)</f>
        <v>0</v>
      </c>
      <c r="M723" s="38">
        <f>Bill!$AB723*('Raw Data'!$E725+$M$2)</f>
        <v>0</v>
      </c>
      <c r="N723" s="38">
        <f>(('Raw Data'!$F725 * 2)-10)*Bill!$AC723</f>
        <v>0</v>
      </c>
      <c r="O723" s="38">
        <f>('Raw Data'!F725+Bill!$O$2)*Bill!$AD723</f>
        <v>0</v>
      </c>
      <c r="P723" s="38">
        <f>('Raw Data'!F725+Bill!$P$2)*Bill!$AE723</f>
        <v>0</v>
      </c>
      <c r="Q723" s="38">
        <f>Bill!$Z723*('Raw Data'!$E725+$Q$2)</f>
        <v>0</v>
      </c>
      <c r="R723" s="38">
        <f>('Raw Data'!F725+Bill!$R$2)*Bill!$AF723</f>
        <v>0</v>
      </c>
      <c r="S723" s="48">
        <f>('Raw Data'!G725/100)*Bill!$AG723</f>
        <v>0</v>
      </c>
      <c r="T723" s="38">
        <f>SUM(Bill!$L723:$R723)</f>
        <v>0</v>
      </c>
      <c r="U723" s="53"/>
      <c r="V723" s="50"/>
      <c r="W723" s="38">
        <f>Bill!$U723-Bill!$T723</f>
        <v>0</v>
      </c>
      <c r="Y723" s="37">
        <f>'Raw Data'!D725</f>
        <v>46281</v>
      </c>
      <c r="Z723" s="47">
        <v>0.0</v>
      </c>
      <c r="AA723" s="47"/>
      <c r="AB723" s="47"/>
      <c r="AC723" s="47"/>
      <c r="AD723" s="47"/>
      <c r="AE723" s="47"/>
      <c r="AF723" s="47"/>
      <c r="AG723" s="47"/>
    </row>
    <row r="724" ht="15.75" customHeight="1">
      <c r="A724" s="35">
        <f>Bill!$Y724</f>
        <v>46282</v>
      </c>
      <c r="B724" s="43">
        <f>'Raw Data'!E726+Bill!$L$2</f>
        <v>20</v>
      </c>
      <c r="C724" s="43">
        <f>'Raw Data'!E726+Bill!$M$2</f>
        <v>25</v>
      </c>
      <c r="D724" s="43">
        <f>('Raw Data'!$F726*2)-10</f>
        <v>-10</v>
      </c>
      <c r="E724" s="43">
        <f>'Raw Data'!F726+Bill!$O$2</f>
        <v>20</v>
      </c>
      <c r="F724" s="43">
        <f>'Raw Data'!F726+Bill!$P$2</f>
        <v>25</v>
      </c>
      <c r="G724" s="43">
        <f>'Raw Data'!E726+Bill!$Q$2</f>
        <v>50</v>
      </c>
      <c r="H724" s="43">
        <f>('Raw Data'!F726+Bill!$R$2)</f>
        <v>20</v>
      </c>
      <c r="I724" s="36">
        <f>'Raw Data'!G726/100</f>
        <v>0</v>
      </c>
      <c r="K724" s="37">
        <f>Bill!$Y724</f>
        <v>46282</v>
      </c>
      <c r="L724" s="38">
        <f>Bill!$AA724*('Raw Data'!$E726+$L$2)</f>
        <v>0</v>
      </c>
      <c r="M724" s="38">
        <f>Bill!$AB724*('Raw Data'!$E726+$M$2)</f>
        <v>0</v>
      </c>
      <c r="N724" s="38">
        <f>(('Raw Data'!$F726 * 2)-10)*Bill!$AC724</f>
        <v>0</v>
      </c>
      <c r="O724" s="38">
        <f>('Raw Data'!F726+Bill!$O$2)*Bill!$AD724</f>
        <v>0</v>
      </c>
      <c r="P724" s="38">
        <f>('Raw Data'!F726+Bill!$P$2)*Bill!$AE724</f>
        <v>0</v>
      </c>
      <c r="Q724" s="38">
        <f>Bill!$Z724*('Raw Data'!$E726+$Q$2)</f>
        <v>0</v>
      </c>
      <c r="R724" s="38">
        <f>('Raw Data'!F726+Bill!$R$2)*Bill!$AF724</f>
        <v>0</v>
      </c>
      <c r="S724" s="48">
        <f>('Raw Data'!G726/100)*Bill!$AG724</f>
        <v>0</v>
      </c>
      <c r="T724" s="38">
        <f>SUM(Bill!$L724:$R724)</f>
        <v>0</v>
      </c>
      <c r="U724" s="53"/>
      <c r="V724" s="50"/>
      <c r="W724" s="38">
        <f>Bill!$U724-Bill!$T724</f>
        <v>0</v>
      </c>
      <c r="Y724" s="37">
        <f>'Raw Data'!D726</f>
        <v>46282</v>
      </c>
      <c r="Z724" s="47">
        <v>0.0</v>
      </c>
      <c r="AA724" s="47"/>
      <c r="AB724" s="47"/>
      <c r="AC724" s="47"/>
      <c r="AD724" s="47"/>
      <c r="AE724" s="47"/>
      <c r="AF724" s="47"/>
      <c r="AG724" s="47"/>
    </row>
    <row r="725" ht="15.75" customHeight="1">
      <c r="A725" s="35">
        <f>Bill!$Y725</f>
        <v>46283</v>
      </c>
      <c r="B725" s="43">
        <f>'Raw Data'!E727+Bill!$L$2</f>
        <v>20</v>
      </c>
      <c r="C725" s="43">
        <f>'Raw Data'!E727+Bill!$M$2</f>
        <v>25</v>
      </c>
      <c r="D725" s="43">
        <f>('Raw Data'!$F727*2)-10</f>
        <v>-10</v>
      </c>
      <c r="E725" s="43">
        <f>'Raw Data'!F727+Bill!$O$2</f>
        <v>20</v>
      </c>
      <c r="F725" s="43">
        <f>'Raw Data'!F727+Bill!$P$2</f>
        <v>25</v>
      </c>
      <c r="G725" s="43">
        <f>'Raw Data'!E727+Bill!$Q$2</f>
        <v>50</v>
      </c>
      <c r="H725" s="43">
        <f>('Raw Data'!F727+Bill!$R$2)</f>
        <v>20</v>
      </c>
      <c r="I725" s="36">
        <f>'Raw Data'!G727/100</f>
        <v>0</v>
      </c>
      <c r="K725" s="37">
        <f>Bill!$Y725</f>
        <v>46283</v>
      </c>
      <c r="L725" s="38">
        <f>Bill!$AA725*('Raw Data'!$E727+$L$2)</f>
        <v>0</v>
      </c>
      <c r="M725" s="38">
        <f>Bill!$AB725*('Raw Data'!$E727+$M$2)</f>
        <v>0</v>
      </c>
      <c r="N725" s="38">
        <f>(('Raw Data'!$F727 * 2)-10)*Bill!$AC725</f>
        <v>0</v>
      </c>
      <c r="O725" s="38">
        <f>('Raw Data'!F727+Bill!$O$2)*Bill!$AD725</f>
        <v>0</v>
      </c>
      <c r="P725" s="38">
        <f>('Raw Data'!F727+Bill!$P$2)*Bill!$AE725</f>
        <v>0</v>
      </c>
      <c r="Q725" s="38">
        <f>Bill!$Z725*('Raw Data'!$E727+$Q$2)</f>
        <v>0</v>
      </c>
      <c r="R725" s="38">
        <f>('Raw Data'!F727+Bill!$R$2)*Bill!$AF725</f>
        <v>0</v>
      </c>
      <c r="S725" s="48">
        <f>('Raw Data'!G727/100)*Bill!$AG725</f>
        <v>0</v>
      </c>
      <c r="T725" s="38">
        <f>SUM(Bill!$L725:$R725)</f>
        <v>0</v>
      </c>
      <c r="U725" s="53"/>
      <c r="V725" s="50"/>
      <c r="W725" s="38">
        <f>Bill!$U725-Bill!$T725</f>
        <v>0</v>
      </c>
      <c r="Y725" s="37">
        <f>'Raw Data'!D727</f>
        <v>46283</v>
      </c>
      <c r="Z725" s="47">
        <v>0.0</v>
      </c>
      <c r="AA725" s="47"/>
      <c r="AB725" s="47"/>
      <c r="AC725" s="47"/>
      <c r="AD725" s="47"/>
      <c r="AE725" s="47"/>
      <c r="AF725" s="47"/>
      <c r="AG725" s="47"/>
    </row>
    <row r="726" ht="15.75" customHeight="1">
      <c r="A726" s="35">
        <f>Bill!$Y726</f>
        <v>46284</v>
      </c>
      <c r="B726" s="43">
        <f>'Raw Data'!E728+Bill!$L$2</f>
        <v>20</v>
      </c>
      <c r="C726" s="43">
        <f>'Raw Data'!E728+Bill!$M$2</f>
        <v>25</v>
      </c>
      <c r="D726" s="43">
        <f>('Raw Data'!$F728*2)-10</f>
        <v>-10</v>
      </c>
      <c r="E726" s="43">
        <f>'Raw Data'!F728+Bill!$O$2</f>
        <v>20</v>
      </c>
      <c r="F726" s="43">
        <f>'Raw Data'!F728+Bill!$P$2</f>
        <v>25</v>
      </c>
      <c r="G726" s="43">
        <f>'Raw Data'!E728+Bill!$Q$2</f>
        <v>50</v>
      </c>
      <c r="H726" s="43">
        <f>('Raw Data'!F728+Bill!$R$2)</f>
        <v>20</v>
      </c>
      <c r="I726" s="36">
        <f>'Raw Data'!G728/100</f>
        <v>0</v>
      </c>
      <c r="K726" s="37">
        <f>Bill!$Y726</f>
        <v>46284</v>
      </c>
      <c r="L726" s="38">
        <f>Bill!$AA726*('Raw Data'!$E728+$L$2)</f>
        <v>0</v>
      </c>
      <c r="M726" s="38">
        <f>Bill!$AB726*('Raw Data'!$E728+$M$2)</f>
        <v>0</v>
      </c>
      <c r="N726" s="38">
        <f>(('Raw Data'!$F728 * 2)-10)*Bill!$AC726</f>
        <v>0</v>
      </c>
      <c r="O726" s="38">
        <f>('Raw Data'!F728+Bill!$O$2)*Bill!$AD726</f>
        <v>0</v>
      </c>
      <c r="P726" s="38">
        <f>('Raw Data'!F728+Bill!$P$2)*Bill!$AE726</f>
        <v>0</v>
      </c>
      <c r="Q726" s="38">
        <f>Bill!$Z726*('Raw Data'!$E728+$Q$2)</f>
        <v>0</v>
      </c>
      <c r="R726" s="38">
        <f>('Raw Data'!F728+Bill!$R$2)*Bill!$AF726</f>
        <v>0</v>
      </c>
      <c r="S726" s="48">
        <f>('Raw Data'!G728/100)*Bill!$AG726</f>
        <v>0</v>
      </c>
      <c r="T726" s="38">
        <f>SUM(Bill!$L726:$R726)</f>
        <v>0</v>
      </c>
      <c r="U726" s="53"/>
      <c r="V726" s="50"/>
      <c r="W726" s="38">
        <f>Bill!$U726-Bill!$T726</f>
        <v>0</v>
      </c>
      <c r="Y726" s="37">
        <f>'Raw Data'!D728</f>
        <v>46284</v>
      </c>
      <c r="Z726" s="47">
        <v>0.0</v>
      </c>
      <c r="AA726" s="47"/>
      <c r="AB726" s="47"/>
      <c r="AC726" s="47"/>
      <c r="AD726" s="47"/>
      <c r="AE726" s="47"/>
      <c r="AF726" s="47"/>
      <c r="AG726" s="47"/>
    </row>
    <row r="727" ht="15.75" customHeight="1">
      <c r="A727" s="35">
        <f>Bill!$Y727</f>
        <v>46285</v>
      </c>
      <c r="B727" s="43">
        <f>'Raw Data'!E729+Bill!$L$2</f>
        <v>20</v>
      </c>
      <c r="C727" s="43">
        <f>'Raw Data'!E729+Bill!$M$2</f>
        <v>25</v>
      </c>
      <c r="D727" s="43">
        <f>('Raw Data'!$F729*2)-10</f>
        <v>-10</v>
      </c>
      <c r="E727" s="43">
        <f>'Raw Data'!F729+Bill!$O$2</f>
        <v>20</v>
      </c>
      <c r="F727" s="43">
        <f>'Raw Data'!F729+Bill!$P$2</f>
        <v>25</v>
      </c>
      <c r="G727" s="43">
        <f>'Raw Data'!E729+Bill!$Q$2</f>
        <v>50</v>
      </c>
      <c r="H727" s="43">
        <f>('Raw Data'!F729+Bill!$R$2)</f>
        <v>20</v>
      </c>
      <c r="I727" s="36">
        <f>'Raw Data'!G729/100</f>
        <v>0</v>
      </c>
      <c r="K727" s="37">
        <f>Bill!$Y727</f>
        <v>46285</v>
      </c>
      <c r="L727" s="38">
        <f>Bill!$AA727*('Raw Data'!$E729+$L$2)</f>
        <v>0</v>
      </c>
      <c r="M727" s="38">
        <f>Bill!$AB727*('Raw Data'!$E729+$M$2)</f>
        <v>0</v>
      </c>
      <c r="N727" s="38">
        <f>(('Raw Data'!$F729 * 2)-10)*Bill!$AC727</f>
        <v>0</v>
      </c>
      <c r="O727" s="38">
        <f>('Raw Data'!F729+Bill!$O$2)*Bill!$AD727</f>
        <v>0</v>
      </c>
      <c r="P727" s="38">
        <f>('Raw Data'!F729+Bill!$P$2)*Bill!$AE727</f>
        <v>0</v>
      </c>
      <c r="Q727" s="38">
        <f>Bill!$Z727*('Raw Data'!$E729+$Q$2)</f>
        <v>0</v>
      </c>
      <c r="R727" s="38">
        <f>('Raw Data'!F729+Bill!$R$2)*Bill!$AF727</f>
        <v>0</v>
      </c>
      <c r="S727" s="48">
        <f>('Raw Data'!G729/100)*Bill!$AG727</f>
        <v>0</v>
      </c>
      <c r="T727" s="38">
        <f>SUM(Bill!$L727:$R727)</f>
        <v>0</v>
      </c>
      <c r="U727" s="53"/>
      <c r="V727" s="50"/>
      <c r="W727" s="38">
        <f>Bill!$U727-Bill!$T727</f>
        <v>0</v>
      </c>
      <c r="Y727" s="37">
        <f>'Raw Data'!D729</f>
        <v>46285</v>
      </c>
      <c r="Z727" s="47">
        <v>0.0</v>
      </c>
      <c r="AA727" s="47"/>
      <c r="AB727" s="47"/>
      <c r="AC727" s="47"/>
      <c r="AD727" s="47"/>
      <c r="AE727" s="47"/>
      <c r="AF727" s="47"/>
      <c r="AG727" s="47"/>
    </row>
    <row r="728" ht="15.75" customHeight="1">
      <c r="A728" s="35">
        <f>Bill!$Y728</f>
        <v>46286</v>
      </c>
      <c r="B728" s="43">
        <f>'Raw Data'!E730+Bill!$L$2</f>
        <v>20</v>
      </c>
      <c r="C728" s="43">
        <f>'Raw Data'!E730+Bill!$M$2</f>
        <v>25</v>
      </c>
      <c r="D728" s="43">
        <f>('Raw Data'!$F730*2)-10</f>
        <v>-10</v>
      </c>
      <c r="E728" s="43">
        <f>'Raw Data'!F730+Bill!$O$2</f>
        <v>20</v>
      </c>
      <c r="F728" s="43">
        <f>'Raw Data'!F730+Bill!$P$2</f>
        <v>25</v>
      </c>
      <c r="G728" s="43">
        <f>'Raw Data'!E730+Bill!$Q$2</f>
        <v>50</v>
      </c>
      <c r="H728" s="43">
        <f>('Raw Data'!F730+Bill!$R$2)</f>
        <v>20</v>
      </c>
      <c r="I728" s="36">
        <f>'Raw Data'!G730/100</f>
        <v>0</v>
      </c>
      <c r="K728" s="37">
        <f>Bill!$Y728</f>
        <v>46286</v>
      </c>
      <c r="L728" s="38">
        <f>Bill!$AA728*('Raw Data'!$E730+$L$2)</f>
        <v>0</v>
      </c>
      <c r="M728" s="38">
        <f>Bill!$AB728*('Raw Data'!$E730+$M$2)</f>
        <v>0</v>
      </c>
      <c r="N728" s="38">
        <f>(('Raw Data'!$F730 * 2)-10)*Bill!$AC728</f>
        <v>0</v>
      </c>
      <c r="O728" s="38">
        <f>('Raw Data'!F730+Bill!$O$2)*Bill!$AD728</f>
        <v>0</v>
      </c>
      <c r="P728" s="38">
        <f>('Raw Data'!F730+Bill!$P$2)*Bill!$AE728</f>
        <v>0</v>
      </c>
      <c r="Q728" s="38">
        <f>Bill!$Z728*('Raw Data'!$E730+$Q$2)</f>
        <v>0</v>
      </c>
      <c r="R728" s="38">
        <f>('Raw Data'!F730+Bill!$R$2)*Bill!$AF728</f>
        <v>0</v>
      </c>
      <c r="S728" s="48">
        <f>('Raw Data'!G730/100)*Bill!$AG728</f>
        <v>0</v>
      </c>
      <c r="T728" s="38">
        <f>SUM(Bill!$L728:$R728)</f>
        <v>0</v>
      </c>
      <c r="U728" s="53"/>
      <c r="V728" s="50"/>
      <c r="W728" s="38">
        <f>Bill!$U728-Bill!$T728</f>
        <v>0</v>
      </c>
      <c r="Y728" s="37">
        <f>'Raw Data'!D730</f>
        <v>46286</v>
      </c>
      <c r="Z728" s="47">
        <v>0.0</v>
      </c>
      <c r="AA728" s="47"/>
      <c r="AB728" s="47"/>
      <c r="AC728" s="47"/>
      <c r="AD728" s="47"/>
      <c r="AE728" s="47"/>
      <c r="AF728" s="47"/>
      <c r="AG728" s="47"/>
    </row>
    <row r="729" ht="15.75" customHeight="1">
      <c r="A729" s="35">
        <f>Bill!$Y729</f>
        <v>46287</v>
      </c>
      <c r="B729" s="43">
        <f>'Raw Data'!E731+Bill!$L$2</f>
        <v>20</v>
      </c>
      <c r="C729" s="43">
        <f>'Raw Data'!E731+Bill!$M$2</f>
        <v>25</v>
      </c>
      <c r="D729" s="43">
        <f>('Raw Data'!$F731*2)-10</f>
        <v>-10</v>
      </c>
      <c r="E729" s="43">
        <f>'Raw Data'!F731+Bill!$O$2</f>
        <v>20</v>
      </c>
      <c r="F729" s="43">
        <f>'Raw Data'!F731+Bill!$P$2</f>
        <v>25</v>
      </c>
      <c r="G729" s="43">
        <f>'Raw Data'!E731+Bill!$Q$2</f>
        <v>50</v>
      </c>
      <c r="H729" s="43">
        <f>('Raw Data'!F731+Bill!$R$2)</f>
        <v>20</v>
      </c>
      <c r="I729" s="36">
        <f>'Raw Data'!G731/100</f>
        <v>0</v>
      </c>
      <c r="K729" s="37">
        <f>Bill!$Y729</f>
        <v>46287</v>
      </c>
      <c r="L729" s="38">
        <f>Bill!$AA729*('Raw Data'!$E731+$L$2)</f>
        <v>0</v>
      </c>
      <c r="M729" s="38">
        <f>Bill!$AB729*('Raw Data'!$E731+$M$2)</f>
        <v>0</v>
      </c>
      <c r="N729" s="38">
        <f>(('Raw Data'!$F731 * 2)-10)*Bill!$AC729</f>
        <v>0</v>
      </c>
      <c r="O729" s="38">
        <f>('Raw Data'!F731+Bill!$O$2)*Bill!$AD729</f>
        <v>0</v>
      </c>
      <c r="P729" s="38">
        <f>('Raw Data'!F731+Bill!$P$2)*Bill!$AE729</f>
        <v>0</v>
      </c>
      <c r="Q729" s="38">
        <f>Bill!$Z729*('Raw Data'!$E731+$Q$2)</f>
        <v>0</v>
      </c>
      <c r="R729" s="38">
        <f>('Raw Data'!F731+Bill!$R$2)*Bill!$AF729</f>
        <v>0</v>
      </c>
      <c r="S729" s="48">
        <f>('Raw Data'!G731/100)*Bill!$AG729</f>
        <v>0</v>
      </c>
      <c r="T729" s="38">
        <f>SUM(Bill!$L729:$R729)</f>
        <v>0</v>
      </c>
      <c r="U729" s="53"/>
      <c r="V729" s="50"/>
      <c r="W729" s="38">
        <f>Bill!$U729-Bill!$T729</f>
        <v>0</v>
      </c>
      <c r="Y729" s="37">
        <f>'Raw Data'!D731</f>
        <v>46287</v>
      </c>
      <c r="Z729" s="47">
        <v>0.0</v>
      </c>
      <c r="AA729" s="47"/>
      <c r="AB729" s="47"/>
      <c r="AC729" s="47"/>
      <c r="AD729" s="47"/>
      <c r="AE729" s="47"/>
      <c r="AF729" s="47"/>
      <c r="AG729" s="47"/>
    </row>
    <row r="730" ht="15.75" customHeight="1">
      <c r="A730" s="35">
        <f>Bill!$Y730</f>
        <v>46288</v>
      </c>
      <c r="B730" s="43">
        <f>'Raw Data'!E732+Bill!$L$2</f>
        <v>20</v>
      </c>
      <c r="C730" s="43">
        <f>'Raw Data'!E732+Bill!$M$2</f>
        <v>25</v>
      </c>
      <c r="D730" s="43">
        <f>('Raw Data'!$F732*2)-10</f>
        <v>-10</v>
      </c>
      <c r="E730" s="43">
        <f>'Raw Data'!F732+Bill!$O$2</f>
        <v>20</v>
      </c>
      <c r="F730" s="43">
        <f>'Raw Data'!F732+Bill!$P$2</f>
        <v>25</v>
      </c>
      <c r="G730" s="43">
        <f>'Raw Data'!E732+Bill!$Q$2</f>
        <v>50</v>
      </c>
      <c r="H730" s="43">
        <f>('Raw Data'!F732+Bill!$R$2)</f>
        <v>20</v>
      </c>
      <c r="I730" s="36">
        <f>'Raw Data'!G732/100</f>
        <v>0</v>
      </c>
      <c r="K730" s="37">
        <f>Bill!$Y730</f>
        <v>46288</v>
      </c>
      <c r="L730" s="38">
        <f>Bill!$AA730*('Raw Data'!$E732+$L$2)</f>
        <v>0</v>
      </c>
      <c r="M730" s="38">
        <f>Bill!$AB730*('Raw Data'!$E732+$M$2)</f>
        <v>0</v>
      </c>
      <c r="N730" s="38">
        <f>(('Raw Data'!$F732 * 2)-10)*Bill!$AC730</f>
        <v>0</v>
      </c>
      <c r="O730" s="38">
        <f>('Raw Data'!F732+Bill!$O$2)*Bill!$AD730</f>
        <v>0</v>
      </c>
      <c r="P730" s="38">
        <f>('Raw Data'!F732+Bill!$P$2)*Bill!$AE730</f>
        <v>0</v>
      </c>
      <c r="Q730" s="38">
        <f>Bill!$Z730*('Raw Data'!$E732+$Q$2)</f>
        <v>0</v>
      </c>
      <c r="R730" s="38">
        <f>('Raw Data'!F732+Bill!$R$2)*Bill!$AF730</f>
        <v>0</v>
      </c>
      <c r="S730" s="48">
        <f>('Raw Data'!G732/100)*Bill!$AG730</f>
        <v>0</v>
      </c>
      <c r="T730" s="38">
        <f>SUM(Bill!$L730:$R730)</f>
        <v>0</v>
      </c>
      <c r="U730" s="53"/>
      <c r="V730" s="50"/>
      <c r="W730" s="38">
        <f>Bill!$U730-Bill!$T730</f>
        <v>0</v>
      </c>
      <c r="Y730" s="37">
        <f>'Raw Data'!D732</f>
        <v>46288</v>
      </c>
      <c r="Z730" s="47">
        <v>0.0</v>
      </c>
      <c r="AA730" s="47"/>
      <c r="AB730" s="47"/>
      <c r="AC730" s="47"/>
      <c r="AD730" s="47"/>
      <c r="AE730" s="47"/>
      <c r="AF730" s="47"/>
      <c r="AG730" s="47"/>
    </row>
    <row r="731" ht="15.75" customHeight="1">
      <c r="A731" s="35">
        <f>Bill!$Y731</f>
        <v>46289</v>
      </c>
      <c r="B731" s="43">
        <f>'Raw Data'!E733+Bill!$L$2</f>
        <v>20</v>
      </c>
      <c r="C731" s="43">
        <f>'Raw Data'!E733+Bill!$M$2</f>
        <v>25</v>
      </c>
      <c r="D731" s="43">
        <f>('Raw Data'!$F733*2)-10</f>
        <v>-10</v>
      </c>
      <c r="E731" s="43">
        <f>'Raw Data'!F733+Bill!$O$2</f>
        <v>20</v>
      </c>
      <c r="F731" s="43">
        <f>'Raw Data'!F733+Bill!$P$2</f>
        <v>25</v>
      </c>
      <c r="G731" s="43">
        <f>'Raw Data'!E733+Bill!$Q$2</f>
        <v>50</v>
      </c>
      <c r="H731" s="43">
        <f>('Raw Data'!F733+Bill!$R$2)</f>
        <v>20</v>
      </c>
      <c r="I731" s="36">
        <f>'Raw Data'!G733/100</f>
        <v>0</v>
      </c>
      <c r="K731" s="37">
        <f>Bill!$Y731</f>
        <v>46289</v>
      </c>
      <c r="L731" s="38">
        <f>Bill!$AA731*('Raw Data'!$E733+$L$2)</f>
        <v>0</v>
      </c>
      <c r="M731" s="38">
        <f>Bill!$AB731*('Raw Data'!$E733+$M$2)</f>
        <v>0</v>
      </c>
      <c r="N731" s="38">
        <f>(('Raw Data'!$F733 * 2)-10)*Bill!$AC731</f>
        <v>0</v>
      </c>
      <c r="O731" s="38">
        <f>('Raw Data'!F733+Bill!$O$2)*Bill!$AD731</f>
        <v>0</v>
      </c>
      <c r="P731" s="38">
        <f>('Raw Data'!F733+Bill!$P$2)*Bill!$AE731</f>
        <v>0</v>
      </c>
      <c r="Q731" s="38">
        <f>Bill!$Z731*('Raw Data'!$E733+$Q$2)</f>
        <v>0</v>
      </c>
      <c r="R731" s="38">
        <f>('Raw Data'!F733+Bill!$R$2)*Bill!$AF731</f>
        <v>0</v>
      </c>
      <c r="S731" s="48">
        <f>('Raw Data'!G733/100)*Bill!$AG731</f>
        <v>0</v>
      </c>
      <c r="T731" s="38">
        <f>SUM(Bill!$L731:$R731)</f>
        <v>0</v>
      </c>
      <c r="U731" s="53"/>
      <c r="V731" s="50"/>
      <c r="W731" s="38">
        <f>Bill!$U731-Bill!$T731</f>
        <v>0</v>
      </c>
      <c r="Y731" s="37">
        <f>'Raw Data'!D733</f>
        <v>46289</v>
      </c>
      <c r="Z731" s="47">
        <v>0.0</v>
      </c>
      <c r="AA731" s="47"/>
      <c r="AB731" s="47"/>
      <c r="AC731" s="47"/>
      <c r="AD731" s="47"/>
      <c r="AE731" s="47"/>
      <c r="AF731" s="47"/>
      <c r="AG731" s="47"/>
    </row>
    <row r="732" ht="15.75" customHeight="1">
      <c r="A732" s="35">
        <f>Bill!$Y732</f>
        <v>46290</v>
      </c>
      <c r="B732" s="43">
        <f>'Raw Data'!E734+Bill!$L$2</f>
        <v>20</v>
      </c>
      <c r="C732" s="43">
        <f>'Raw Data'!E734+Bill!$M$2</f>
        <v>25</v>
      </c>
      <c r="D732" s="43">
        <f>('Raw Data'!$F734*2)-10</f>
        <v>-10</v>
      </c>
      <c r="E732" s="43">
        <f>'Raw Data'!F734+Bill!$O$2</f>
        <v>20</v>
      </c>
      <c r="F732" s="43">
        <f>'Raw Data'!F734+Bill!$P$2</f>
        <v>25</v>
      </c>
      <c r="G732" s="43">
        <f>'Raw Data'!E734+Bill!$Q$2</f>
        <v>50</v>
      </c>
      <c r="H732" s="43">
        <f>('Raw Data'!F734+Bill!$R$2)</f>
        <v>20</v>
      </c>
      <c r="I732" s="36">
        <f>'Raw Data'!G734/100</f>
        <v>0</v>
      </c>
      <c r="K732" s="37">
        <f>Bill!$Y732</f>
        <v>46290</v>
      </c>
      <c r="L732" s="38">
        <f>Bill!$AA732*('Raw Data'!$E734+$L$2)</f>
        <v>0</v>
      </c>
      <c r="M732" s="38">
        <f>Bill!$AB732*('Raw Data'!$E734+$M$2)</f>
        <v>0</v>
      </c>
      <c r="N732" s="38">
        <f>(('Raw Data'!$F734 * 2)-10)*Bill!$AC732</f>
        <v>0</v>
      </c>
      <c r="O732" s="38">
        <f>('Raw Data'!F734+Bill!$O$2)*Bill!$AD732</f>
        <v>0</v>
      </c>
      <c r="P732" s="38">
        <f>('Raw Data'!F734+Bill!$P$2)*Bill!$AE732</f>
        <v>0</v>
      </c>
      <c r="Q732" s="38">
        <f>Bill!$Z732*('Raw Data'!$E734+$Q$2)</f>
        <v>0</v>
      </c>
      <c r="R732" s="38">
        <f>('Raw Data'!F734+Bill!$R$2)*Bill!$AF732</f>
        <v>0</v>
      </c>
      <c r="S732" s="48">
        <f>('Raw Data'!G734/100)*Bill!$AG732</f>
        <v>0</v>
      </c>
      <c r="T732" s="38">
        <f>SUM(Bill!$L732:$R732)</f>
        <v>0</v>
      </c>
      <c r="U732" s="53"/>
      <c r="V732" s="50"/>
      <c r="W732" s="38">
        <f>Bill!$U732-Bill!$T732</f>
        <v>0</v>
      </c>
      <c r="Y732" s="37">
        <f>'Raw Data'!D734</f>
        <v>46290</v>
      </c>
      <c r="Z732" s="47">
        <v>0.0</v>
      </c>
      <c r="AA732" s="47"/>
      <c r="AB732" s="47"/>
      <c r="AC732" s="47"/>
      <c r="AD732" s="47"/>
      <c r="AE732" s="47"/>
      <c r="AF732" s="47"/>
      <c r="AG732" s="47"/>
    </row>
    <row r="733" ht="15.75" customHeight="1">
      <c r="A733" s="35">
        <f>Bill!$Y733</f>
        <v>46291</v>
      </c>
      <c r="B733" s="43">
        <f>'Raw Data'!E735+Bill!$L$2</f>
        <v>20</v>
      </c>
      <c r="C733" s="43">
        <f>'Raw Data'!E735+Bill!$M$2</f>
        <v>25</v>
      </c>
      <c r="D733" s="43">
        <f>('Raw Data'!$F735*2)-10</f>
        <v>-10</v>
      </c>
      <c r="E733" s="43">
        <f>'Raw Data'!F735+Bill!$O$2</f>
        <v>20</v>
      </c>
      <c r="F733" s="43">
        <f>'Raw Data'!F735+Bill!$P$2</f>
        <v>25</v>
      </c>
      <c r="G733" s="43">
        <f>'Raw Data'!E735+Bill!$Q$2</f>
        <v>50</v>
      </c>
      <c r="H733" s="43">
        <f>('Raw Data'!F735+Bill!$R$2)</f>
        <v>20</v>
      </c>
      <c r="I733" s="36">
        <f>'Raw Data'!G735/100</f>
        <v>0</v>
      </c>
      <c r="K733" s="37">
        <f>Bill!$Y733</f>
        <v>46291</v>
      </c>
      <c r="L733" s="38">
        <f>Bill!$AA733*('Raw Data'!$E735+$L$2)</f>
        <v>0</v>
      </c>
      <c r="M733" s="38">
        <f>Bill!$AB733*('Raw Data'!$E735+$M$2)</f>
        <v>0</v>
      </c>
      <c r="N733" s="38">
        <f>(('Raw Data'!$F735 * 2)-10)*Bill!$AC733</f>
        <v>0</v>
      </c>
      <c r="O733" s="38">
        <f>('Raw Data'!F735+Bill!$O$2)*Bill!$AD733</f>
        <v>0</v>
      </c>
      <c r="P733" s="38">
        <f>('Raw Data'!F735+Bill!$P$2)*Bill!$AE733</f>
        <v>0</v>
      </c>
      <c r="Q733" s="38">
        <f>Bill!$Z733*('Raw Data'!$E735+$Q$2)</f>
        <v>0</v>
      </c>
      <c r="R733" s="38">
        <f>('Raw Data'!F735+Bill!$R$2)*Bill!$AF733</f>
        <v>0</v>
      </c>
      <c r="S733" s="48">
        <f>('Raw Data'!G735/100)*Bill!$AG733</f>
        <v>0</v>
      </c>
      <c r="T733" s="38">
        <f>SUM(Bill!$L733:$R733)</f>
        <v>0</v>
      </c>
      <c r="U733" s="53"/>
      <c r="V733" s="50"/>
      <c r="W733" s="38">
        <f>Bill!$U733-Bill!$T733</f>
        <v>0</v>
      </c>
      <c r="Y733" s="37">
        <f>'Raw Data'!D735</f>
        <v>46291</v>
      </c>
      <c r="Z733" s="47">
        <v>0.0</v>
      </c>
      <c r="AA733" s="47"/>
      <c r="AB733" s="47"/>
      <c r="AC733" s="47"/>
      <c r="AD733" s="47"/>
      <c r="AE733" s="47"/>
      <c r="AF733" s="47"/>
      <c r="AG733" s="47"/>
    </row>
    <row r="734" ht="15.75" customHeight="1">
      <c r="A734" s="35">
        <f>Bill!$Y734</f>
        <v>46292</v>
      </c>
      <c r="B734" s="43">
        <f>'Raw Data'!E736+Bill!$L$2</f>
        <v>20</v>
      </c>
      <c r="C734" s="43">
        <f>'Raw Data'!E736+Bill!$M$2</f>
        <v>25</v>
      </c>
      <c r="D734" s="43">
        <f>('Raw Data'!$F736*2)-10</f>
        <v>-10</v>
      </c>
      <c r="E734" s="43">
        <f>'Raw Data'!F736+Bill!$O$2</f>
        <v>20</v>
      </c>
      <c r="F734" s="43">
        <f>'Raw Data'!F736+Bill!$P$2</f>
        <v>25</v>
      </c>
      <c r="G734" s="43">
        <f>'Raw Data'!E736+Bill!$Q$2</f>
        <v>50</v>
      </c>
      <c r="H734" s="43">
        <f>('Raw Data'!F736+Bill!$R$2)</f>
        <v>20</v>
      </c>
      <c r="I734" s="36">
        <f>'Raw Data'!G736/100</f>
        <v>0</v>
      </c>
      <c r="K734" s="37">
        <f>Bill!$Y734</f>
        <v>46292</v>
      </c>
      <c r="L734" s="38">
        <f>Bill!$AA734*('Raw Data'!$E736+$L$2)</f>
        <v>0</v>
      </c>
      <c r="M734" s="38">
        <f>Bill!$AB734*('Raw Data'!$E736+$M$2)</f>
        <v>0</v>
      </c>
      <c r="N734" s="38">
        <f>(('Raw Data'!$F736 * 2)-10)*Bill!$AC734</f>
        <v>0</v>
      </c>
      <c r="O734" s="38">
        <f>('Raw Data'!F736+Bill!$O$2)*Bill!$AD734</f>
        <v>0</v>
      </c>
      <c r="P734" s="38">
        <f>('Raw Data'!F736+Bill!$P$2)*Bill!$AE734</f>
        <v>0</v>
      </c>
      <c r="Q734" s="38">
        <f>Bill!$Z734*('Raw Data'!$E736+$Q$2)</f>
        <v>0</v>
      </c>
      <c r="R734" s="38">
        <f>('Raw Data'!F736+Bill!$R$2)*Bill!$AF734</f>
        <v>0</v>
      </c>
      <c r="S734" s="48">
        <f>('Raw Data'!G736/100)*Bill!$AG734</f>
        <v>0</v>
      </c>
      <c r="T734" s="38">
        <f>SUM(Bill!$L734:$R734)</f>
        <v>0</v>
      </c>
      <c r="U734" s="53"/>
      <c r="V734" s="50"/>
      <c r="W734" s="38">
        <f>Bill!$U734-Bill!$T734</f>
        <v>0</v>
      </c>
      <c r="Y734" s="37">
        <f>'Raw Data'!D736</f>
        <v>46292</v>
      </c>
      <c r="Z734" s="47">
        <v>0.0</v>
      </c>
      <c r="AA734" s="47"/>
      <c r="AB734" s="47"/>
      <c r="AC734" s="47"/>
      <c r="AD734" s="47"/>
      <c r="AE734" s="47"/>
      <c r="AF734" s="47"/>
      <c r="AG734" s="47"/>
    </row>
    <row r="735" ht="15.75" customHeight="1">
      <c r="A735" s="35">
        <f>Bill!$Y735</f>
        <v>46293</v>
      </c>
      <c r="B735" s="43">
        <f>'Raw Data'!E737+Bill!$L$2</f>
        <v>20</v>
      </c>
      <c r="C735" s="43">
        <f>'Raw Data'!E737+Bill!$M$2</f>
        <v>25</v>
      </c>
      <c r="D735" s="43">
        <f>('Raw Data'!$F737*2)-10</f>
        <v>-10</v>
      </c>
      <c r="E735" s="43">
        <f>'Raw Data'!F737+Bill!$O$2</f>
        <v>20</v>
      </c>
      <c r="F735" s="43">
        <f>'Raw Data'!F737+Bill!$P$2</f>
        <v>25</v>
      </c>
      <c r="G735" s="43">
        <f>'Raw Data'!E737+Bill!$Q$2</f>
        <v>50</v>
      </c>
      <c r="H735" s="43">
        <f>('Raw Data'!F737+Bill!$R$2)</f>
        <v>20</v>
      </c>
      <c r="I735" s="36">
        <f>'Raw Data'!G737/100</f>
        <v>0</v>
      </c>
      <c r="K735" s="37">
        <f>Bill!$Y735</f>
        <v>46293</v>
      </c>
      <c r="L735" s="38">
        <f>Bill!$AA735*('Raw Data'!$E737+$L$2)</f>
        <v>0</v>
      </c>
      <c r="M735" s="38">
        <f>Bill!$AB735*('Raw Data'!$E737+$M$2)</f>
        <v>0</v>
      </c>
      <c r="N735" s="38">
        <f>(('Raw Data'!$F737 * 2)-10)*Bill!$AC735</f>
        <v>0</v>
      </c>
      <c r="O735" s="38">
        <f>('Raw Data'!F737+Bill!$O$2)*Bill!$AD735</f>
        <v>0</v>
      </c>
      <c r="P735" s="38">
        <f>('Raw Data'!F737+Bill!$P$2)*Bill!$AE735</f>
        <v>0</v>
      </c>
      <c r="Q735" s="38">
        <f>Bill!$Z735*('Raw Data'!$E737+$Q$2)</f>
        <v>0</v>
      </c>
      <c r="R735" s="38">
        <f>('Raw Data'!F737+Bill!$R$2)*Bill!$AF735</f>
        <v>0</v>
      </c>
      <c r="S735" s="48">
        <f>('Raw Data'!G737/100)*Bill!$AG735</f>
        <v>0</v>
      </c>
      <c r="T735" s="38">
        <f>SUM(Bill!$L735:$R735)</f>
        <v>0</v>
      </c>
      <c r="U735" s="53"/>
      <c r="V735" s="50"/>
      <c r="W735" s="38">
        <f>Bill!$U735-Bill!$T735</f>
        <v>0</v>
      </c>
      <c r="Y735" s="37">
        <f>'Raw Data'!D737</f>
        <v>46293</v>
      </c>
      <c r="Z735" s="47">
        <v>0.0</v>
      </c>
      <c r="AA735" s="47"/>
      <c r="AB735" s="47"/>
      <c r="AC735" s="47"/>
      <c r="AD735" s="47"/>
      <c r="AE735" s="47"/>
      <c r="AF735" s="47"/>
      <c r="AG735" s="47"/>
    </row>
    <row r="736" ht="15.75" customHeight="1">
      <c r="A736" s="35">
        <f>Bill!$Y736</f>
        <v>46294</v>
      </c>
      <c r="B736" s="43">
        <f>'Raw Data'!E738+Bill!$L$2</f>
        <v>20</v>
      </c>
      <c r="C736" s="43">
        <f>'Raw Data'!E738+Bill!$M$2</f>
        <v>25</v>
      </c>
      <c r="D736" s="43">
        <f>('Raw Data'!$F738*2)-10</f>
        <v>-10</v>
      </c>
      <c r="E736" s="43">
        <f>'Raw Data'!F738+Bill!$O$2</f>
        <v>20</v>
      </c>
      <c r="F736" s="43">
        <f>'Raw Data'!F738+Bill!$P$2</f>
        <v>25</v>
      </c>
      <c r="G736" s="43">
        <f>'Raw Data'!E738+Bill!$Q$2</f>
        <v>50</v>
      </c>
      <c r="H736" s="43">
        <f>('Raw Data'!F738+Bill!$R$2)</f>
        <v>20</v>
      </c>
      <c r="I736" s="36">
        <f>'Raw Data'!G738/100</f>
        <v>0</v>
      </c>
      <c r="K736" s="37">
        <f>Bill!$Y736</f>
        <v>46294</v>
      </c>
      <c r="L736" s="38">
        <f>Bill!$AA736*('Raw Data'!$E738+$L$2)</f>
        <v>0</v>
      </c>
      <c r="M736" s="38">
        <f>Bill!$AB736*('Raw Data'!$E738+$M$2)</f>
        <v>0</v>
      </c>
      <c r="N736" s="38">
        <f>(('Raw Data'!$F738 * 2)-10)*Bill!$AC736</f>
        <v>0</v>
      </c>
      <c r="O736" s="38">
        <f>('Raw Data'!F738+Bill!$O$2)*Bill!$AD736</f>
        <v>0</v>
      </c>
      <c r="P736" s="38">
        <f>('Raw Data'!F738+Bill!$P$2)*Bill!$AE736</f>
        <v>0</v>
      </c>
      <c r="Q736" s="38">
        <f>Bill!$Z736*('Raw Data'!$E738+$Q$2)</f>
        <v>0</v>
      </c>
      <c r="R736" s="38">
        <f>('Raw Data'!F738+Bill!$R$2)*Bill!$AF736</f>
        <v>0</v>
      </c>
      <c r="S736" s="48">
        <f>('Raw Data'!G738/100)*Bill!$AG736</f>
        <v>0</v>
      </c>
      <c r="T736" s="38">
        <f>SUM(Bill!$L736:$R736)</f>
        <v>0</v>
      </c>
      <c r="U736" s="53"/>
      <c r="V736" s="50"/>
      <c r="W736" s="38">
        <f>Bill!$U736-Bill!$T736</f>
        <v>0</v>
      </c>
      <c r="Y736" s="37">
        <f>'Raw Data'!D738</f>
        <v>46294</v>
      </c>
      <c r="Z736" s="47">
        <v>0.0</v>
      </c>
      <c r="AA736" s="47"/>
      <c r="AB736" s="47"/>
      <c r="AC736" s="47"/>
      <c r="AD736" s="47"/>
      <c r="AE736" s="47"/>
      <c r="AF736" s="47"/>
      <c r="AG736" s="47"/>
    </row>
    <row r="737" ht="15.75" customHeight="1">
      <c r="A737" s="35">
        <f>Bill!$Y737</f>
        <v>46295</v>
      </c>
      <c r="B737" s="43">
        <f>'Raw Data'!E739+Bill!$L$2</f>
        <v>20</v>
      </c>
      <c r="C737" s="43">
        <f>'Raw Data'!E739+Bill!$M$2</f>
        <v>25</v>
      </c>
      <c r="D737" s="43">
        <f>('Raw Data'!$F739*2)-10</f>
        <v>-10</v>
      </c>
      <c r="E737" s="43">
        <f>'Raw Data'!F739+Bill!$O$2</f>
        <v>20</v>
      </c>
      <c r="F737" s="43">
        <f>'Raw Data'!F739+Bill!$P$2</f>
        <v>25</v>
      </c>
      <c r="G737" s="43">
        <f>'Raw Data'!E739+Bill!$Q$2</f>
        <v>50</v>
      </c>
      <c r="H737" s="43">
        <f>('Raw Data'!F739+Bill!$R$2)</f>
        <v>20</v>
      </c>
      <c r="I737" s="36">
        <f>'Raw Data'!G739/100</f>
        <v>0</v>
      </c>
      <c r="K737" s="37">
        <f>Bill!$Y737</f>
        <v>46295</v>
      </c>
      <c r="L737" s="38">
        <f>Bill!$AA737*('Raw Data'!$E739+$L$2)</f>
        <v>0</v>
      </c>
      <c r="M737" s="38">
        <f>Bill!$AB737*('Raw Data'!$E739+$M$2)</f>
        <v>0</v>
      </c>
      <c r="N737" s="38">
        <f>(('Raw Data'!$F739 * 2)-10)*Bill!$AC737</f>
        <v>0</v>
      </c>
      <c r="O737" s="38">
        <f>('Raw Data'!F739+Bill!$O$2)*Bill!$AD737</f>
        <v>0</v>
      </c>
      <c r="P737" s="38">
        <f>('Raw Data'!F739+Bill!$P$2)*Bill!$AE737</f>
        <v>0</v>
      </c>
      <c r="Q737" s="38">
        <f>Bill!$Z737*('Raw Data'!$E739+$Q$2)</f>
        <v>0</v>
      </c>
      <c r="R737" s="38">
        <f>('Raw Data'!F739+Bill!$R$2)*Bill!$AF737</f>
        <v>0</v>
      </c>
      <c r="S737" s="48">
        <f>('Raw Data'!G739/100)*Bill!$AG737</f>
        <v>0</v>
      </c>
      <c r="T737" s="38">
        <f>SUM(Bill!$L737:$R737)</f>
        <v>0</v>
      </c>
      <c r="U737" s="53"/>
      <c r="V737" s="50"/>
      <c r="W737" s="38">
        <f>Bill!$U737-Bill!$T737</f>
        <v>0</v>
      </c>
      <c r="Y737" s="37">
        <f>'Raw Data'!D739</f>
        <v>46295</v>
      </c>
      <c r="Z737" s="47">
        <v>0.0</v>
      </c>
      <c r="AA737" s="47"/>
      <c r="AB737" s="47"/>
      <c r="AC737" s="47"/>
      <c r="AD737" s="47"/>
      <c r="AE737" s="47"/>
      <c r="AF737" s="47"/>
      <c r="AG737" s="47"/>
    </row>
    <row r="738" ht="15.75" customHeight="1">
      <c r="A738" s="35">
        <f>Bill!$Y738</f>
        <v>46296</v>
      </c>
      <c r="B738" s="43">
        <f>'Raw Data'!E740+Bill!$L$2</f>
        <v>20</v>
      </c>
      <c r="C738" s="43">
        <f>'Raw Data'!E740+Bill!$M$2</f>
        <v>25</v>
      </c>
      <c r="D738" s="43">
        <f>('Raw Data'!$F740*2)-10</f>
        <v>-10</v>
      </c>
      <c r="E738" s="43">
        <f>'Raw Data'!F740+Bill!$O$2</f>
        <v>20</v>
      </c>
      <c r="F738" s="43">
        <f>'Raw Data'!F740+Bill!$P$2</f>
        <v>25</v>
      </c>
      <c r="G738" s="43">
        <f>'Raw Data'!E740+Bill!$Q$2</f>
        <v>50</v>
      </c>
      <c r="H738" s="43">
        <f>('Raw Data'!F740+Bill!$R$2)</f>
        <v>20</v>
      </c>
      <c r="I738" s="36">
        <f>'Raw Data'!G740/100</f>
        <v>0</v>
      </c>
      <c r="K738" s="37">
        <f>Bill!$Y738</f>
        <v>46296</v>
      </c>
      <c r="L738" s="38">
        <f>Bill!$AA738*('Raw Data'!$E740+$L$2)</f>
        <v>0</v>
      </c>
      <c r="M738" s="38">
        <f>Bill!$AB738*('Raw Data'!$E740+$M$2)</f>
        <v>0</v>
      </c>
      <c r="N738" s="38">
        <f>(('Raw Data'!$F740 * 2)-10)*Bill!$AC738</f>
        <v>0</v>
      </c>
      <c r="O738" s="38">
        <f>('Raw Data'!F740+Bill!$O$2)*Bill!$AD738</f>
        <v>0</v>
      </c>
      <c r="P738" s="38">
        <f>('Raw Data'!F740+Bill!$P$2)*Bill!$AE738</f>
        <v>0</v>
      </c>
      <c r="Q738" s="38">
        <f>Bill!$Z738*('Raw Data'!$E740+$Q$2)</f>
        <v>0</v>
      </c>
      <c r="R738" s="38">
        <f>('Raw Data'!F740+Bill!$R$2)*Bill!$AF738</f>
        <v>0</v>
      </c>
      <c r="S738" s="48">
        <f>('Raw Data'!G740/100)*Bill!$AG738</f>
        <v>0</v>
      </c>
      <c r="T738" s="38">
        <f>SUM(Bill!$L738:$R738)</f>
        <v>0</v>
      </c>
      <c r="U738" s="53"/>
      <c r="V738" s="50"/>
      <c r="W738" s="38">
        <f>Bill!$U738-Bill!$T738</f>
        <v>0</v>
      </c>
      <c r="Y738" s="37">
        <f>'Raw Data'!D740</f>
        <v>46296</v>
      </c>
      <c r="Z738" s="47">
        <v>0.0</v>
      </c>
      <c r="AA738" s="47"/>
      <c r="AB738" s="47"/>
      <c r="AC738" s="47"/>
      <c r="AD738" s="47"/>
      <c r="AE738" s="47"/>
      <c r="AF738" s="47"/>
      <c r="AG738" s="47"/>
    </row>
    <row r="739" ht="15.75" customHeight="1">
      <c r="A739" s="35">
        <f>Bill!$Y739</f>
        <v>46297</v>
      </c>
      <c r="B739" s="43">
        <f>'Raw Data'!E741+Bill!$L$2</f>
        <v>20</v>
      </c>
      <c r="C739" s="43">
        <f>'Raw Data'!E741+Bill!$M$2</f>
        <v>25</v>
      </c>
      <c r="D739" s="43">
        <f>('Raw Data'!$F741*2)-10</f>
        <v>-10</v>
      </c>
      <c r="E739" s="43">
        <f>'Raw Data'!F741+Bill!$O$2</f>
        <v>20</v>
      </c>
      <c r="F739" s="43">
        <f>'Raw Data'!F741+Bill!$P$2</f>
        <v>25</v>
      </c>
      <c r="G739" s="43">
        <f>'Raw Data'!E741+Bill!$Q$2</f>
        <v>50</v>
      </c>
      <c r="H739" s="43">
        <f>('Raw Data'!F741+Bill!$R$2)</f>
        <v>20</v>
      </c>
      <c r="I739" s="36">
        <f>'Raw Data'!G741/100</f>
        <v>0</v>
      </c>
      <c r="K739" s="37">
        <f>Bill!$Y739</f>
        <v>46297</v>
      </c>
      <c r="L739" s="38">
        <f>Bill!$AA739*('Raw Data'!$E741+$L$2)</f>
        <v>0</v>
      </c>
      <c r="M739" s="38">
        <f>Bill!$AB739*('Raw Data'!$E741+$M$2)</f>
        <v>0</v>
      </c>
      <c r="N739" s="38">
        <f>(('Raw Data'!$F741 * 2)-10)*Bill!$AC739</f>
        <v>0</v>
      </c>
      <c r="O739" s="38">
        <f>('Raw Data'!F741+Bill!$O$2)*Bill!$AD739</f>
        <v>0</v>
      </c>
      <c r="P739" s="38">
        <f>('Raw Data'!F741+Bill!$P$2)*Bill!$AE739</f>
        <v>0</v>
      </c>
      <c r="Q739" s="38">
        <f>Bill!$Z739*('Raw Data'!$E741+$Q$2)</f>
        <v>0</v>
      </c>
      <c r="R739" s="38">
        <f>('Raw Data'!F741+Bill!$R$2)*Bill!$AF739</f>
        <v>0</v>
      </c>
      <c r="S739" s="48">
        <f>('Raw Data'!G741/100)*Bill!$AG739</f>
        <v>0</v>
      </c>
      <c r="T739" s="38">
        <f>SUM(Bill!$L739:$R739)</f>
        <v>0</v>
      </c>
      <c r="U739" s="53"/>
      <c r="V739" s="50"/>
      <c r="W739" s="38">
        <f>Bill!$U739-Bill!$T739</f>
        <v>0</v>
      </c>
      <c r="Y739" s="37">
        <f>'Raw Data'!D741</f>
        <v>46297</v>
      </c>
      <c r="Z739" s="47">
        <v>0.0</v>
      </c>
      <c r="AA739" s="47"/>
      <c r="AB739" s="47"/>
      <c r="AC739" s="47"/>
      <c r="AD739" s="47"/>
      <c r="AE739" s="47"/>
      <c r="AF739" s="47"/>
      <c r="AG739" s="47"/>
    </row>
    <row r="740" ht="15.75" customHeight="1">
      <c r="A740" s="35">
        <f>Bill!$Y740</f>
        <v>46298</v>
      </c>
      <c r="B740" s="43">
        <f>'Raw Data'!E742+Bill!$L$2</f>
        <v>20</v>
      </c>
      <c r="C740" s="43">
        <f>'Raw Data'!E742+Bill!$M$2</f>
        <v>25</v>
      </c>
      <c r="D740" s="43">
        <f>('Raw Data'!$F742*2)-10</f>
        <v>-10</v>
      </c>
      <c r="E740" s="43">
        <f>'Raw Data'!F742+Bill!$O$2</f>
        <v>20</v>
      </c>
      <c r="F740" s="43">
        <f>'Raw Data'!F742+Bill!$P$2</f>
        <v>25</v>
      </c>
      <c r="G740" s="43">
        <f>'Raw Data'!E742+Bill!$Q$2</f>
        <v>50</v>
      </c>
      <c r="H740" s="43">
        <f>('Raw Data'!F742+Bill!$R$2)</f>
        <v>20</v>
      </c>
      <c r="I740" s="36">
        <f>'Raw Data'!G742/100</f>
        <v>0</v>
      </c>
      <c r="K740" s="37">
        <f>Bill!$Y740</f>
        <v>46298</v>
      </c>
      <c r="L740" s="38">
        <f>Bill!$AA740*('Raw Data'!$E742+$L$2)</f>
        <v>0</v>
      </c>
      <c r="M740" s="38">
        <f>Bill!$AB740*('Raw Data'!$E742+$M$2)</f>
        <v>0</v>
      </c>
      <c r="N740" s="38">
        <f>(('Raw Data'!$F742 * 2)-10)*Bill!$AC740</f>
        <v>0</v>
      </c>
      <c r="O740" s="38">
        <f>('Raw Data'!F742+Bill!$O$2)*Bill!$AD740</f>
        <v>0</v>
      </c>
      <c r="P740" s="38">
        <f>('Raw Data'!F742+Bill!$P$2)*Bill!$AE740</f>
        <v>0</v>
      </c>
      <c r="Q740" s="38">
        <f>Bill!$Z740*('Raw Data'!$E742+$Q$2)</f>
        <v>0</v>
      </c>
      <c r="R740" s="38">
        <f>('Raw Data'!F742+Bill!$R$2)*Bill!$AF740</f>
        <v>0</v>
      </c>
      <c r="S740" s="48">
        <f>('Raw Data'!G742/100)*Bill!$AG740</f>
        <v>0</v>
      </c>
      <c r="T740" s="38">
        <f>SUM(Bill!$L740:$R740)</f>
        <v>0</v>
      </c>
      <c r="U740" s="53"/>
      <c r="V740" s="50"/>
      <c r="W740" s="38">
        <f>Bill!$U740-Bill!$T740</f>
        <v>0</v>
      </c>
      <c r="Y740" s="37">
        <f>'Raw Data'!D742</f>
        <v>46298</v>
      </c>
      <c r="Z740" s="47">
        <v>0.0</v>
      </c>
      <c r="AA740" s="47"/>
      <c r="AB740" s="47"/>
      <c r="AC740" s="47"/>
      <c r="AD740" s="47"/>
      <c r="AE740" s="47"/>
      <c r="AF740" s="47"/>
      <c r="AG740" s="47"/>
    </row>
    <row r="741" ht="15.75" customHeight="1">
      <c r="A741" s="35">
        <f>Bill!$Y741</f>
        <v>46299</v>
      </c>
      <c r="B741" s="43">
        <f>'Raw Data'!E743+Bill!$L$2</f>
        <v>20</v>
      </c>
      <c r="C741" s="43">
        <f>'Raw Data'!E743+Bill!$M$2</f>
        <v>25</v>
      </c>
      <c r="D741" s="43">
        <f>('Raw Data'!$F743*2)-10</f>
        <v>-10</v>
      </c>
      <c r="E741" s="43">
        <f>'Raw Data'!F743+Bill!$O$2</f>
        <v>20</v>
      </c>
      <c r="F741" s="43">
        <f>'Raw Data'!F743+Bill!$P$2</f>
        <v>25</v>
      </c>
      <c r="G741" s="43">
        <f>'Raw Data'!E743+Bill!$Q$2</f>
        <v>50</v>
      </c>
      <c r="H741" s="43">
        <f>('Raw Data'!F743+Bill!$R$2)</f>
        <v>20</v>
      </c>
      <c r="I741" s="36">
        <f>'Raw Data'!G743/100</f>
        <v>0</v>
      </c>
      <c r="K741" s="37">
        <f>Bill!$Y741</f>
        <v>46299</v>
      </c>
      <c r="L741" s="38">
        <f>Bill!$AA741*('Raw Data'!$E743+$L$2)</f>
        <v>0</v>
      </c>
      <c r="M741" s="38">
        <f>Bill!$AB741*('Raw Data'!$E743+$M$2)</f>
        <v>0</v>
      </c>
      <c r="N741" s="38">
        <f>(('Raw Data'!$F743 * 2)-10)*Bill!$AC741</f>
        <v>0</v>
      </c>
      <c r="O741" s="38">
        <f>('Raw Data'!F743+Bill!$O$2)*Bill!$AD741</f>
        <v>0</v>
      </c>
      <c r="P741" s="38">
        <f>('Raw Data'!F743+Bill!$P$2)*Bill!$AE741</f>
        <v>0</v>
      </c>
      <c r="Q741" s="38">
        <f>Bill!$Z741*('Raw Data'!$E743+$Q$2)</f>
        <v>0</v>
      </c>
      <c r="R741" s="38">
        <f>('Raw Data'!F743+Bill!$R$2)*Bill!$AF741</f>
        <v>0</v>
      </c>
      <c r="S741" s="48">
        <f>('Raw Data'!G743/100)*Bill!$AG741</f>
        <v>0</v>
      </c>
      <c r="T741" s="38">
        <f>SUM(Bill!$L741:$R741)</f>
        <v>0</v>
      </c>
      <c r="U741" s="53"/>
      <c r="V741" s="50"/>
      <c r="W741" s="38">
        <f>Bill!$U741-Bill!$T741</f>
        <v>0</v>
      </c>
      <c r="Y741" s="37">
        <f>'Raw Data'!D743</f>
        <v>46299</v>
      </c>
      <c r="Z741" s="47">
        <v>0.0</v>
      </c>
      <c r="AA741" s="47"/>
      <c r="AB741" s="47"/>
      <c r="AC741" s="47"/>
      <c r="AD741" s="47"/>
      <c r="AE741" s="47"/>
      <c r="AF741" s="47"/>
      <c r="AG741" s="47"/>
    </row>
    <row r="742" ht="15.75" customHeight="1">
      <c r="A742" s="35">
        <f>Bill!$Y742</f>
        <v>46300</v>
      </c>
      <c r="B742" s="43">
        <f>'Raw Data'!E744+Bill!$L$2</f>
        <v>20</v>
      </c>
      <c r="C742" s="43">
        <f>'Raw Data'!E744+Bill!$M$2</f>
        <v>25</v>
      </c>
      <c r="D742" s="43">
        <f>('Raw Data'!$F744*2)-10</f>
        <v>-10</v>
      </c>
      <c r="E742" s="43">
        <f>'Raw Data'!F744+Bill!$O$2</f>
        <v>20</v>
      </c>
      <c r="F742" s="43">
        <f>'Raw Data'!F744+Bill!$P$2</f>
        <v>25</v>
      </c>
      <c r="G742" s="43">
        <f>'Raw Data'!E744+Bill!$Q$2</f>
        <v>50</v>
      </c>
      <c r="H742" s="43">
        <f>('Raw Data'!F744+Bill!$R$2)</f>
        <v>20</v>
      </c>
      <c r="I742" s="36">
        <f>'Raw Data'!G744/100</f>
        <v>0</v>
      </c>
      <c r="K742" s="37">
        <f>Bill!$Y742</f>
        <v>46300</v>
      </c>
      <c r="L742" s="38">
        <f>Bill!$AA742*('Raw Data'!$E744+$L$2)</f>
        <v>0</v>
      </c>
      <c r="M742" s="38">
        <f>Bill!$AB742*('Raw Data'!$E744+$M$2)</f>
        <v>0</v>
      </c>
      <c r="N742" s="38">
        <f>(('Raw Data'!$F744 * 2)-10)*Bill!$AC742</f>
        <v>0</v>
      </c>
      <c r="O742" s="38">
        <f>('Raw Data'!F744+Bill!$O$2)*Bill!$AD742</f>
        <v>0</v>
      </c>
      <c r="P742" s="38">
        <f>('Raw Data'!F744+Bill!$P$2)*Bill!$AE742</f>
        <v>0</v>
      </c>
      <c r="Q742" s="38">
        <f>Bill!$Z742*('Raw Data'!$E744+$Q$2)</f>
        <v>0</v>
      </c>
      <c r="R742" s="38">
        <f>('Raw Data'!F744+Bill!$R$2)*Bill!$AF742</f>
        <v>0</v>
      </c>
      <c r="S742" s="48">
        <f>('Raw Data'!G744/100)*Bill!$AG742</f>
        <v>0</v>
      </c>
      <c r="T742" s="38">
        <f>SUM(Bill!$L742:$R742)</f>
        <v>0</v>
      </c>
      <c r="U742" s="53"/>
      <c r="V742" s="50"/>
      <c r="W742" s="38">
        <f>Bill!$U742-Bill!$T742</f>
        <v>0</v>
      </c>
      <c r="Y742" s="37">
        <f>'Raw Data'!D744</f>
        <v>46300</v>
      </c>
      <c r="Z742" s="47">
        <v>0.0</v>
      </c>
      <c r="AA742" s="47"/>
      <c r="AB742" s="47"/>
      <c r="AC742" s="47"/>
      <c r="AD742" s="47"/>
      <c r="AE742" s="47"/>
      <c r="AF742" s="47"/>
      <c r="AG742" s="47"/>
    </row>
    <row r="743" ht="15.75" customHeight="1">
      <c r="A743" s="35">
        <f>Bill!$Y743</f>
        <v>46301</v>
      </c>
      <c r="B743" s="43">
        <f>'Raw Data'!E745+Bill!$L$2</f>
        <v>20</v>
      </c>
      <c r="C743" s="43">
        <f>'Raw Data'!E745+Bill!$M$2</f>
        <v>25</v>
      </c>
      <c r="D743" s="43">
        <f>('Raw Data'!$F745*2)-10</f>
        <v>-10</v>
      </c>
      <c r="E743" s="43">
        <f>'Raw Data'!F745+Bill!$O$2</f>
        <v>20</v>
      </c>
      <c r="F743" s="43">
        <f>'Raw Data'!F745+Bill!$P$2</f>
        <v>25</v>
      </c>
      <c r="G743" s="43">
        <f>'Raw Data'!E745+Bill!$Q$2</f>
        <v>50</v>
      </c>
      <c r="H743" s="43">
        <f>('Raw Data'!F745+Bill!$R$2)</f>
        <v>20</v>
      </c>
      <c r="I743" s="36">
        <f>'Raw Data'!G745/100</f>
        <v>0</v>
      </c>
      <c r="K743" s="37">
        <f>Bill!$Y743</f>
        <v>46301</v>
      </c>
      <c r="L743" s="38">
        <f>Bill!$AA743*('Raw Data'!$E745+$L$2)</f>
        <v>0</v>
      </c>
      <c r="M743" s="38">
        <f>Bill!$AB743*('Raw Data'!$E745+$M$2)</f>
        <v>0</v>
      </c>
      <c r="N743" s="38">
        <f>(('Raw Data'!$F745 * 2)-10)*Bill!$AC743</f>
        <v>0</v>
      </c>
      <c r="O743" s="38">
        <f>('Raw Data'!F745+Bill!$O$2)*Bill!$AD743</f>
        <v>0</v>
      </c>
      <c r="P743" s="38">
        <f>('Raw Data'!F745+Bill!$P$2)*Bill!$AE743</f>
        <v>0</v>
      </c>
      <c r="Q743" s="38">
        <f>Bill!$Z743*('Raw Data'!$E745+$Q$2)</f>
        <v>0</v>
      </c>
      <c r="R743" s="38">
        <f>('Raw Data'!F745+Bill!$R$2)*Bill!$AF743</f>
        <v>0</v>
      </c>
      <c r="S743" s="48">
        <f>('Raw Data'!G745/100)*Bill!$AG743</f>
        <v>0</v>
      </c>
      <c r="T743" s="38">
        <f>SUM(Bill!$L743:$R743)</f>
        <v>0</v>
      </c>
      <c r="U743" s="53"/>
      <c r="V743" s="50"/>
      <c r="W743" s="38">
        <f>Bill!$U743-Bill!$T743</f>
        <v>0</v>
      </c>
      <c r="Y743" s="37">
        <f>'Raw Data'!D745</f>
        <v>46301</v>
      </c>
      <c r="Z743" s="47">
        <v>0.0</v>
      </c>
      <c r="AA743" s="47"/>
      <c r="AB743" s="47"/>
      <c r="AC743" s="47"/>
      <c r="AD743" s="47"/>
      <c r="AE743" s="47"/>
      <c r="AF743" s="47"/>
      <c r="AG743" s="47"/>
    </row>
    <row r="744" ht="15.75" customHeight="1">
      <c r="A744" s="35">
        <f>Bill!$Y744</f>
        <v>46302</v>
      </c>
      <c r="B744" s="43">
        <f>'Raw Data'!E746+Bill!$L$2</f>
        <v>20</v>
      </c>
      <c r="C744" s="43">
        <f>'Raw Data'!E746+Bill!$M$2</f>
        <v>25</v>
      </c>
      <c r="D744" s="43">
        <f>('Raw Data'!$F746*2)-10</f>
        <v>-10</v>
      </c>
      <c r="E744" s="43">
        <f>'Raw Data'!F746+Bill!$O$2</f>
        <v>20</v>
      </c>
      <c r="F744" s="43">
        <f>'Raw Data'!F746+Bill!$P$2</f>
        <v>25</v>
      </c>
      <c r="G744" s="43">
        <f>'Raw Data'!E746+Bill!$Q$2</f>
        <v>50</v>
      </c>
      <c r="H744" s="43">
        <f>('Raw Data'!F746+Bill!$R$2)</f>
        <v>20</v>
      </c>
      <c r="I744" s="36">
        <f>'Raw Data'!G746/100</f>
        <v>0</v>
      </c>
      <c r="K744" s="37">
        <f>Bill!$Y744</f>
        <v>46302</v>
      </c>
      <c r="L744" s="38">
        <f>Bill!$AA744*('Raw Data'!$E746+$L$2)</f>
        <v>0</v>
      </c>
      <c r="M744" s="38">
        <f>Bill!$AB744*('Raw Data'!$E746+$M$2)</f>
        <v>0</v>
      </c>
      <c r="N744" s="38">
        <f>(('Raw Data'!$F746 * 2)-10)*Bill!$AC744</f>
        <v>0</v>
      </c>
      <c r="O744" s="38">
        <f>('Raw Data'!F746+Bill!$O$2)*Bill!$AD744</f>
        <v>0</v>
      </c>
      <c r="P744" s="38">
        <f>('Raw Data'!F746+Bill!$P$2)*Bill!$AE744</f>
        <v>0</v>
      </c>
      <c r="Q744" s="38">
        <f>Bill!$Z744*('Raw Data'!$E746+$Q$2)</f>
        <v>0</v>
      </c>
      <c r="R744" s="38">
        <f>('Raw Data'!F746+Bill!$R$2)*Bill!$AF744</f>
        <v>0</v>
      </c>
      <c r="S744" s="48">
        <f>('Raw Data'!G746/100)*Bill!$AG744</f>
        <v>0</v>
      </c>
      <c r="T744" s="38">
        <f>SUM(Bill!$L744:$R744)</f>
        <v>0</v>
      </c>
      <c r="U744" s="53"/>
      <c r="V744" s="50"/>
      <c r="W744" s="38">
        <f>Bill!$U744-Bill!$T744</f>
        <v>0</v>
      </c>
      <c r="Y744" s="37">
        <f>'Raw Data'!D746</f>
        <v>46302</v>
      </c>
      <c r="Z744" s="47">
        <v>0.0</v>
      </c>
      <c r="AA744" s="47"/>
      <c r="AB744" s="47"/>
      <c r="AC744" s="47"/>
      <c r="AD744" s="47"/>
      <c r="AE744" s="47"/>
      <c r="AF744" s="47"/>
      <c r="AG744" s="47"/>
    </row>
    <row r="745" ht="15.75" customHeight="1">
      <c r="A745" s="35">
        <f>Bill!$Y745</f>
        <v>46303</v>
      </c>
      <c r="B745" s="43">
        <f>'Raw Data'!E747+Bill!$L$2</f>
        <v>20</v>
      </c>
      <c r="C745" s="43">
        <f>'Raw Data'!E747+Bill!$M$2</f>
        <v>25</v>
      </c>
      <c r="D745" s="43">
        <f>('Raw Data'!$F747*2)-10</f>
        <v>-10</v>
      </c>
      <c r="E745" s="43">
        <f>'Raw Data'!F747+Bill!$O$2</f>
        <v>20</v>
      </c>
      <c r="F745" s="43">
        <f>'Raw Data'!F747+Bill!$P$2</f>
        <v>25</v>
      </c>
      <c r="G745" s="43">
        <f>'Raw Data'!E747+Bill!$Q$2</f>
        <v>50</v>
      </c>
      <c r="H745" s="43">
        <f>('Raw Data'!F747+Bill!$R$2)</f>
        <v>20</v>
      </c>
      <c r="I745" s="36">
        <f>'Raw Data'!G747/100</f>
        <v>0</v>
      </c>
      <c r="K745" s="37">
        <f>Bill!$Y745</f>
        <v>46303</v>
      </c>
      <c r="L745" s="38">
        <f>Bill!$AA745*('Raw Data'!$E747+$L$2)</f>
        <v>0</v>
      </c>
      <c r="M745" s="38">
        <f>Bill!$AB745*('Raw Data'!$E747+$M$2)</f>
        <v>0</v>
      </c>
      <c r="N745" s="38">
        <f>(('Raw Data'!$F747 * 2)-10)*Bill!$AC745</f>
        <v>0</v>
      </c>
      <c r="O745" s="38">
        <f>('Raw Data'!F747+Bill!$O$2)*Bill!$AD745</f>
        <v>0</v>
      </c>
      <c r="P745" s="38">
        <f>('Raw Data'!F747+Bill!$P$2)*Bill!$AE745</f>
        <v>0</v>
      </c>
      <c r="Q745" s="38">
        <f>Bill!$Z745*('Raw Data'!$E747+$Q$2)</f>
        <v>0</v>
      </c>
      <c r="R745" s="38">
        <f>('Raw Data'!F747+Bill!$R$2)*Bill!$AF745</f>
        <v>0</v>
      </c>
      <c r="S745" s="48">
        <f>('Raw Data'!G747/100)*Bill!$AG745</f>
        <v>0</v>
      </c>
      <c r="T745" s="38">
        <f>SUM(Bill!$L745:$R745)</f>
        <v>0</v>
      </c>
      <c r="U745" s="53"/>
      <c r="V745" s="50"/>
      <c r="W745" s="38">
        <f>Bill!$U745-Bill!$T745</f>
        <v>0</v>
      </c>
      <c r="Y745" s="37">
        <f>'Raw Data'!D747</f>
        <v>46303</v>
      </c>
      <c r="Z745" s="47">
        <v>0.0</v>
      </c>
      <c r="AA745" s="47"/>
      <c r="AB745" s="47"/>
      <c r="AC745" s="47"/>
      <c r="AD745" s="47"/>
      <c r="AE745" s="47"/>
      <c r="AF745" s="47"/>
      <c r="AG745" s="47"/>
    </row>
    <row r="746" ht="15.75" customHeight="1">
      <c r="A746" s="35">
        <f>Bill!$Y746</f>
        <v>46304</v>
      </c>
      <c r="B746" s="43">
        <f>'Raw Data'!E748+Bill!$L$2</f>
        <v>20</v>
      </c>
      <c r="C746" s="43">
        <f>'Raw Data'!E748+Bill!$M$2</f>
        <v>25</v>
      </c>
      <c r="D746" s="43">
        <f>('Raw Data'!$F748*2)-10</f>
        <v>-10</v>
      </c>
      <c r="E746" s="43">
        <f>'Raw Data'!F748+Bill!$O$2</f>
        <v>20</v>
      </c>
      <c r="F746" s="43">
        <f>'Raw Data'!F748+Bill!$P$2</f>
        <v>25</v>
      </c>
      <c r="G746" s="43">
        <f>'Raw Data'!E748+Bill!$Q$2</f>
        <v>50</v>
      </c>
      <c r="H746" s="43">
        <f>('Raw Data'!F748+Bill!$R$2)</f>
        <v>20</v>
      </c>
      <c r="I746" s="36">
        <f>'Raw Data'!G748/100</f>
        <v>0</v>
      </c>
      <c r="K746" s="37">
        <f>Bill!$Y746</f>
        <v>46304</v>
      </c>
      <c r="L746" s="38">
        <f>Bill!$AA746*('Raw Data'!$E748+$L$2)</f>
        <v>0</v>
      </c>
      <c r="M746" s="38">
        <f>Bill!$AB746*('Raw Data'!$E748+$M$2)</f>
        <v>0</v>
      </c>
      <c r="N746" s="38">
        <f>(('Raw Data'!$F748 * 2)-10)*Bill!$AC746</f>
        <v>0</v>
      </c>
      <c r="O746" s="38">
        <f>('Raw Data'!F748+Bill!$O$2)*Bill!$AD746</f>
        <v>0</v>
      </c>
      <c r="P746" s="38">
        <f>('Raw Data'!F748+Bill!$P$2)*Bill!$AE746</f>
        <v>0</v>
      </c>
      <c r="Q746" s="38">
        <f>Bill!$Z746*('Raw Data'!$E748+$Q$2)</f>
        <v>0</v>
      </c>
      <c r="R746" s="38">
        <f>('Raw Data'!F748+Bill!$R$2)*Bill!$AF746</f>
        <v>0</v>
      </c>
      <c r="S746" s="48">
        <f>('Raw Data'!G748/100)*Bill!$AG746</f>
        <v>0</v>
      </c>
      <c r="T746" s="38">
        <f>SUM(Bill!$L746:$R746)</f>
        <v>0</v>
      </c>
      <c r="U746" s="53"/>
      <c r="V746" s="50"/>
      <c r="W746" s="38">
        <f>Bill!$U746-Bill!$T746</f>
        <v>0</v>
      </c>
      <c r="Y746" s="37">
        <f>'Raw Data'!D748</f>
        <v>46304</v>
      </c>
      <c r="Z746" s="47">
        <v>0.0</v>
      </c>
      <c r="AA746" s="47"/>
      <c r="AB746" s="47"/>
      <c r="AC746" s="47"/>
      <c r="AD746" s="47"/>
      <c r="AE746" s="47"/>
      <c r="AF746" s="47"/>
      <c r="AG746" s="47"/>
    </row>
    <row r="747" ht="15.75" customHeight="1">
      <c r="A747" s="35">
        <f>Bill!$Y747</f>
        <v>46305</v>
      </c>
      <c r="B747" s="43">
        <f>'Raw Data'!E749+Bill!$L$2</f>
        <v>20</v>
      </c>
      <c r="C747" s="43">
        <f>'Raw Data'!E749+Bill!$M$2</f>
        <v>25</v>
      </c>
      <c r="D747" s="43">
        <f>('Raw Data'!$F749*2)-10</f>
        <v>-10</v>
      </c>
      <c r="E747" s="43">
        <f>'Raw Data'!F749+Bill!$O$2</f>
        <v>20</v>
      </c>
      <c r="F747" s="43">
        <f>'Raw Data'!F749+Bill!$P$2</f>
        <v>25</v>
      </c>
      <c r="G747" s="43">
        <f>'Raw Data'!E749+Bill!$Q$2</f>
        <v>50</v>
      </c>
      <c r="H747" s="43">
        <f>('Raw Data'!F749+Bill!$R$2)</f>
        <v>20</v>
      </c>
      <c r="I747" s="36">
        <f>'Raw Data'!G749/100</f>
        <v>0</v>
      </c>
      <c r="K747" s="37">
        <f>Bill!$Y747</f>
        <v>46305</v>
      </c>
      <c r="L747" s="38">
        <f>Bill!$AA747*('Raw Data'!$E749+$L$2)</f>
        <v>0</v>
      </c>
      <c r="M747" s="38">
        <f>Bill!$AB747*('Raw Data'!$E749+$M$2)</f>
        <v>0</v>
      </c>
      <c r="N747" s="38">
        <f>(('Raw Data'!$F749 * 2)-10)*Bill!$AC747</f>
        <v>0</v>
      </c>
      <c r="O747" s="38">
        <f>('Raw Data'!F749+Bill!$O$2)*Bill!$AD747</f>
        <v>0</v>
      </c>
      <c r="P747" s="38">
        <f>('Raw Data'!F749+Bill!$P$2)*Bill!$AE747</f>
        <v>0</v>
      </c>
      <c r="Q747" s="38">
        <f>Bill!$Z747*('Raw Data'!$E749+$Q$2)</f>
        <v>0</v>
      </c>
      <c r="R747" s="38">
        <f>('Raw Data'!F749+Bill!$R$2)*Bill!$AF747</f>
        <v>0</v>
      </c>
      <c r="S747" s="48">
        <f>('Raw Data'!G749/100)*Bill!$AG747</f>
        <v>0</v>
      </c>
      <c r="T747" s="38">
        <f>SUM(Bill!$L747:$R747)</f>
        <v>0</v>
      </c>
      <c r="U747" s="53"/>
      <c r="V747" s="50"/>
      <c r="W747" s="38">
        <f>Bill!$U747-Bill!$T747</f>
        <v>0</v>
      </c>
      <c r="Y747" s="37">
        <f>'Raw Data'!D749</f>
        <v>46305</v>
      </c>
      <c r="Z747" s="47">
        <v>0.0</v>
      </c>
      <c r="AA747" s="47"/>
      <c r="AB747" s="47"/>
      <c r="AC747" s="47"/>
      <c r="AD747" s="47"/>
      <c r="AE747" s="47"/>
      <c r="AF747" s="47"/>
      <c r="AG747" s="47"/>
    </row>
    <row r="748" ht="15.75" customHeight="1">
      <c r="A748" s="35">
        <f>Bill!$Y748</f>
        <v>46306</v>
      </c>
      <c r="B748" s="43">
        <f>'Raw Data'!E750+Bill!$L$2</f>
        <v>20</v>
      </c>
      <c r="C748" s="43">
        <f>'Raw Data'!E750+Bill!$M$2</f>
        <v>25</v>
      </c>
      <c r="D748" s="43">
        <f>('Raw Data'!$F750*2)-10</f>
        <v>-10</v>
      </c>
      <c r="E748" s="43">
        <f>'Raw Data'!F750+Bill!$O$2</f>
        <v>20</v>
      </c>
      <c r="F748" s="43">
        <f>'Raw Data'!F750+Bill!$P$2</f>
        <v>25</v>
      </c>
      <c r="G748" s="43">
        <f>'Raw Data'!E750+Bill!$Q$2</f>
        <v>50</v>
      </c>
      <c r="H748" s="43">
        <f>('Raw Data'!F750+Bill!$R$2)</f>
        <v>20</v>
      </c>
      <c r="I748" s="36">
        <f>'Raw Data'!G750/100</f>
        <v>0</v>
      </c>
      <c r="K748" s="37">
        <f>Bill!$Y748</f>
        <v>46306</v>
      </c>
      <c r="L748" s="38">
        <f>Bill!$AA748*('Raw Data'!$E750+$L$2)</f>
        <v>0</v>
      </c>
      <c r="M748" s="38">
        <f>Bill!$AB748*('Raw Data'!$E750+$M$2)</f>
        <v>0</v>
      </c>
      <c r="N748" s="38">
        <f>(('Raw Data'!$F750 * 2)-10)*Bill!$AC748</f>
        <v>0</v>
      </c>
      <c r="O748" s="38">
        <f>('Raw Data'!F750+Bill!$O$2)*Bill!$AD748</f>
        <v>0</v>
      </c>
      <c r="P748" s="38">
        <f>('Raw Data'!F750+Bill!$P$2)*Bill!$AE748</f>
        <v>0</v>
      </c>
      <c r="Q748" s="38">
        <f>Bill!$Z748*('Raw Data'!$E750+$Q$2)</f>
        <v>0</v>
      </c>
      <c r="R748" s="38">
        <f>('Raw Data'!F750+Bill!$R$2)*Bill!$AF748</f>
        <v>0</v>
      </c>
      <c r="S748" s="48">
        <f>('Raw Data'!G750/100)*Bill!$AG748</f>
        <v>0</v>
      </c>
      <c r="T748" s="38">
        <f>SUM(Bill!$L748:$R748)</f>
        <v>0</v>
      </c>
      <c r="U748" s="53"/>
      <c r="V748" s="50"/>
      <c r="W748" s="38">
        <f>Bill!$U748-Bill!$T748</f>
        <v>0</v>
      </c>
      <c r="Y748" s="37">
        <f>'Raw Data'!D750</f>
        <v>46306</v>
      </c>
      <c r="Z748" s="47">
        <v>0.0</v>
      </c>
      <c r="AA748" s="47"/>
      <c r="AB748" s="47"/>
      <c r="AC748" s="47"/>
      <c r="AD748" s="47"/>
      <c r="AE748" s="47"/>
      <c r="AF748" s="47"/>
      <c r="AG748" s="47"/>
    </row>
    <row r="749" ht="15.75" customHeight="1">
      <c r="A749" s="35">
        <f>Bill!$Y749</f>
        <v>46307</v>
      </c>
      <c r="B749" s="43">
        <f>'Raw Data'!E751+Bill!$L$2</f>
        <v>20</v>
      </c>
      <c r="C749" s="43">
        <f>'Raw Data'!E751+Bill!$M$2</f>
        <v>25</v>
      </c>
      <c r="D749" s="43">
        <f>('Raw Data'!$F751*2)-10</f>
        <v>-10</v>
      </c>
      <c r="E749" s="43">
        <f>'Raw Data'!F751+Bill!$O$2</f>
        <v>20</v>
      </c>
      <c r="F749" s="43">
        <f>'Raw Data'!F751+Bill!$P$2</f>
        <v>25</v>
      </c>
      <c r="G749" s="43">
        <f>'Raw Data'!E751+Bill!$Q$2</f>
        <v>50</v>
      </c>
      <c r="H749" s="43">
        <f>('Raw Data'!F751+Bill!$R$2)</f>
        <v>20</v>
      </c>
      <c r="I749" s="36">
        <f>'Raw Data'!G751/100</f>
        <v>0</v>
      </c>
      <c r="K749" s="37">
        <f>Bill!$Y749</f>
        <v>46307</v>
      </c>
      <c r="L749" s="38">
        <f>Bill!$AA749*('Raw Data'!$E751+$L$2)</f>
        <v>0</v>
      </c>
      <c r="M749" s="38">
        <f>Bill!$AB749*('Raw Data'!$E751+$M$2)</f>
        <v>0</v>
      </c>
      <c r="N749" s="38">
        <f>(('Raw Data'!$F751 * 2)-10)*Bill!$AC749</f>
        <v>0</v>
      </c>
      <c r="O749" s="38">
        <f>('Raw Data'!F751+Bill!$O$2)*Bill!$AD749</f>
        <v>0</v>
      </c>
      <c r="P749" s="38">
        <f>('Raw Data'!F751+Bill!$P$2)*Bill!$AE749</f>
        <v>0</v>
      </c>
      <c r="Q749" s="38">
        <f>Bill!$Z749*('Raw Data'!$E751+$Q$2)</f>
        <v>0</v>
      </c>
      <c r="R749" s="38">
        <f>('Raw Data'!F751+Bill!$R$2)*Bill!$AF749</f>
        <v>0</v>
      </c>
      <c r="S749" s="48">
        <f>('Raw Data'!G751/100)*Bill!$AG749</f>
        <v>0</v>
      </c>
      <c r="T749" s="38">
        <f>SUM(Bill!$L749:$R749)</f>
        <v>0</v>
      </c>
      <c r="U749" s="53"/>
      <c r="V749" s="50"/>
      <c r="W749" s="38">
        <f>Bill!$U749-Bill!$T749</f>
        <v>0</v>
      </c>
      <c r="Y749" s="37">
        <f>'Raw Data'!D751</f>
        <v>46307</v>
      </c>
      <c r="Z749" s="47">
        <v>0.0</v>
      </c>
      <c r="AA749" s="47"/>
      <c r="AB749" s="47"/>
      <c r="AC749" s="47"/>
      <c r="AD749" s="47"/>
      <c r="AE749" s="47"/>
      <c r="AF749" s="47"/>
      <c r="AG749" s="47"/>
    </row>
    <row r="750" ht="15.75" customHeight="1">
      <c r="A750" s="35">
        <f>Bill!$Y750</f>
        <v>46308</v>
      </c>
      <c r="B750" s="43">
        <f>'Raw Data'!E752+Bill!$L$2</f>
        <v>20</v>
      </c>
      <c r="C750" s="43">
        <f>'Raw Data'!E752+Bill!$M$2</f>
        <v>25</v>
      </c>
      <c r="D750" s="43">
        <f>('Raw Data'!$F752*2)-10</f>
        <v>-10</v>
      </c>
      <c r="E750" s="43">
        <f>'Raw Data'!F752+Bill!$O$2</f>
        <v>20</v>
      </c>
      <c r="F750" s="43">
        <f>'Raw Data'!F752+Bill!$P$2</f>
        <v>25</v>
      </c>
      <c r="G750" s="43">
        <f>'Raw Data'!E752+Bill!$Q$2</f>
        <v>50</v>
      </c>
      <c r="H750" s="43">
        <f>('Raw Data'!F752+Bill!$R$2)</f>
        <v>20</v>
      </c>
      <c r="I750" s="36">
        <f>'Raw Data'!G752/100</f>
        <v>0</v>
      </c>
      <c r="K750" s="37">
        <f>Bill!$Y750</f>
        <v>46308</v>
      </c>
      <c r="L750" s="38">
        <f>Bill!$AA750*('Raw Data'!$E752+$L$2)</f>
        <v>0</v>
      </c>
      <c r="M750" s="38">
        <f>Bill!$AB750*('Raw Data'!$E752+$M$2)</f>
        <v>0</v>
      </c>
      <c r="N750" s="38">
        <f>(('Raw Data'!$F752 * 2)-10)*Bill!$AC750</f>
        <v>0</v>
      </c>
      <c r="O750" s="38">
        <f>('Raw Data'!F752+Bill!$O$2)*Bill!$AD750</f>
        <v>0</v>
      </c>
      <c r="P750" s="38">
        <f>('Raw Data'!F752+Bill!$P$2)*Bill!$AE750</f>
        <v>0</v>
      </c>
      <c r="Q750" s="38">
        <f>Bill!$Z750*('Raw Data'!$E752+$Q$2)</f>
        <v>0</v>
      </c>
      <c r="R750" s="38">
        <f>('Raw Data'!F752+Bill!$R$2)*Bill!$AF750</f>
        <v>0</v>
      </c>
      <c r="S750" s="48">
        <f>('Raw Data'!G752/100)*Bill!$AG750</f>
        <v>0</v>
      </c>
      <c r="T750" s="38">
        <f>SUM(Bill!$L750:$R750)</f>
        <v>0</v>
      </c>
      <c r="U750" s="53"/>
      <c r="V750" s="50"/>
      <c r="W750" s="38">
        <f>Bill!$U750-Bill!$T750</f>
        <v>0</v>
      </c>
      <c r="Y750" s="37">
        <f>'Raw Data'!D752</f>
        <v>46308</v>
      </c>
      <c r="Z750" s="47">
        <v>0.0</v>
      </c>
      <c r="AA750" s="47"/>
      <c r="AB750" s="47"/>
      <c r="AC750" s="47"/>
      <c r="AD750" s="47"/>
      <c r="AE750" s="47"/>
      <c r="AF750" s="47"/>
      <c r="AG750" s="47"/>
    </row>
    <row r="751" ht="15.75" customHeight="1">
      <c r="A751" s="35">
        <f>Bill!$Y751</f>
        <v>46309</v>
      </c>
      <c r="B751" s="43">
        <f>'Raw Data'!E753+Bill!$L$2</f>
        <v>20</v>
      </c>
      <c r="C751" s="43">
        <f>'Raw Data'!E753+Bill!$M$2</f>
        <v>25</v>
      </c>
      <c r="D751" s="43">
        <f>('Raw Data'!$F753*2)-10</f>
        <v>-10</v>
      </c>
      <c r="E751" s="43">
        <f>'Raw Data'!F753+Bill!$O$2</f>
        <v>20</v>
      </c>
      <c r="F751" s="43">
        <f>'Raw Data'!F753+Bill!$P$2</f>
        <v>25</v>
      </c>
      <c r="G751" s="43">
        <f>'Raw Data'!E753+Bill!$Q$2</f>
        <v>50</v>
      </c>
      <c r="H751" s="43">
        <f>('Raw Data'!F753+Bill!$R$2)</f>
        <v>20</v>
      </c>
      <c r="I751" s="36">
        <f>'Raw Data'!G753/100</f>
        <v>0</v>
      </c>
      <c r="K751" s="37">
        <f>Bill!$Y751</f>
        <v>46309</v>
      </c>
      <c r="L751" s="38">
        <f>Bill!$AA751*('Raw Data'!$E753+$L$2)</f>
        <v>0</v>
      </c>
      <c r="M751" s="38">
        <f>Bill!$AB751*('Raw Data'!$E753+$M$2)</f>
        <v>0</v>
      </c>
      <c r="N751" s="38">
        <f>(('Raw Data'!$F753 * 2)-10)*Bill!$AC751</f>
        <v>0</v>
      </c>
      <c r="O751" s="38">
        <f>('Raw Data'!F753+Bill!$O$2)*Bill!$AD751</f>
        <v>0</v>
      </c>
      <c r="P751" s="38">
        <f>('Raw Data'!F753+Bill!$P$2)*Bill!$AE751</f>
        <v>0</v>
      </c>
      <c r="Q751" s="38">
        <f>Bill!$Z751*('Raw Data'!$E753+$Q$2)</f>
        <v>0</v>
      </c>
      <c r="R751" s="38">
        <f>('Raw Data'!F753+Bill!$R$2)*Bill!$AF751</f>
        <v>0</v>
      </c>
      <c r="S751" s="48">
        <f>('Raw Data'!G753/100)*Bill!$AG751</f>
        <v>0</v>
      </c>
      <c r="T751" s="38">
        <f>SUM(Bill!$L751:$R751)</f>
        <v>0</v>
      </c>
      <c r="U751" s="53"/>
      <c r="V751" s="50"/>
      <c r="W751" s="38">
        <f>Bill!$U751-Bill!$T751</f>
        <v>0</v>
      </c>
      <c r="Y751" s="37">
        <f>'Raw Data'!D753</f>
        <v>46309</v>
      </c>
      <c r="Z751" s="47">
        <v>0.0</v>
      </c>
      <c r="AA751" s="47"/>
      <c r="AB751" s="47"/>
      <c r="AC751" s="47"/>
      <c r="AD751" s="47"/>
      <c r="AE751" s="47"/>
      <c r="AF751" s="47"/>
      <c r="AG751" s="47"/>
    </row>
    <row r="752" ht="15.75" customHeight="1">
      <c r="A752" s="35">
        <f>Bill!$Y752</f>
        <v>46310</v>
      </c>
      <c r="B752" s="43">
        <f>'Raw Data'!E754+Bill!$L$2</f>
        <v>20</v>
      </c>
      <c r="C752" s="43">
        <f>'Raw Data'!E754+Bill!$M$2</f>
        <v>25</v>
      </c>
      <c r="D752" s="43">
        <f>('Raw Data'!$F754*2)-10</f>
        <v>-10</v>
      </c>
      <c r="E752" s="43">
        <f>'Raw Data'!F754+Bill!$O$2</f>
        <v>20</v>
      </c>
      <c r="F752" s="43">
        <f>'Raw Data'!F754+Bill!$P$2</f>
        <v>25</v>
      </c>
      <c r="G752" s="43">
        <f>'Raw Data'!E754+Bill!$Q$2</f>
        <v>50</v>
      </c>
      <c r="H752" s="43">
        <f>('Raw Data'!F754+Bill!$R$2)</f>
        <v>20</v>
      </c>
      <c r="I752" s="36">
        <f>'Raw Data'!G754/100</f>
        <v>0</v>
      </c>
      <c r="K752" s="37">
        <f>Bill!$Y752</f>
        <v>46310</v>
      </c>
      <c r="L752" s="38">
        <f>Bill!$AA752*('Raw Data'!$E754+$L$2)</f>
        <v>0</v>
      </c>
      <c r="M752" s="38">
        <f>Bill!$AB752*('Raw Data'!$E754+$M$2)</f>
        <v>0</v>
      </c>
      <c r="N752" s="38">
        <f>(('Raw Data'!$F754 * 2)-10)*Bill!$AC752</f>
        <v>0</v>
      </c>
      <c r="O752" s="38">
        <f>('Raw Data'!F754+Bill!$O$2)*Bill!$AD752</f>
        <v>0</v>
      </c>
      <c r="P752" s="38">
        <f>('Raw Data'!F754+Bill!$P$2)*Bill!$AE752</f>
        <v>0</v>
      </c>
      <c r="Q752" s="38">
        <f>Bill!$Z752*('Raw Data'!$E754+$Q$2)</f>
        <v>0</v>
      </c>
      <c r="R752" s="38">
        <f>('Raw Data'!F754+Bill!$R$2)*Bill!$AF752</f>
        <v>0</v>
      </c>
      <c r="S752" s="48">
        <f>('Raw Data'!G754/100)*Bill!$AG752</f>
        <v>0</v>
      </c>
      <c r="T752" s="38">
        <f>SUM(Bill!$L752:$R752)</f>
        <v>0</v>
      </c>
      <c r="U752" s="53"/>
      <c r="V752" s="50"/>
      <c r="W752" s="38">
        <f>Bill!$U752-Bill!$T752</f>
        <v>0</v>
      </c>
      <c r="Y752" s="37">
        <f>'Raw Data'!D754</f>
        <v>46310</v>
      </c>
      <c r="Z752" s="47">
        <v>0.0</v>
      </c>
      <c r="AA752" s="47"/>
      <c r="AB752" s="47"/>
      <c r="AC752" s="47"/>
      <c r="AD752" s="47"/>
      <c r="AE752" s="47"/>
      <c r="AF752" s="47"/>
      <c r="AG752" s="47"/>
    </row>
    <row r="753" ht="15.75" customHeight="1">
      <c r="A753" s="35">
        <f>Bill!$Y753</f>
        <v>46311</v>
      </c>
      <c r="B753" s="43">
        <f>'Raw Data'!E755+Bill!$L$2</f>
        <v>20</v>
      </c>
      <c r="C753" s="43">
        <f>'Raw Data'!E755+Bill!$M$2</f>
        <v>25</v>
      </c>
      <c r="D753" s="43">
        <f>('Raw Data'!$F755*2)-10</f>
        <v>-10</v>
      </c>
      <c r="E753" s="43">
        <f>'Raw Data'!F755+Bill!$O$2</f>
        <v>20</v>
      </c>
      <c r="F753" s="43">
        <f>'Raw Data'!F755+Bill!$P$2</f>
        <v>25</v>
      </c>
      <c r="G753" s="43">
        <f>'Raw Data'!E755+Bill!$Q$2</f>
        <v>50</v>
      </c>
      <c r="H753" s="43">
        <f>('Raw Data'!F755+Bill!$R$2)</f>
        <v>20</v>
      </c>
      <c r="I753" s="36">
        <f>'Raw Data'!G755/100</f>
        <v>0</v>
      </c>
      <c r="K753" s="37">
        <f>Bill!$Y753</f>
        <v>46311</v>
      </c>
      <c r="L753" s="38">
        <f>Bill!$AA753*('Raw Data'!$E755+$L$2)</f>
        <v>0</v>
      </c>
      <c r="M753" s="38">
        <f>Bill!$AB753*('Raw Data'!$E755+$M$2)</f>
        <v>0</v>
      </c>
      <c r="N753" s="38">
        <f>(('Raw Data'!$F755 * 2)-10)*Bill!$AC753</f>
        <v>0</v>
      </c>
      <c r="O753" s="38">
        <f>('Raw Data'!F755+Bill!$O$2)*Bill!$AD753</f>
        <v>0</v>
      </c>
      <c r="P753" s="38">
        <f>('Raw Data'!F755+Bill!$P$2)*Bill!$AE753</f>
        <v>0</v>
      </c>
      <c r="Q753" s="38">
        <f>Bill!$Z753*('Raw Data'!$E755+$Q$2)</f>
        <v>0</v>
      </c>
      <c r="R753" s="38">
        <f>('Raw Data'!F755+Bill!$R$2)*Bill!$AF753</f>
        <v>0</v>
      </c>
      <c r="S753" s="48">
        <f>('Raw Data'!G755/100)*Bill!$AG753</f>
        <v>0</v>
      </c>
      <c r="T753" s="38">
        <f>SUM(Bill!$L753:$R753)</f>
        <v>0</v>
      </c>
      <c r="U753" s="53"/>
      <c r="V753" s="50"/>
      <c r="W753" s="38">
        <f>Bill!$U753-Bill!$T753</f>
        <v>0</v>
      </c>
      <c r="Y753" s="37">
        <f>'Raw Data'!D755</f>
        <v>46311</v>
      </c>
      <c r="Z753" s="47">
        <v>0.0</v>
      </c>
      <c r="AA753" s="47"/>
      <c r="AB753" s="47"/>
      <c r="AC753" s="47"/>
      <c r="AD753" s="47"/>
      <c r="AE753" s="47"/>
      <c r="AF753" s="47"/>
      <c r="AG753" s="47"/>
    </row>
    <row r="754" ht="15.75" customHeight="1">
      <c r="A754" s="35">
        <f>Bill!$Y754</f>
        <v>46312</v>
      </c>
      <c r="B754" s="43">
        <f>'Raw Data'!E756+Bill!$L$2</f>
        <v>20</v>
      </c>
      <c r="C754" s="43">
        <f>'Raw Data'!E756+Bill!$M$2</f>
        <v>25</v>
      </c>
      <c r="D754" s="43">
        <f>('Raw Data'!$F756*2)-10</f>
        <v>-10</v>
      </c>
      <c r="E754" s="43">
        <f>'Raw Data'!F756+Bill!$O$2</f>
        <v>20</v>
      </c>
      <c r="F754" s="43">
        <f>'Raw Data'!F756+Bill!$P$2</f>
        <v>25</v>
      </c>
      <c r="G754" s="43">
        <f>'Raw Data'!E756+Bill!$Q$2</f>
        <v>50</v>
      </c>
      <c r="H754" s="43">
        <f>('Raw Data'!F756+Bill!$R$2)</f>
        <v>20</v>
      </c>
      <c r="I754" s="36">
        <f>'Raw Data'!G756/100</f>
        <v>0</v>
      </c>
      <c r="K754" s="37">
        <f>Bill!$Y754</f>
        <v>46312</v>
      </c>
      <c r="L754" s="38">
        <f>Bill!$AA754*('Raw Data'!$E756+$L$2)</f>
        <v>0</v>
      </c>
      <c r="M754" s="38">
        <f>Bill!$AB754*('Raw Data'!$E756+$M$2)</f>
        <v>0</v>
      </c>
      <c r="N754" s="38">
        <f>(('Raw Data'!$F756 * 2)-10)*Bill!$AC754</f>
        <v>0</v>
      </c>
      <c r="O754" s="38">
        <f>('Raw Data'!F756+Bill!$O$2)*Bill!$AD754</f>
        <v>0</v>
      </c>
      <c r="P754" s="38">
        <f>('Raw Data'!F756+Bill!$P$2)*Bill!$AE754</f>
        <v>0</v>
      </c>
      <c r="Q754" s="38">
        <f>Bill!$Z754*('Raw Data'!$E756+$Q$2)</f>
        <v>0</v>
      </c>
      <c r="R754" s="38">
        <f>('Raw Data'!F756+Bill!$R$2)*Bill!$AF754</f>
        <v>0</v>
      </c>
      <c r="S754" s="48">
        <f>('Raw Data'!G756/100)*Bill!$AG754</f>
        <v>0</v>
      </c>
      <c r="T754" s="38">
        <f>SUM(Bill!$L754:$R754)</f>
        <v>0</v>
      </c>
      <c r="U754" s="53"/>
      <c r="V754" s="50"/>
      <c r="W754" s="38">
        <f>Bill!$U754-Bill!$T754</f>
        <v>0</v>
      </c>
      <c r="Y754" s="37">
        <f>'Raw Data'!D756</f>
        <v>46312</v>
      </c>
      <c r="Z754" s="47">
        <v>0.0</v>
      </c>
      <c r="AA754" s="47"/>
      <c r="AB754" s="47"/>
      <c r="AC754" s="47"/>
      <c r="AD754" s="47"/>
      <c r="AE754" s="47"/>
      <c r="AF754" s="47"/>
      <c r="AG754" s="47"/>
    </row>
    <row r="755" ht="15.75" customHeight="1">
      <c r="A755" s="35">
        <f>Bill!$Y755</f>
        <v>46313</v>
      </c>
      <c r="B755" s="43">
        <f>'Raw Data'!E757+Bill!$L$2</f>
        <v>20</v>
      </c>
      <c r="C755" s="43">
        <f>'Raw Data'!E757+Bill!$M$2</f>
        <v>25</v>
      </c>
      <c r="D755" s="43">
        <f>('Raw Data'!$F757*2)-10</f>
        <v>-10</v>
      </c>
      <c r="E755" s="43">
        <f>'Raw Data'!F757+Bill!$O$2</f>
        <v>20</v>
      </c>
      <c r="F755" s="43">
        <f>'Raw Data'!F757+Bill!$P$2</f>
        <v>25</v>
      </c>
      <c r="G755" s="43">
        <f>'Raw Data'!E757+Bill!$Q$2</f>
        <v>50</v>
      </c>
      <c r="H755" s="43">
        <f>('Raw Data'!F757+Bill!$R$2)</f>
        <v>20</v>
      </c>
      <c r="I755" s="36">
        <f>'Raw Data'!G757/100</f>
        <v>0</v>
      </c>
      <c r="K755" s="37">
        <f>Bill!$Y755</f>
        <v>46313</v>
      </c>
      <c r="L755" s="38">
        <f>Bill!$AA755*('Raw Data'!$E757+$L$2)</f>
        <v>0</v>
      </c>
      <c r="M755" s="38">
        <f>Bill!$AB755*('Raw Data'!$E757+$M$2)</f>
        <v>0</v>
      </c>
      <c r="N755" s="38">
        <f>(('Raw Data'!$F757 * 2)-10)*Bill!$AC755</f>
        <v>0</v>
      </c>
      <c r="O755" s="38">
        <f>('Raw Data'!F757+Bill!$O$2)*Bill!$AD755</f>
        <v>0</v>
      </c>
      <c r="P755" s="38">
        <f>('Raw Data'!F757+Bill!$P$2)*Bill!$AE755</f>
        <v>0</v>
      </c>
      <c r="Q755" s="38">
        <f>Bill!$Z755*('Raw Data'!$E757+$Q$2)</f>
        <v>0</v>
      </c>
      <c r="R755" s="38">
        <f>('Raw Data'!F757+Bill!$R$2)*Bill!$AF755</f>
        <v>0</v>
      </c>
      <c r="S755" s="48">
        <f>('Raw Data'!G757/100)*Bill!$AG755</f>
        <v>0</v>
      </c>
      <c r="T755" s="38">
        <f>SUM(Bill!$L755:$R755)</f>
        <v>0</v>
      </c>
      <c r="U755" s="53"/>
      <c r="V755" s="50"/>
      <c r="W755" s="38">
        <f>Bill!$U755-Bill!$T755</f>
        <v>0</v>
      </c>
      <c r="Y755" s="37">
        <f>'Raw Data'!D757</f>
        <v>46313</v>
      </c>
      <c r="Z755" s="47">
        <v>0.0</v>
      </c>
      <c r="AA755" s="47"/>
      <c r="AB755" s="47"/>
      <c r="AC755" s="47"/>
      <c r="AD755" s="47"/>
      <c r="AE755" s="47"/>
      <c r="AF755" s="47"/>
      <c r="AG755" s="47"/>
    </row>
    <row r="756" ht="15.75" customHeight="1">
      <c r="A756" s="35">
        <f>Bill!$Y756</f>
        <v>46314</v>
      </c>
      <c r="B756" s="43">
        <f>'Raw Data'!E758+Bill!$L$2</f>
        <v>20</v>
      </c>
      <c r="C756" s="43">
        <f>'Raw Data'!E758+Bill!$M$2</f>
        <v>25</v>
      </c>
      <c r="D756" s="43">
        <f>('Raw Data'!$F758*2)-10</f>
        <v>-10</v>
      </c>
      <c r="E756" s="43">
        <f>'Raw Data'!F758+Bill!$O$2</f>
        <v>20</v>
      </c>
      <c r="F756" s="43">
        <f>'Raw Data'!F758+Bill!$P$2</f>
        <v>25</v>
      </c>
      <c r="G756" s="43">
        <f>'Raw Data'!E758+Bill!$Q$2</f>
        <v>50</v>
      </c>
      <c r="H756" s="43">
        <f>('Raw Data'!F758+Bill!$R$2)</f>
        <v>20</v>
      </c>
      <c r="I756" s="36">
        <f>'Raw Data'!G758/100</f>
        <v>0</v>
      </c>
      <c r="K756" s="37">
        <f>Bill!$Y756</f>
        <v>46314</v>
      </c>
      <c r="L756" s="38">
        <f>Bill!$AA756*('Raw Data'!$E758+$L$2)</f>
        <v>0</v>
      </c>
      <c r="M756" s="38">
        <f>Bill!$AB756*('Raw Data'!$E758+$M$2)</f>
        <v>0</v>
      </c>
      <c r="N756" s="38">
        <f>(('Raw Data'!$F758 * 2)-10)*Bill!$AC756</f>
        <v>0</v>
      </c>
      <c r="O756" s="38">
        <f>('Raw Data'!F758+Bill!$O$2)*Bill!$AD756</f>
        <v>0</v>
      </c>
      <c r="P756" s="38">
        <f>('Raw Data'!F758+Bill!$P$2)*Bill!$AE756</f>
        <v>0</v>
      </c>
      <c r="Q756" s="38">
        <f>Bill!$Z756*('Raw Data'!$E758+$Q$2)</f>
        <v>0</v>
      </c>
      <c r="R756" s="38">
        <f>('Raw Data'!F758+Bill!$R$2)*Bill!$AF756</f>
        <v>0</v>
      </c>
      <c r="S756" s="48">
        <f>('Raw Data'!G758/100)*Bill!$AG756</f>
        <v>0</v>
      </c>
      <c r="T756" s="38">
        <f>SUM(Bill!$L756:$R756)</f>
        <v>0</v>
      </c>
      <c r="U756" s="53"/>
      <c r="V756" s="50"/>
      <c r="W756" s="38">
        <f>Bill!$U756-Bill!$T756</f>
        <v>0</v>
      </c>
      <c r="Y756" s="37">
        <f>'Raw Data'!D758</f>
        <v>46314</v>
      </c>
      <c r="Z756" s="47">
        <v>0.0</v>
      </c>
      <c r="AA756" s="47"/>
      <c r="AB756" s="47"/>
      <c r="AC756" s="47"/>
      <c r="AD756" s="47"/>
      <c r="AE756" s="47"/>
      <c r="AF756" s="47"/>
      <c r="AG756" s="47"/>
    </row>
    <row r="757" ht="15.75" customHeight="1">
      <c r="A757" s="35">
        <f>Bill!$Y757</f>
        <v>46315</v>
      </c>
      <c r="B757" s="43">
        <f>'Raw Data'!E759+Bill!$L$2</f>
        <v>20</v>
      </c>
      <c r="C757" s="43">
        <f>'Raw Data'!E759+Bill!$M$2</f>
        <v>25</v>
      </c>
      <c r="D757" s="43">
        <f>('Raw Data'!$F759*2)-10</f>
        <v>-10</v>
      </c>
      <c r="E757" s="43">
        <f>'Raw Data'!F759+Bill!$O$2</f>
        <v>20</v>
      </c>
      <c r="F757" s="43">
        <f>'Raw Data'!F759+Bill!$P$2</f>
        <v>25</v>
      </c>
      <c r="G757" s="43">
        <f>'Raw Data'!E759+Bill!$Q$2</f>
        <v>50</v>
      </c>
      <c r="H757" s="43">
        <f>('Raw Data'!F759+Bill!$R$2)</f>
        <v>20</v>
      </c>
      <c r="I757" s="36">
        <f>'Raw Data'!G759/100</f>
        <v>0</v>
      </c>
      <c r="K757" s="37">
        <f>Bill!$Y757</f>
        <v>46315</v>
      </c>
      <c r="L757" s="38">
        <f>Bill!$AA757*('Raw Data'!$E759+$L$2)</f>
        <v>0</v>
      </c>
      <c r="M757" s="38">
        <f>Bill!$AB757*('Raw Data'!$E759+$M$2)</f>
        <v>0</v>
      </c>
      <c r="N757" s="38">
        <f>(('Raw Data'!$F759 * 2)-10)*Bill!$AC757</f>
        <v>0</v>
      </c>
      <c r="O757" s="38">
        <f>('Raw Data'!F759+Bill!$O$2)*Bill!$AD757</f>
        <v>0</v>
      </c>
      <c r="P757" s="38">
        <f>('Raw Data'!F759+Bill!$P$2)*Bill!$AE757</f>
        <v>0</v>
      </c>
      <c r="Q757" s="38">
        <f>Bill!$Z757*('Raw Data'!$E759+$Q$2)</f>
        <v>0</v>
      </c>
      <c r="R757" s="38">
        <f>('Raw Data'!F759+Bill!$R$2)*Bill!$AF757</f>
        <v>0</v>
      </c>
      <c r="S757" s="48">
        <f>('Raw Data'!G759/100)*Bill!$AG757</f>
        <v>0</v>
      </c>
      <c r="T757" s="38">
        <f>SUM(Bill!$L757:$R757)</f>
        <v>0</v>
      </c>
      <c r="U757" s="53"/>
      <c r="V757" s="50"/>
      <c r="W757" s="38">
        <f>Bill!$U757-Bill!$T757</f>
        <v>0</v>
      </c>
      <c r="Y757" s="37">
        <f>'Raw Data'!D759</f>
        <v>46315</v>
      </c>
      <c r="Z757" s="47">
        <v>0.0</v>
      </c>
      <c r="AA757" s="47"/>
      <c r="AB757" s="47"/>
      <c r="AC757" s="47"/>
      <c r="AD757" s="47"/>
      <c r="AE757" s="47"/>
      <c r="AF757" s="47"/>
      <c r="AG757" s="47"/>
    </row>
    <row r="758" ht="15.75" customHeight="1">
      <c r="A758" s="35">
        <f>Bill!$Y758</f>
        <v>46316</v>
      </c>
      <c r="B758" s="43">
        <f>'Raw Data'!E760+Bill!$L$2</f>
        <v>20</v>
      </c>
      <c r="C758" s="43">
        <f>'Raw Data'!E760+Bill!$M$2</f>
        <v>25</v>
      </c>
      <c r="D758" s="43">
        <f>('Raw Data'!$F760*2)-10</f>
        <v>-10</v>
      </c>
      <c r="E758" s="43">
        <f>'Raw Data'!F760+Bill!$O$2</f>
        <v>20</v>
      </c>
      <c r="F758" s="43">
        <f>'Raw Data'!F760+Bill!$P$2</f>
        <v>25</v>
      </c>
      <c r="G758" s="43">
        <f>'Raw Data'!E760+Bill!$Q$2</f>
        <v>50</v>
      </c>
      <c r="H758" s="43">
        <f>('Raw Data'!F760+Bill!$R$2)</f>
        <v>20</v>
      </c>
      <c r="I758" s="36">
        <f>'Raw Data'!G760/100</f>
        <v>0</v>
      </c>
      <c r="K758" s="37">
        <f>Bill!$Y758</f>
        <v>46316</v>
      </c>
      <c r="L758" s="38">
        <f>Bill!$AA758*('Raw Data'!$E760+$L$2)</f>
        <v>0</v>
      </c>
      <c r="M758" s="38">
        <f>Bill!$AB758*('Raw Data'!$E760+$M$2)</f>
        <v>0</v>
      </c>
      <c r="N758" s="38">
        <f>(('Raw Data'!$F760 * 2)-10)*Bill!$AC758</f>
        <v>0</v>
      </c>
      <c r="O758" s="38">
        <f>('Raw Data'!F760+Bill!$O$2)*Bill!$AD758</f>
        <v>0</v>
      </c>
      <c r="P758" s="38">
        <f>('Raw Data'!F760+Bill!$P$2)*Bill!$AE758</f>
        <v>0</v>
      </c>
      <c r="Q758" s="38">
        <f>Bill!$Z758*('Raw Data'!$E760+$Q$2)</f>
        <v>0</v>
      </c>
      <c r="R758" s="38">
        <f>('Raw Data'!F760+Bill!$R$2)*Bill!$AF758</f>
        <v>0</v>
      </c>
      <c r="S758" s="48">
        <f>('Raw Data'!G760/100)*Bill!$AG758</f>
        <v>0</v>
      </c>
      <c r="T758" s="38">
        <f>SUM(Bill!$L758:$R758)</f>
        <v>0</v>
      </c>
      <c r="U758" s="53"/>
      <c r="V758" s="50"/>
      <c r="W758" s="38">
        <f>Bill!$U758-Bill!$T758</f>
        <v>0</v>
      </c>
      <c r="Y758" s="37">
        <f>'Raw Data'!D760</f>
        <v>46316</v>
      </c>
      <c r="Z758" s="47">
        <v>0.0</v>
      </c>
      <c r="AA758" s="47"/>
      <c r="AB758" s="47"/>
      <c r="AC758" s="47"/>
      <c r="AD758" s="47"/>
      <c r="AE758" s="47"/>
      <c r="AF758" s="47"/>
      <c r="AG758" s="47"/>
    </row>
    <row r="759" ht="15.75" customHeight="1">
      <c r="A759" s="35">
        <f>Bill!$Y759</f>
        <v>46317</v>
      </c>
      <c r="B759" s="43">
        <f>'Raw Data'!E761+Bill!$L$2</f>
        <v>20</v>
      </c>
      <c r="C759" s="43">
        <f>'Raw Data'!E761+Bill!$M$2</f>
        <v>25</v>
      </c>
      <c r="D759" s="43">
        <f>('Raw Data'!$F761*2)-10</f>
        <v>-10</v>
      </c>
      <c r="E759" s="43">
        <f>'Raw Data'!F761+Bill!$O$2</f>
        <v>20</v>
      </c>
      <c r="F759" s="43">
        <f>'Raw Data'!F761+Bill!$P$2</f>
        <v>25</v>
      </c>
      <c r="G759" s="43">
        <f>'Raw Data'!E761+Bill!$Q$2</f>
        <v>50</v>
      </c>
      <c r="H759" s="43">
        <f>('Raw Data'!F761+Bill!$R$2)</f>
        <v>20</v>
      </c>
      <c r="I759" s="36">
        <f>'Raw Data'!G761/100</f>
        <v>0</v>
      </c>
      <c r="K759" s="37">
        <f>Bill!$Y759</f>
        <v>46317</v>
      </c>
      <c r="L759" s="38">
        <f>Bill!$AA759*('Raw Data'!$E761+$L$2)</f>
        <v>0</v>
      </c>
      <c r="M759" s="38">
        <f>Bill!$AB759*('Raw Data'!$E761+$M$2)</f>
        <v>0</v>
      </c>
      <c r="N759" s="38">
        <f>(('Raw Data'!$F761 * 2)-10)*Bill!$AC759</f>
        <v>0</v>
      </c>
      <c r="O759" s="38">
        <f>('Raw Data'!F761+Bill!$O$2)*Bill!$AD759</f>
        <v>0</v>
      </c>
      <c r="P759" s="38">
        <f>('Raw Data'!F761+Bill!$P$2)*Bill!$AE759</f>
        <v>0</v>
      </c>
      <c r="Q759" s="38">
        <f>Bill!$Z759*('Raw Data'!$E761+$Q$2)</f>
        <v>0</v>
      </c>
      <c r="R759" s="38">
        <f>('Raw Data'!F761+Bill!$R$2)*Bill!$AF759</f>
        <v>0</v>
      </c>
      <c r="S759" s="48">
        <f>('Raw Data'!G761/100)*Bill!$AG759</f>
        <v>0</v>
      </c>
      <c r="T759" s="38">
        <f>SUM(Bill!$L759:$R759)</f>
        <v>0</v>
      </c>
      <c r="U759" s="53"/>
      <c r="V759" s="50"/>
      <c r="W759" s="38">
        <f>Bill!$U759-Bill!$T759</f>
        <v>0</v>
      </c>
      <c r="Y759" s="37">
        <f>'Raw Data'!D761</f>
        <v>46317</v>
      </c>
      <c r="Z759" s="47">
        <v>0.0</v>
      </c>
      <c r="AA759" s="47"/>
      <c r="AB759" s="47"/>
      <c r="AC759" s="47"/>
      <c r="AD759" s="47"/>
      <c r="AE759" s="47"/>
      <c r="AF759" s="47"/>
      <c r="AG759" s="47"/>
    </row>
    <row r="760" ht="15.75" customHeight="1">
      <c r="A760" s="35">
        <f>Bill!$Y760</f>
        <v>46318</v>
      </c>
      <c r="B760" s="43">
        <f>'Raw Data'!E762+Bill!$L$2</f>
        <v>20</v>
      </c>
      <c r="C760" s="43">
        <f>'Raw Data'!E762+Bill!$M$2</f>
        <v>25</v>
      </c>
      <c r="D760" s="43">
        <f>('Raw Data'!$F762*2)-10</f>
        <v>-10</v>
      </c>
      <c r="E760" s="43">
        <f>'Raw Data'!F762+Bill!$O$2</f>
        <v>20</v>
      </c>
      <c r="F760" s="43">
        <f>'Raw Data'!F762+Bill!$P$2</f>
        <v>25</v>
      </c>
      <c r="G760" s="43">
        <f>'Raw Data'!E762+Bill!$Q$2</f>
        <v>50</v>
      </c>
      <c r="H760" s="43">
        <f>('Raw Data'!F762+Bill!$R$2)</f>
        <v>20</v>
      </c>
      <c r="I760" s="36">
        <f>'Raw Data'!G762/100</f>
        <v>0</v>
      </c>
      <c r="K760" s="37">
        <f>Bill!$Y760</f>
        <v>46318</v>
      </c>
      <c r="L760" s="38">
        <f>Bill!$AA760*('Raw Data'!$E762+$L$2)</f>
        <v>0</v>
      </c>
      <c r="M760" s="38">
        <f>Bill!$AB760*('Raw Data'!$E762+$M$2)</f>
        <v>0</v>
      </c>
      <c r="N760" s="38">
        <f>(('Raw Data'!$F762 * 2)-10)*Bill!$AC760</f>
        <v>0</v>
      </c>
      <c r="O760" s="38">
        <f>('Raw Data'!F762+Bill!$O$2)*Bill!$AD760</f>
        <v>0</v>
      </c>
      <c r="P760" s="38">
        <f>('Raw Data'!F762+Bill!$P$2)*Bill!$AE760</f>
        <v>0</v>
      </c>
      <c r="Q760" s="38">
        <f>Bill!$Z760*('Raw Data'!$E762+$Q$2)</f>
        <v>0</v>
      </c>
      <c r="R760" s="38">
        <f>('Raw Data'!F762+Bill!$R$2)*Bill!$AF760</f>
        <v>0</v>
      </c>
      <c r="S760" s="48">
        <f>('Raw Data'!G762/100)*Bill!$AG760</f>
        <v>0</v>
      </c>
      <c r="T760" s="38">
        <f>SUM(Bill!$L760:$R760)</f>
        <v>0</v>
      </c>
      <c r="U760" s="53"/>
      <c r="V760" s="50"/>
      <c r="W760" s="38">
        <f>Bill!$U760-Bill!$T760</f>
        <v>0</v>
      </c>
      <c r="Y760" s="37">
        <f>'Raw Data'!D762</f>
        <v>46318</v>
      </c>
      <c r="Z760" s="47">
        <v>0.0</v>
      </c>
      <c r="AA760" s="47"/>
      <c r="AB760" s="47"/>
      <c r="AC760" s="47"/>
      <c r="AD760" s="47"/>
      <c r="AE760" s="47"/>
      <c r="AF760" s="47"/>
      <c r="AG760" s="47"/>
    </row>
    <row r="761" ht="15.75" customHeight="1">
      <c r="A761" s="35">
        <f>Bill!$Y761</f>
        <v>46319</v>
      </c>
      <c r="B761" s="43">
        <f>'Raw Data'!E763+Bill!$L$2</f>
        <v>20</v>
      </c>
      <c r="C761" s="43">
        <f>'Raw Data'!E763+Bill!$M$2</f>
        <v>25</v>
      </c>
      <c r="D761" s="43">
        <f>('Raw Data'!$F763*2)-10</f>
        <v>-10</v>
      </c>
      <c r="E761" s="43">
        <f>'Raw Data'!F763+Bill!$O$2</f>
        <v>20</v>
      </c>
      <c r="F761" s="43">
        <f>'Raw Data'!F763+Bill!$P$2</f>
        <v>25</v>
      </c>
      <c r="G761" s="43">
        <f>'Raw Data'!E763+Bill!$Q$2</f>
        <v>50</v>
      </c>
      <c r="H761" s="43">
        <f>('Raw Data'!F763+Bill!$R$2)</f>
        <v>20</v>
      </c>
      <c r="I761" s="36">
        <f>'Raw Data'!G763/100</f>
        <v>0</v>
      </c>
      <c r="K761" s="37">
        <f>Bill!$Y761</f>
        <v>46319</v>
      </c>
      <c r="L761" s="38">
        <f>Bill!$AA761*('Raw Data'!$E763+$L$2)</f>
        <v>0</v>
      </c>
      <c r="M761" s="38">
        <f>Bill!$AB761*('Raw Data'!$E763+$M$2)</f>
        <v>0</v>
      </c>
      <c r="N761" s="38">
        <f>(('Raw Data'!$F763 * 2)-10)*Bill!$AC761</f>
        <v>0</v>
      </c>
      <c r="O761" s="38">
        <f>('Raw Data'!F763+Bill!$O$2)*Bill!$AD761</f>
        <v>0</v>
      </c>
      <c r="P761" s="38">
        <f>('Raw Data'!F763+Bill!$P$2)*Bill!$AE761</f>
        <v>0</v>
      </c>
      <c r="Q761" s="38">
        <f>Bill!$Z761*('Raw Data'!$E763+$Q$2)</f>
        <v>0</v>
      </c>
      <c r="R761" s="38">
        <f>('Raw Data'!F763+Bill!$R$2)*Bill!$AF761</f>
        <v>0</v>
      </c>
      <c r="S761" s="48">
        <f>('Raw Data'!G763/100)*Bill!$AG761</f>
        <v>0</v>
      </c>
      <c r="T761" s="38">
        <f>SUM(Bill!$L761:$R761)</f>
        <v>0</v>
      </c>
      <c r="U761" s="53"/>
      <c r="V761" s="50"/>
      <c r="W761" s="38">
        <f>Bill!$U761-Bill!$T761</f>
        <v>0</v>
      </c>
      <c r="Y761" s="37">
        <f>'Raw Data'!D763</f>
        <v>46319</v>
      </c>
      <c r="Z761" s="47">
        <v>0.0</v>
      </c>
      <c r="AA761" s="47"/>
      <c r="AB761" s="47"/>
      <c r="AC761" s="47"/>
      <c r="AD761" s="47"/>
      <c r="AE761" s="47"/>
      <c r="AF761" s="47"/>
      <c r="AG761" s="47"/>
    </row>
    <row r="762" ht="15.75" customHeight="1">
      <c r="A762" s="35">
        <f>Bill!$Y762</f>
        <v>46320</v>
      </c>
      <c r="B762" s="43">
        <f>'Raw Data'!E764+Bill!$L$2</f>
        <v>20</v>
      </c>
      <c r="C762" s="43">
        <f>'Raw Data'!E764+Bill!$M$2</f>
        <v>25</v>
      </c>
      <c r="D762" s="43">
        <f>('Raw Data'!$F764*2)-10</f>
        <v>-10</v>
      </c>
      <c r="E762" s="43">
        <f>'Raw Data'!F764+Bill!$O$2</f>
        <v>20</v>
      </c>
      <c r="F762" s="43">
        <f>'Raw Data'!F764+Bill!$P$2</f>
        <v>25</v>
      </c>
      <c r="G762" s="43">
        <f>'Raw Data'!E764+Bill!$Q$2</f>
        <v>50</v>
      </c>
      <c r="H762" s="43">
        <f>('Raw Data'!F764+Bill!$R$2)</f>
        <v>20</v>
      </c>
      <c r="I762" s="36">
        <f>'Raw Data'!G764/100</f>
        <v>0</v>
      </c>
      <c r="K762" s="37">
        <f>Bill!$Y762</f>
        <v>46320</v>
      </c>
      <c r="L762" s="38">
        <f>Bill!$AA762*('Raw Data'!$E764+$L$2)</f>
        <v>0</v>
      </c>
      <c r="M762" s="38">
        <f>Bill!$AB762*('Raw Data'!$E764+$M$2)</f>
        <v>0</v>
      </c>
      <c r="N762" s="38">
        <f>(('Raw Data'!$F764 * 2)-10)*Bill!$AC762</f>
        <v>0</v>
      </c>
      <c r="O762" s="38">
        <f>('Raw Data'!F764+Bill!$O$2)*Bill!$AD762</f>
        <v>0</v>
      </c>
      <c r="P762" s="38">
        <f>('Raw Data'!F764+Bill!$P$2)*Bill!$AE762</f>
        <v>0</v>
      </c>
      <c r="Q762" s="38">
        <f>Bill!$Z762*('Raw Data'!$E764+$Q$2)</f>
        <v>0</v>
      </c>
      <c r="R762" s="38">
        <f>('Raw Data'!F764+Bill!$R$2)*Bill!$AF762</f>
        <v>0</v>
      </c>
      <c r="S762" s="48">
        <f>('Raw Data'!G764/100)*Bill!$AG762</f>
        <v>0</v>
      </c>
      <c r="T762" s="38">
        <f>SUM(Bill!$L762:$R762)</f>
        <v>0</v>
      </c>
      <c r="U762" s="53"/>
      <c r="V762" s="50"/>
      <c r="W762" s="38">
        <f>Bill!$U762-Bill!$T762</f>
        <v>0</v>
      </c>
      <c r="Y762" s="37">
        <f>'Raw Data'!D764</f>
        <v>46320</v>
      </c>
      <c r="Z762" s="47">
        <v>0.0</v>
      </c>
      <c r="AA762" s="47"/>
      <c r="AB762" s="47"/>
      <c r="AC762" s="47"/>
      <c r="AD762" s="47"/>
      <c r="AE762" s="47"/>
      <c r="AF762" s="47"/>
      <c r="AG762" s="47"/>
    </row>
    <row r="763" ht="15.75" customHeight="1">
      <c r="A763" s="35">
        <f>Bill!$Y763</f>
        <v>46321</v>
      </c>
      <c r="B763" s="43">
        <f>'Raw Data'!E765+Bill!$L$2</f>
        <v>20</v>
      </c>
      <c r="C763" s="43">
        <f>'Raw Data'!E765+Bill!$M$2</f>
        <v>25</v>
      </c>
      <c r="D763" s="43">
        <f>('Raw Data'!$F765*2)-10</f>
        <v>-10</v>
      </c>
      <c r="E763" s="43">
        <f>'Raw Data'!F765+Bill!$O$2</f>
        <v>20</v>
      </c>
      <c r="F763" s="43">
        <f>'Raw Data'!F765+Bill!$P$2</f>
        <v>25</v>
      </c>
      <c r="G763" s="43">
        <f>'Raw Data'!E765+Bill!$Q$2</f>
        <v>50</v>
      </c>
      <c r="H763" s="43">
        <f>('Raw Data'!F765+Bill!$R$2)</f>
        <v>20</v>
      </c>
      <c r="I763" s="36">
        <f>'Raw Data'!G765/100</f>
        <v>0</v>
      </c>
      <c r="K763" s="37">
        <f>Bill!$Y763</f>
        <v>46321</v>
      </c>
      <c r="L763" s="38">
        <f>Bill!$AA763*('Raw Data'!$E765+$L$2)</f>
        <v>0</v>
      </c>
      <c r="M763" s="38">
        <f>Bill!$AB763*('Raw Data'!$E765+$M$2)</f>
        <v>0</v>
      </c>
      <c r="N763" s="38">
        <f>(('Raw Data'!$F765 * 2)-10)*Bill!$AC763</f>
        <v>0</v>
      </c>
      <c r="O763" s="38">
        <f>('Raw Data'!F765+Bill!$O$2)*Bill!$AD763</f>
        <v>0</v>
      </c>
      <c r="P763" s="38">
        <f>('Raw Data'!F765+Bill!$P$2)*Bill!$AE763</f>
        <v>0</v>
      </c>
      <c r="Q763" s="38">
        <f>Bill!$Z763*('Raw Data'!$E765+$Q$2)</f>
        <v>0</v>
      </c>
      <c r="R763" s="38">
        <f>('Raw Data'!F765+Bill!$R$2)*Bill!$AF763</f>
        <v>0</v>
      </c>
      <c r="S763" s="48">
        <f>('Raw Data'!G765/100)*Bill!$AG763</f>
        <v>0</v>
      </c>
      <c r="T763" s="38">
        <f>SUM(Bill!$L763:$R763)</f>
        <v>0</v>
      </c>
      <c r="U763" s="53"/>
      <c r="V763" s="50"/>
      <c r="W763" s="38">
        <f>Bill!$U763-Bill!$T763</f>
        <v>0</v>
      </c>
      <c r="Y763" s="37">
        <f>'Raw Data'!D765</f>
        <v>46321</v>
      </c>
      <c r="Z763" s="47">
        <v>0.0</v>
      </c>
      <c r="AA763" s="47"/>
      <c r="AB763" s="47"/>
      <c r="AC763" s="47"/>
      <c r="AD763" s="47"/>
      <c r="AE763" s="47"/>
      <c r="AF763" s="47"/>
      <c r="AG763" s="47"/>
    </row>
    <row r="764" ht="15.75" customHeight="1">
      <c r="A764" s="35">
        <f>Bill!$Y764</f>
        <v>46322</v>
      </c>
      <c r="B764" s="43">
        <f>'Raw Data'!E766+Bill!$L$2</f>
        <v>20</v>
      </c>
      <c r="C764" s="43">
        <f>'Raw Data'!E766+Bill!$M$2</f>
        <v>25</v>
      </c>
      <c r="D764" s="43">
        <f>('Raw Data'!$F766*2)-10</f>
        <v>-10</v>
      </c>
      <c r="E764" s="43">
        <f>'Raw Data'!F766+Bill!$O$2</f>
        <v>20</v>
      </c>
      <c r="F764" s="43">
        <f>'Raw Data'!F766+Bill!$P$2</f>
        <v>25</v>
      </c>
      <c r="G764" s="43">
        <f>'Raw Data'!E766+Bill!$Q$2</f>
        <v>50</v>
      </c>
      <c r="H764" s="43">
        <f>('Raw Data'!F766+Bill!$R$2)</f>
        <v>20</v>
      </c>
      <c r="I764" s="36">
        <f>'Raw Data'!G766/100</f>
        <v>0</v>
      </c>
      <c r="K764" s="37">
        <f>Bill!$Y764</f>
        <v>46322</v>
      </c>
      <c r="L764" s="38">
        <f>Bill!$AA764*('Raw Data'!$E766+$L$2)</f>
        <v>0</v>
      </c>
      <c r="M764" s="38">
        <f>Bill!$AB764*('Raw Data'!$E766+$M$2)</f>
        <v>0</v>
      </c>
      <c r="N764" s="38">
        <f>(('Raw Data'!$F766 * 2)-10)*Bill!$AC764</f>
        <v>0</v>
      </c>
      <c r="O764" s="38">
        <f>('Raw Data'!F766+Bill!$O$2)*Bill!$AD764</f>
        <v>0</v>
      </c>
      <c r="P764" s="38">
        <f>('Raw Data'!F766+Bill!$P$2)*Bill!$AE764</f>
        <v>0</v>
      </c>
      <c r="Q764" s="38">
        <f>Bill!$Z764*('Raw Data'!$E766+$Q$2)</f>
        <v>0</v>
      </c>
      <c r="R764" s="38">
        <f>('Raw Data'!F766+Bill!$R$2)*Bill!$AF764</f>
        <v>0</v>
      </c>
      <c r="S764" s="48">
        <f>('Raw Data'!G766/100)*Bill!$AG764</f>
        <v>0</v>
      </c>
      <c r="T764" s="38">
        <f>SUM(Bill!$L764:$R764)</f>
        <v>0</v>
      </c>
      <c r="U764" s="53"/>
      <c r="V764" s="50"/>
      <c r="W764" s="38">
        <f>Bill!$U764-Bill!$T764</f>
        <v>0</v>
      </c>
      <c r="Y764" s="37">
        <f>'Raw Data'!D766</f>
        <v>46322</v>
      </c>
      <c r="Z764" s="47">
        <v>0.0</v>
      </c>
      <c r="AA764" s="47"/>
      <c r="AB764" s="47"/>
      <c r="AC764" s="47"/>
      <c r="AD764" s="47"/>
      <c r="AE764" s="47"/>
      <c r="AF764" s="47"/>
      <c r="AG764" s="47"/>
    </row>
    <row r="765" ht="15.75" customHeight="1">
      <c r="A765" s="35">
        <f>Bill!$Y765</f>
        <v>46323</v>
      </c>
      <c r="B765" s="43">
        <f>'Raw Data'!E767+Bill!$L$2</f>
        <v>20</v>
      </c>
      <c r="C765" s="43">
        <f>'Raw Data'!E767+Bill!$M$2</f>
        <v>25</v>
      </c>
      <c r="D765" s="43">
        <f>('Raw Data'!$F767*2)-10</f>
        <v>-10</v>
      </c>
      <c r="E765" s="43">
        <f>'Raw Data'!F767+Bill!$O$2</f>
        <v>20</v>
      </c>
      <c r="F765" s="43">
        <f>'Raw Data'!F767+Bill!$P$2</f>
        <v>25</v>
      </c>
      <c r="G765" s="43">
        <f>'Raw Data'!E767+Bill!$Q$2</f>
        <v>50</v>
      </c>
      <c r="H765" s="43">
        <f>('Raw Data'!F767+Bill!$R$2)</f>
        <v>20</v>
      </c>
      <c r="I765" s="36">
        <f>'Raw Data'!G767/100</f>
        <v>0</v>
      </c>
      <c r="K765" s="37">
        <f>Bill!$Y765</f>
        <v>46323</v>
      </c>
      <c r="L765" s="38">
        <f>Bill!$AA765*('Raw Data'!$E767+$L$2)</f>
        <v>0</v>
      </c>
      <c r="M765" s="38">
        <f>Bill!$AB765*('Raw Data'!$E767+$M$2)</f>
        <v>0</v>
      </c>
      <c r="N765" s="38">
        <f>(('Raw Data'!$F767 * 2)-10)*Bill!$AC765</f>
        <v>0</v>
      </c>
      <c r="O765" s="38">
        <f>('Raw Data'!F767+Bill!$O$2)*Bill!$AD765</f>
        <v>0</v>
      </c>
      <c r="P765" s="38">
        <f>('Raw Data'!F767+Bill!$P$2)*Bill!$AE765</f>
        <v>0</v>
      </c>
      <c r="Q765" s="38">
        <f>Bill!$Z765*('Raw Data'!$E767+$Q$2)</f>
        <v>0</v>
      </c>
      <c r="R765" s="38">
        <f>('Raw Data'!F767+Bill!$R$2)*Bill!$AF765</f>
        <v>0</v>
      </c>
      <c r="S765" s="48">
        <f>('Raw Data'!G767/100)*Bill!$AG765</f>
        <v>0</v>
      </c>
      <c r="T765" s="38">
        <f>SUM(Bill!$L765:$R765)</f>
        <v>0</v>
      </c>
      <c r="U765" s="53"/>
      <c r="V765" s="50"/>
      <c r="W765" s="38">
        <f>Bill!$U765-Bill!$T765</f>
        <v>0</v>
      </c>
      <c r="Y765" s="37">
        <f>'Raw Data'!D767</f>
        <v>46323</v>
      </c>
      <c r="Z765" s="47">
        <v>0.0</v>
      </c>
      <c r="AA765" s="47"/>
      <c r="AB765" s="47"/>
      <c r="AC765" s="47"/>
      <c r="AD765" s="47"/>
      <c r="AE765" s="47"/>
      <c r="AF765" s="47"/>
      <c r="AG765" s="47"/>
    </row>
    <row r="766" ht="15.75" customHeight="1">
      <c r="A766" s="35">
        <f>Bill!$Y766</f>
        <v>46324</v>
      </c>
      <c r="B766" s="43">
        <f>'Raw Data'!E768+Bill!$L$2</f>
        <v>20</v>
      </c>
      <c r="C766" s="43">
        <f>'Raw Data'!E768+Bill!$M$2</f>
        <v>25</v>
      </c>
      <c r="D766" s="43">
        <f>('Raw Data'!$F768*2)-10</f>
        <v>-10</v>
      </c>
      <c r="E766" s="43">
        <f>'Raw Data'!F768+Bill!$O$2</f>
        <v>20</v>
      </c>
      <c r="F766" s="43">
        <f>'Raw Data'!F768+Bill!$P$2</f>
        <v>25</v>
      </c>
      <c r="G766" s="43">
        <f>'Raw Data'!E768+Bill!$Q$2</f>
        <v>50</v>
      </c>
      <c r="H766" s="43">
        <f>('Raw Data'!F768+Bill!$R$2)</f>
        <v>20</v>
      </c>
      <c r="I766" s="36">
        <f>'Raw Data'!G768/100</f>
        <v>0</v>
      </c>
      <c r="K766" s="37">
        <f>Bill!$Y766</f>
        <v>46324</v>
      </c>
      <c r="L766" s="38">
        <f>Bill!$AA766*('Raw Data'!$E768+$L$2)</f>
        <v>0</v>
      </c>
      <c r="M766" s="38">
        <f>Bill!$AB766*('Raw Data'!$E768+$M$2)</f>
        <v>0</v>
      </c>
      <c r="N766" s="38">
        <f>(('Raw Data'!$F768 * 2)-10)*Bill!$AC766</f>
        <v>0</v>
      </c>
      <c r="O766" s="38">
        <f>('Raw Data'!F768+Bill!$O$2)*Bill!$AD766</f>
        <v>0</v>
      </c>
      <c r="P766" s="38">
        <f>('Raw Data'!F768+Bill!$P$2)*Bill!$AE766</f>
        <v>0</v>
      </c>
      <c r="Q766" s="38">
        <f>Bill!$Z766*('Raw Data'!$E768+$Q$2)</f>
        <v>0</v>
      </c>
      <c r="R766" s="38">
        <f>('Raw Data'!F768+Bill!$R$2)*Bill!$AF766</f>
        <v>0</v>
      </c>
      <c r="S766" s="48">
        <f>('Raw Data'!G768/100)*Bill!$AG766</f>
        <v>0</v>
      </c>
      <c r="T766" s="38">
        <f>SUM(Bill!$L766:$R766)</f>
        <v>0</v>
      </c>
      <c r="U766" s="53"/>
      <c r="V766" s="50"/>
      <c r="W766" s="38">
        <f>Bill!$U766-Bill!$T766</f>
        <v>0</v>
      </c>
      <c r="Y766" s="37">
        <f>'Raw Data'!D768</f>
        <v>46324</v>
      </c>
      <c r="Z766" s="47">
        <v>0.0</v>
      </c>
      <c r="AA766" s="47"/>
      <c r="AB766" s="47"/>
      <c r="AC766" s="47"/>
      <c r="AD766" s="47"/>
      <c r="AE766" s="47"/>
      <c r="AF766" s="47"/>
      <c r="AG766" s="47"/>
    </row>
    <row r="767" ht="15.75" customHeight="1">
      <c r="A767" s="35">
        <f>Bill!$Y767</f>
        <v>46325</v>
      </c>
      <c r="B767" s="43">
        <f>'Raw Data'!E769+Bill!$L$2</f>
        <v>20</v>
      </c>
      <c r="C767" s="43">
        <f>'Raw Data'!E769+Bill!$M$2</f>
        <v>25</v>
      </c>
      <c r="D767" s="43">
        <f>('Raw Data'!$F769*2)-10</f>
        <v>-10</v>
      </c>
      <c r="E767" s="43">
        <f>'Raw Data'!F769+Bill!$O$2</f>
        <v>20</v>
      </c>
      <c r="F767" s="43">
        <f>'Raw Data'!F769+Bill!$P$2</f>
        <v>25</v>
      </c>
      <c r="G767" s="43">
        <f>'Raw Data'!E769+Bill!$Q$2</f>
        <v>50</v>
      </c>
      <c r="H767" s="43">
        <f>('Raw Data'!F769+Bill!$R$2)</f>
        <v>20</v>
      </c>
      <c r="I767" s="36">
        <f>'Raw Data'!G769/100</f>
        <v>0</v>
      </c>
      <c r="K767" s="37">
        <f>Bill!$Y767</f>
        <v>46325</v>
      </c>
      <c r="L767" s="38">
        <f>Bill!$AA767*('Raw Data'!$E769+$L$2)</f>
        <v>0</v>
      </c>
      <c r="M767" s="38">
        <f>Bill!$AB767*('Raw Data'!$E769+$M$2)</f>
        <v>0</v>
      </c>
      <c r="N767" s="38">
        <f>(('Raw Data'!$F769 * 2)-10)*Bill!$AC767</f>
        <v>0</v>
      </c>
      <c r="O767" s="38">
        <f>('Raw Data'!F769+Bill!$O$2)*Bill!$AD767</f>
        <v>0</v>
      </c>
      <c r="P767" s="38">
        <f>('Raw Data'!F769+Bill!$P$2)*Bill!$AE767</f>
        <v>0</v>
      </c>
      <c r="Q767" s="38">
        <f>Bill!$Z767*('Raw Data'!$E769+$Q$2)</f>
        <v>0</v>
      </c>
      <c r="R767" s="38">
        <f>('Raw Data'!F769+Bill!$R$2)*Bill!$AF767</f>
        <v>0</v>
      </c>
      <c r="S767" s="48">
        <f>('Raw Data'!G769/100)*Bill!$AG767</f>
        <v>0</v>
      </c>
      <c r="T767" s="38">
        <f>SUM(Bill!$L767:$R767)</f>
        <v>0</v>
      </c>
      <c r="U767" s="53"/>
      <c r="V767" s="50"/>
      <c r="W767" s="38">
        <f>Bill!$U767-Bill!$T767</f>
        <v>0</v>
      </c>
      <c r="Y767" s="37">
        <f>'Raw Data'!D769</f>
        <v>46325</v>
      </c>
      <c r="Z767" s="47">
        <v>0.0</v>
      </c>
      <c r="AA767" s="47"/>
      <c r="AB767" s="47"/>
      <c r="AC767" s="47"/>
      <c r="AD767" s="47"/>
      <c r="AE767" s="47"/>
      <c r="AF767" s="47"/>
      <c r="AG767" s="47"/>
    </row>
    <row r="768" ht="15.75" customHeight="1">
      <c r="A768" s="35">
        <f>Bill!$Y768</f>
        <v>46326</v>
      </c>
      <c r="B768" s="43">
        <f>'Raw Data'!E770+Bill!$L$2</f>
        <v>20</v>
      </c>
      <c r="C768" s="43">
        <f>'Raw Data'!E770+Bill!$M$2</f>
        <v>25</v>
      </c>
      <c r="D768" s="43">
        <f>('Raw Data'!$F770*2)-10</f>
        <v>-10</v>
      </c>
      <c r="E768" s="43">
        <f>'Raw Data'!F770+Bill!$O$2</f>
        <v>20</v>
      </c>
      <c r="F768" s="43">
        <f>'Raw Data'!F770+Bill!$P$2</f>
        <v>25</v>
      </c>
      <c r="G768" s="43">
        <f>'Raw Data'!E770+Bill!$Q$2</f>
        <v>50</v>
      </c>
      <c r="H768" s="43">
        <f>('Raw Data'!F770+Bill!$R$2)</f>
        <v>20</v>
      </c>
      <c r="I768" s="36">
        <f>'Raw Data'!G770/100</f>
        <v>0</v>
      </c>
      <c r="K768" s="37">
        <f>Bill!$Y768</f>
        <v>46326</v>
      </c>
      <c r="L768" s="38">
        <f>Bill!$AA768*('Raw Data'!$E770+$L$2)</f>
        <v>0</v>
      </c>
      <c r="M768" s="38">
        <f>Bill!$AB768*('Raw Data'!$E770+$M$2)</f>
        <v>0</v>
      </c>
      <c r="N768" s="38">
        <f>(('Raw Data'!$F770 * 2)-10)*Bill!$AC768</f>
        <v>0</v>
      </c>
      <c r="O768" s="38">
        <f>('Raw Data'!F770+Bill!$O$2)*Bill!$AD768</f>
        <v>0</v>
      </c>
      <c r="P768" s="38">
        <f>('Raw Data'!F770+Bill!$P$2)*Bill!$AE768</f>
        <v>0</v>
      </c>
      <c r="Q768" s="38">
        <f>Bill!$Z768*('Raw Data'!$E770+$Q$2)</f>
        <v>0</v>
      </c>
      <c r="R768" s="38">
        <f>('Raw Data'!F770+Bill!$R$2)*Bill!$AF768</f>
        <v>0</v>
      </c>
      <c r="S768" s="48">
        <f>('Raw Data'!G770/100)*Bill!$AG768</f>
        <v>0</v>
      </c>
      <c r="T768" s="38">
        <f>SUM(Bill!$L768:$R768)</f>
        <v>0</v>
      </c>
      <c r="U768" s="53"/>
      <c r="V768" s="50"/>
      <c r="W768" s="38">
        <f>Bill!$U768-Bill!$T768</f>
        <v>0</v>
      </c>
      <c r="Y768" s="37">
        <f>'Raw Data'!D770</f>
        <v>46326</v>
      </c>
      <c r="Z768" s="47">
        <v>0.0</v>
      </c>
      <c r="AA768" s="47"/>
      <c r="AB768" s="47"/>
      <c r="AC768" s="47"/>
      <c r="AD768" s="47"/>
      <c r="AE768" s="47"/>
      <c r="AF768" s="47"/>
      <c r="AG768" s="47"/>
    </row>
    <row r="769" ht="15.75" customHeight="1">
      <c r="A769" s="35">
        <f>Bill!$Y769</f>
        <v>46327</v>
      </c>
      <c r="B769" s="43">
        <f>'Raw Data'!E771+Bill!$L$2</f>
        <v>20</v>
      </c>
      <c r="C769" s="43">
        <f>'Raw Data'!E771+Bill!$M$2</f>
        <v>25</v>
      </c>
      <c r="D769" s="43">
        <f>('Raw Data'!$F771*2)-10</f>
        <v>-10</v>
      </c>
      <c r="E769" s="43">
        <f>'Raw Data'!F771+Bill!$O$2</f>
        <v>20</v>
      </c>
      <c r="F769" s="43">
        <f>'Raw Data'!F771+Bill!$P$2</f>
        <v>25</v>
      </c>
      <c r="G769" s="43">
        <f>'Raw Data'!E771+Bill!$Q$2</f>
        <v>50</v>
      </c>
      <c r="H769" s="43">
        <f>('Raw Data'!F771+Bill!$R$2)</f>
        <v>20</v>
      </c>
      <c r="I769" s="36">
        <f>'Raw Data'!G771/100</f>
        <v>0</v>
      </c>
      <c r="K769" s="37">
        <f>Bill!$Y769</f>
        <v>46327</v>
      </c>
      <c r="L769" s="38">
        <f>Bill!$AA769*('Raw Data'!$E771+$L$2)</f>
        <v>0</v>
      </c>
      <c r="M769" s="38">
        <f>Bill!$AB769*('Raw Data'!$E771+$M$2)</f>
        <v>0</v>
      </c>
      <c r="N769" s="38">
        <f>(('Raw Data'!$F771 * 2)-10)*Bill!$AC769</f>
        <v>0</v>
      </c>
      <c r="O769" s="38">
        <f>('Raw Data'!F771+Bill!$O$2)*Bill!$AD769</f>
        <v>0</v>
      </c>
      <c r="P769" s="38">
        <f>('Raw Data'!F771+Bill!$P$2)*Bill!$AE769</f>
        <v>0</v>
      </c>
      <c r="Q769" s="38">
        <f>Bill!$Z769*('Raw Data'!$E771+$Q$2)</f>
        <v>0</v>
      </c>
      <c r="R769" s="38">
        <f>('Raw Data'!F771+Bill!$R$2)*Bill!$AF769</f>
        <v>0</v>
      </c>
      <c r="S769" s="48">
        <f>('Raw Data'!G771/100)*Bill!$AG769</f>
        <v>0</v>
      </c>
      <c r="T769" s="38">
        <f>SUM(Bill!$L769:$R769)</f>
        <v>0</v>
      </c>
      <c r="U769" s="53"/>
      <c r="V769" s="50"/>
      <c r="W769" s="38">
        <f>Bill!$U769-Bill!$T769</f>
        <v>0</v>
      </c>
      <c r="Y769" s="37">
        <f>'Raw Data'!D771</f>
        <v>46327</v>
      </c>
      <c r="Z769" s="47">
        <v>0.0</v>
      </c>
      <c r="AA769" s="47"/>
      <c r="AB769" s="47"/>
      <c r="AC769" s="47"/>
      <c r="AD769" s="47"/>
      <c r="AE769" s="47"/>
      <c r="AF769" s="47"/>
      <c r="AG769" s="47"/>
    </row>
    <row r="770" ht="15.75" customHeight="1">
      <c r="A770" s="35">
        <f>Bill!$Y770</f>
        <v>46328</v>
      </c>
      <c r="B770" s="43">
        <f>'Raw Data'!E772+Bill!$L$2</f>
        <v>20</v>
      </c>
      <c r="C770" s="43">
        <f>'Raw Data'!E772+Bill!$M$2</f>
        <v>25</v>
      </c>
      <c r="D770" s="43">
        <f>('Raw Data'!$F772*2)-10</f>
        <v>-10</v>
      </c>
      <c r="E770" s="43">
        <f>'Raw Data'!F772+Bill!$O$2</f>
        <v>20</v>
      </c>
      <c r="F770" s="43">
        <f>'Raw Data'!F772+Bill!$P$2</f>
        <v>25</v>
      </c>
      <c r="G770" s="43">
        <f>'Raw Data'!E772+Bill!$Q$2</f>
        <v>50</v>
      </c>
      <c r="H770" s="43">
        <f>('Raw Data'!F772+Bill!$R$2)</f>
        <v>20</v>
      </c>
      <c r="I770" s="36">
        <f>'Raw Data'!G772/100</f>
        <v>0</v>
      </c>
      <c r="K770" s="37">
        <f>Bill!$Y770</f>
        <v>46328</v>
      </c>
      <c r="L770" s="38">
        <f>Bill!$AA770*('Raw Data'!$E772+$L$2)</f>
        <v>0</v>
      </c>
      <c r="M770" s="38">
        <f>Bill!$AB770*('Raw Data'!$E772+$M$2)</f>
        <v>0</v>
      </c>
      <c r="N770" s="38">
        <f>(('Raw Data'!$F772 * 2)-10)*Bill!$AC770</f>
        <v>0</v>
      </c>
      <c r="O770" s="38">
        <f>('Raw Data'!F772+Bill!$O$2)*Bill!$AD770</f>
        <v>0</v>
      </c>
      <c r="P770" s="38">
        <f>('Raw Data'!F772+Bill!$P$2)*Bill!$AE770</f>
        <v>0</v>
      </c>
      <c r="Q770" s="38">
        <f>Bill!$Z770*('Raw Data'!$E772+$Q$2)</f>
        <v>0</v>
      </c>
      <c r="R770" s="38">
        <f>('Raw Data'!F772+Bill!$R$2)*Bill!$AF770</f>
        <v>0</v>
      </c>
      <c r="S770" s="48">
        <f>('Raw Data'!G772/100)*Bill!$AG770</f>
        <v>0</v>
      </c>
      <c r="T770" s="38">
        <f>SUM(Bill!$L770:$R770)</f>
        <v>0</v>
      </c>
      <c r="U770" s="53"/>
      <c r="V770" s="50"/>
      <c r="W770" s="38">
        <f>Bill!$U770-Bill!$T770</f>
        <v>0</v>
      </c>
      <c r="Y770" s="37">
        <f>'Raw Data'!D772</f>
        <v>46328</v>
      </c>
      <c r="Z770" s="47">
        <v>0.0</v>
      </c>
      <c r="AA770" s="47"/>
      <c r="AB770" s="47"/>
      <c r="AC770" s="47"/>
      <c r="AD770" s="47"/>
      <c r="AE770" s="47"/>
      <c r="AF770" s="47"/>
      <c r="AG770" s="47"/>
    </row>
    <row r="771" ht="15.75" customHeight="1">
      <c r="A771" s="35">
        <f>Bill!$Y771</f>
        <v>46329</v>
      </c>
      <c r="B771" s="43">
        <f>'Raw Data'!E773+Bill!$L$2</f>
        <v>20</v>
      </c>
      <c r="C771" s="43">
        <f>'Raw Data'!E773+Bill!$M$2</f>
        <v>25</v>
      </c>
      <c r="D771" s="43">
        <f>('Raw Data'!$F773*2)-10</f>
        <v>-10</v>
      </c>
      <c r="E771" s="43">
        <f>'Raw Data'!F773+Bill!$O$2</f>
        <v>20</v>
      </c>
      <c r="F771" s="43">
        <f>'Raw Data'!F773+Bill!$P$2</f>
        <v>25</v>
      </c>
      <c r="G771" s="43">
        <f>'Raw Data'!E773+Bill!$Q$2</f>
        <v>50</v>
      </c>
      <c r="H771" s="43">
        <f>('Raw Data'!F773+Bill!$R$2)</f>
        <v>20</v>
      </c>
      <c r="I771" s="36">
        <f>'Raw Data'!G773/100</f>
        <v>0</v>
      </c>
      <c r="K771" s="37">
        <f>Bill!$Y771</f>
        <v>46329</v>
      </c>
      <c r="L771" s="38">
        <f>Bill!$AA771*('Raw Data'!$E773+$L$2)</f>
        <v>0</v>
      </c>
      <c r="M771" s="38">
        <f>Bill!$AB771*('Raw Data'!$E773+$M$2)</f>
        <v>0</v>
      </c>
      <c r="N771" s="38">
        <f>(('Raw Data'!$F773 * 2)-10)*Bill!$AC771</f>
        <v>0</v>
      </c>
      <c r="O771" s="38">
        <f>('Raw Data'!F773+Bill!$O$2)*Bill!$AD771</f>
        <v>0</v>
      </c>
      <c r="P771" s="38">
        <f>('Raw Data'!F773+Bill!$P$2)*Bill!$AE771</f>
        <v>0</v>
      </c>
      <c r="Q771" s="38">
        <f>Bill!$Z771*('Raw Data'!$E773+$Q$2)</f>
        <v>0</v>
      </c>
      <c r="R771" s="38">
        <f>('Raw Data'!F773+Bill!$R$2)*Bill!$AF771</f>
        <v>0</v>
      </c>
      <c r="S771" s="48">
        <f>('Raw Data'!G773/100)*Bill!$AG771</f>
        <v>0</v>
      </c>
      <c r="T771" s="38">
        <f>SUM(Bill!$L771:$R771)</f>
        <v>0</v>
      </c>
      <c r="U771" s="53"/>
      <c r="V771" s="50"/>
      <c r="W771" s="38">
        <f>Bill!$U771-Bill!$T771</f>
        <v>0</v>
      </c>
      <c r="Y771" s="37">
        <f>'Raw Data'!D773</f>
        <v>46329</v>
      </c>
      <c r="Z771" s="47">
        <v>0.0</v>
      </c>
      <c r="AA771" s="47"/>
      <c r="AB771" s="47"/>
      <c r="AC771" s="47"/>
      <c r="AD771" s="47"/>
      <c r="AE771" s="47"/>
      <c r="AF771" s="47"/>
      <c r="AG771" s="47"/>
    </row>
    <row r="772" ht="15.75" customHeight="1">
      <c r="A772" s="35">
        <f>Bill!$Y772</f>
        <v>46330</v>
      </c>
      <c r="B772" s="43">
        <f>'Raw Data'!E774+Bill!$L$2</f>
        <v>20</v>
      </c>
      <c r="C772" s="43">
        <f>'Raw Data'!E774+Bill!$M$2</f>
        <v>25</v>
      </c>
      <c r="D772" s="43">
        <f>('Raw Data'!$F774*2)-10</f>
        <v>-10</v>
      </c>
      <c r="E772" s="43">
        <f>'Raw Data'!F774+Bill!$O$2</f>
        <v>20</v>
      </c>
      <c r="F772" s="43">
        <f>'Raw Data'!F774+Bill!$P$2</f>
        <v>25</v>
      </c>
      <c r="G772" s="43">
        <f>'Raw Data'!E774+Bill!$Q$2</f>
        <v>50</v>
      </c>
      <c r="H772" s="43">
        <f>('Raw Data'!F774+Bill!$R$2)</f>
        <v>20</v>
      </c>
      <c r="I772" s="36">
        <f>'Raw Data'!G774/100</f>
        <v>0</v>
      </c>
      <c r="K772" s="37">
        <f>Bill!$Y772</f>
        <v>46330</v>
      </c>
      <c r="L772" s="38">
        <f>Bill!$AA772*('Raw Data'!$E774+$L$2)</f>
        <v>0</v>
      </c>
      <c r="M772" s="38">
        <f>Bill!$AB772*('Raw Data'!$E774+$M$2)</f>
        <v>0</v>
      </c>
      <c r="N772" s="38">
        <f>(('Raw Data'!$F774 * 2)-10)*Bill!$AC772</f>
        <v>0</v>
      </c>
      <c r="O772" s="38">
        <f>('Raw Data'!F774+Bill!$O$2)*Bill!$AD772</f>
        <v>0</v>
      </c>
      <c r="P772" s="38">
        <f>('Raw Data'!F774+Bill!$P$2)*Bill!$AE772</f>
        <v>0</v>
      </c>
      <c r="Q772" s="38">
        <f>Bill!$Z772*('Raw Data'!$E774+$Q$2)</f>
        <v>0</v>
      </c>
      <c r="R772" s="38">
        <f>('Raw Data'!F774+Bill!$R$2)*Bill!$AF772</f>
        <v>0</v>
      </c>
      <c r="S772" s="48">
        <f>('Raw Data'!G774/100)*Bill!$AG772</f>
        <v>0</v>
      </c>
      <c r="T772" s="38">
        <f>SUM(Bill!$L772:$R772)</f>
        <v>0</v>
      </c>
      <c r="U772" s="53"/>
      <c r="V772" s="50"/>
      <c r="W772" s="38">
        <f>Bill!$U772-Bill!$T772</f>
        <v>0</v>
      </c>
      <c r="Y772" s="37">
        <f>'Raw Data'!D774</f>
        <v>46330</v>
      </c>
      <c r="Z772" s="47">
        <v>0.0</v>
      </c>
      <c r="AA772" s="47"/>
      <c r="AB772" s="47"/>
      <c r="AC772" s="47"/>
      <c r="AD772" s="47"/>
      <c r="AE772" s="47"/>
      <c r="AF772" s="47"/>
      <c r="AG772" s="47"/>
    </row>
    <row r="773" ht="15.75" customHeight="1">
      <c r="A773" s="35">
        <f>Bill!$Y773</f>
        <v>46331</v>
      </c>
      <c r="B773" s="43">
        <f>'Raw Data'!E775+Bill!$L$2</f>
        <v>20</v>
      </c>
      <c r="C773" s="43">
        <f>'Raw Data'!E775+Bill!$M$2</f>
        <v>25</v>
      </c>
      <c r="D773" s="43">
        <f>('Raw Data'!$F775*2)-10</f>
        <v>-10</v>
      </c>
      <c r="E773" s="43">
        <f>'Raw Data'!F775+Bill!$O$2</f>
        <v>20</v>
      </c>
      <c r="F773" s="43">
        <f>'Raw Data'!F775+Bill!$P$2</f>
        <v>25</v>
      </c>
      <c r="G773" s="43">
        <f>'Raw Data'!E775+Bill!$Q$2</f>
        <v>50</v>
      </c>
      <c r="H773" s="43">
        <f>('Raw Data'!F775+Bill!$R$2)</f>
        <v>20</v>
      </c>
      <c r="I773" s="36">
        <f>'Raw Data'!G775/100</f>
        <v>0</v>
      </c>
      <c r="K773" s="37">
        <f>Bill!$Y773</f>
        <v>46331</v>
      </c>
      <c r="L773" s="38">
        <f>Bill!$AA773*('Raw Data'!$E775+$L$2)</f>
        <v>0</v>
      </c>
      <c r="M773" s="38">
        <f>Bill!$AB773*('Raw Data'!$E775+$M$2)</f>
        <v>0</v>
      </c>
      <c r="N773" s="38">
        <f>(('Raw Data'!$F775 * 2)-10)*Bill!$AC773</f>
        <v>0</v>
      </c>
      <c r="O773" s="38">
        <f>('Raw Data'!F775+Bill!$O$2)*Bill!$AD773</f>
        <v>0</v>
      </c>
      <c r="P773" s="38">
        <f>('Raw Data'!F775+Bill!$P$2)*Bill!$AE773</f>
        <v>0</v>
      </c>
      <c r="Q773" s="38">
        <f>Bill!$Z773*('Raw Data'!$E775+$Q$2)</f>
        <v>0</v>
      </c>
      <c r="R773" s="38">
        <f>('Raw Data'!F775+Bill!$R$2)*Bill!$AF773</f>
        <v>0</v>
      </c>
      <c r="S773" s="48">
        <f>('Raw Data'!G775/100)*Bill!$AG773</f>
        <v>0</v>
      </c>
      <c r="T773" s="38">
        <f>SUM(Bill!$L773:$R773)</f>
        <v>0</v>
      </c>
      <c r="U773" s="53"/>
      <c r="V773" s="50"/>
      <c r="W773" s="38">
        <f>Bill!$U773-Bill!$T773</f>
        <v>0</v>
      </c>
      <c r="Y773" s="37">
        <f>'Raw Data'!D775</f>
        <v>46331</v>
      </c>
      <c r="Z773" s="47">
        <v>0.0</v>
      </c>
      <c r="AA773" s="47"/>
      <c r="AB773" s="47"/>
      <c r="AC773" s="47"/>
      <c r="AD773" s="47"/>
      <c r="AE773" s="47"/>
      <c r="AF773" s="47"/>
      <c r="AG773" s="47"/>
    </row>
    <row r="774" ht="15.75" customHeight="1">
      <c r="A774" s="35">
        <f>Bill!$Y774</f>
        <v>46332</v>
      </c>
      <c r="B774" s="43">
        <f>'Raw Data'!E776+Bill!$L$2</f>
        <v>20</v>
      </c>
      <c r="C774" s="43">
        <f>'Raw Data'!E776+Bill!$M$2</f>
        <v>25</v>
      </c>
      <c r="D774" s="43">
        <f>('Raw Data'!$F776*2)-10</f>
        <v>-10</v>
      </c>
      <c r="E774" s="43">
        <f>'Raw Data'!F776+Bill!$O$2</f>
        <v>20</v>
      </c>
      <c r="F774" s="43">
        <f>'Raw Data'!F776+Bill!$P$2</f>
        <v>25</v>
      </c>
      <c r="G774" s="43">
        <f>'Raw Data'!E776+Bill!$Q$2</f>
        <v>50</v>
      </c>
      <c r="H774" s="43">
        <f>('Raw Data'!F776+Bill!$R$2)</f>
        <v>20</v>
      </c>
      <c r="I774" s="36">
        <f>'Raw Data'!G776/100</f>
        <v>0</v>
      </c>
      <c r="K774" s="37">
        <f>Bill!$Y774</f>
        <v>46332</v>
      </c>
      <c r="L774" s="38">
        <f>Bill!$AA774*('Raw Data'!$E776+$L$2)</f>
        <v>0</v>
      </c>
      <c r="M774" s="38">
        <f>Bill!$AB774*('Raw Data'!$E776+$M$2)</f>
        <v>0</v>
      </c>
      <c r="N774" s="38">
        <f>(('Raw Data'!$F776 * 2)-10)*Bill!$AC774</f>
        <v>0</v>
      </c>
      <c r="O774" s="38">
        <f>('Raw Data'!F776+Bill!$O$2)*Bill!$AD774</f>
        <v>0</v>
      </c>
      <c r="P774" s="38">
        <f>('Raw Data'!F776+Bill!$P$2)*Bill!$AE774</f>
        <v>0</v>
      </c>
      <c r="Q774" s="38">
        <f>Bill!$Z774*('Raw Data'!$E776+$Q$2)</f>
        <v>0</v>
      </c>
      <c r="R774" s="38">
        <f>('Raw Data'!F776+Bill!$R$2)*Bill!$AF774</f>
        <v>0</v>
      </c>
      <c r="S774" s="48">
        <f>('Raw Data'!G776/100)*Bill!$AG774</f>
        <v>0</v>
      </c>
      <c r="T774" s="38">
        <f>SUM(Bill!$L774:$R774)</f>
        <v>0</v>
      </c>
      <c r="U774" s="53"/>
      <c r="V774" s="50"/>
      <c r="W774" s="38">
        <f>Bill!$U774-Bill!$T774</f>
        <v>0</v>
      </c>
      <c r="Y774" s="37">
        <f>'Raw Data'!D776</f>
        <v>46332</v>
      </c>
      <c r="Z774" s="47">
        <v>0.0</v>
      </c>
      <c r="AA774" s="47"/>
      <c r="AB774" s="47"/>
      <c r="AC774" s="47"/>
      <c r="AD774" s="47"/>
      <c r="AE774" s="47"/>
      <c r="AF774" s="47"/>
      <c r="AG774" s="47"/>
    </row>
    <row r="775" ht="15.75" customHeight="1">
      <c r="A775" s="35">
        <f>Bill!$Y775</f>
        <v>46333</v>
      </c>
      <c r="B775" s="43">
        <f>'Raw Data'!E777+Bill!$L$2</f>
        <v>20</v>
      </c>
      <c r="C775" s="43">
        <f>'Raw Data'!E777+Bill!$M$2</f>
        <v>25</v>
      </c>
      <c r="D775" s="43">
        <f>('Raw Data'!$F777*2)-10</f>
        <v>-10</v>
      </c>
      <c r="E775" s="43">
        <f>'Raw Data'!F777+Bill!$O$2</f>
        <v>20</v>
      </c>
      <c r="F775" s="43">
        <f>'Raw Data'!F777+Bill!$P$2</f>
        <v>25</v>
      </c>
      <c r="G775" s="43">
        <f>'Raw Data'!E777+Bill!$Q$2</f>
        <v>50</v>
      </c>
      <c r="H775" s="43">
        <f>('Raw Data'!F777+Bill!$R$2)</f>
        <v>20</v>
      </c>
      <c r="I775" s="36">
        <f>'Raw Data'!G777/100</f>
        <v>0</v>
      </c>
      <c r="K775" s="37">
        <f>Bill!$Y775</f>
        <v>46333</v>
      </c>
      <c r="L775" s="38">
        <f>Bill!$AA775*('Raw Data'!$E777+$L$2)</f>
        <v>0</v>
      </c>
      <c r="M775" s="38">
        <f>Bill!$AB775*('Raw Data'!$E777+$M$2)</f>
        <v>0</v>
      </c>
      <c r="N775" s="38">
        <f>(('Raw Data'!$F777 * 2)-10)*Bill!$AC775</f>
        <v>0</v>
      </c>
      <c r="O775" s="38">
        <f>('Raw Data'!F777+Bill!$O$2)*Bill!$AD775</f>
        <v>0</v>
      </c>
      <c r="P775" s="38">
        <f>('Raw Data'!F777+Bill!$P$2)*Bill!$AE775</f>
        <v>0</v>
      </c>
      <c r="Q775" s="38">
        <f>Bill!$Z775*('Raw Data'!$E777+$Q$2)</f>
        <v>0</v>
      </c>
      <c r="R775" s="38">
        <f>('Raw Data'!F777+Bill!$R$2)*Bill!$AF775</f>
        <v>0</v>
      </c>
      <c r="S775" s="48">
        <f>('Raw Data'!G777/100)*Bill!$AG775</f>
        <v>0</v>
      </c>
      <c r="T775" s="38">
        <f>SUM(Bill!$L775:$R775)</f>
        <v>0</v>
      </c>
      <c r="U775" s="53"/>
      <c r="V775" s="50"/>
      <c r="W775" s="38">
        <f>Bill!$U775-Bill!$T775</f>
        <v>0</v>
      </c>
      <c r="Y775" s="37">
        <f>'Raw Data'!D777</f>
        <v>46333</v>
      </c>
      <c r="Z775" s="47">
        <v>0.0</v>
      </c>
      <c r="AA775" s="47"/>
      <c r="AB775" s="47"/>
      <c r="AC775" s="47"/>
      <c r="AD775" s="47"/>
      <c r="AE775" s="47"/>
      <c r="AF775" s="47"/>
      <c r="AG775" s="47"/>
    </row>
    <row r="776" ht="15.75" customHeight="1">
      <c r="A776" s="35">
        <f>Bill!$Y776</f>
        <v>46334</v>
      </c>
      <c r="B776" s="43">
        <f>'Raw Data'!E778+Bill!$L$2</f>
        <v>20</v>
      </c>
      <c r="C776" s="43">
        <f>'Raw Data'!E778+Bill!$M$2</f>
        <v>25</v>
      </c>
      <c r="D776" s="43">
        <f>('Raw Data'!$F778*2)-10</f>
        <v>-10</v>
      </c>
      <c r="E776" s="43">
        <f>'Raw Data'!F778+Bill!$O$2</f>
        <v>20</v>
      </c>
      <c r="F776" s="43">
        <f>'Raw Data'!F778+Bill!$P$2</f>
        <v>25</v>
      </c>
      <c r="G776" s="43">
        <f>'Raw Data'!E778+Bill!$Q$2</f>
        <v>50</v>
      </c>
      <c r="H776" s="43">
        <f>('Raw Data'!F778+Bill!$R$2)</f>
        <v>20</v>
      </c>
      <c r="I776" s="36">
        <f>'Raw Data'!G778/100</f>
        <v>0</v>
      </c>
      <c r="K776" s="37">
        <f>Bill!$Y776</f>
        <v>46334</v>
      </c>
      <c r="L776" s="38">
        <f>Bill!$AA776*('Raw Data'!$E778+$L$2)</f>
        <v>0</v>
      </c>
      <c r="M776" s="38">
        <f>Bill!$AB776*('Raw Data'!$E778+$M$2)</f>
        <v>0</v>
      </c>
      <c r="N776" s="38">
        <f>(('Raw Data'!$F778 * 2)-10)*Bill!$AC776</f>
        <v>0</v>
      </c>
      <c r="O776" s="38">
        <f>('Raw Data'!F778+Bill!$O$2)*Bill!$AD776</f>
        <v>0</v>
      </c>
      <c r="P776" s="38">
        <f>('Raw Data'!F778+Bill!$P$2)*Bill!$AE776</f>
        <v>0</v>
      </c>
      <c r="Q776" s="38">
        <f>Bill!$Z776*('Raw Data'!$E778+$Q$2)</f>
        <v>0</v>
      </c>
      <c r="R776" s="38">
        <f>('Raw Data'!F778+Bill!$R$2)*Bill!$AF776</f>
        <v>0</v>
      </c>
      <c r="S776" s="48">
        <f>('Raw Data'!G778/100)*Bill!$AG776</f>
        <v>0</v>
      </c>
      <c r="T776" s="38">
        <f>SUM(Bill!$L776:$R776)</f>
        <v>0</v>
      </c>
      <c r="U776" s="53"/>
      <c r="V776" s="50"/>
      <c r="W776" s="38">
        <f>Bill!$U776-Bill!$T776</f>
        <v>0</v>
      </c>
      <c r="Y776" s="37">
        <f>'Raw Data'!D778</f>
        <v>46334</v>
      </c>
      <c r="Z776" s="47">
        <v>0.0</v>
      </c>
      <c r="AA776" s="47"/>
      <c r="AB776" s="47"/>
      <c r="AC776" s="47"/>
      <c r="AD776" s="47"/>
      <c r="AE776" s="47"/>
      <c r="AF776" s="47"/>
      <c r="AG776" s="47"/>
    </row>
    <row r="777" ht="15.75" customHeight="1">
      <c r="A777" s="35">
        <f>Bill!$Y777</f>
        <v>46335</v>
      </c>
      <c r="B777" s="43">
        <f>'Raw Data'!E779+Bill!$L$2</f>
        <v>20</v>
      </c>
      <c r="C777" s="43">
        <f>'Raw Data'!E779+Bill!$M$2</f>
        <v>25</v>
      </c>
      <c r="D777" s="43">
        <f>('Raw Data'!$F779*2)-10</f>
        <v>-10</v>
      </c>
      <c r="E777" s="43">
        <f>'Raw Data'!F779+Bill!$O$2</f>
        <v>20</v>
      </c>
      <c r="F777" s="43">
        <f>'Raw Data'!F779+Bill!$P$2</f>
        <v>25</v>
      </c>
      <c r="G777" s="43">
        <f>'Raw Data'!E779+Bill!$Q$2</f>
        <v>50</v>
      </c>
      <c r="H777" s="43">
        <f>('Raw Data'!F779+Bill!$R$2)</f>
        <v>20</v>
      </c>
      <c r="I777" s="36">
        <f>'Raw Data'!G779/100</f>
        <v>0</v>
      </c>
      <c r="K777" s="37">
        <f>Bill!$Y777</f>
        <v>46335</v>
      </c>
      <c r="L777" s="38">
        <f>Bill!$AA777*('Raw Data'!$E779+$L$2)</f>
        <v>0</v>
      </c>
      <c r="M777" s="38">
        <f>Bill!$AB777*('Raw Data'!$E779+$M$2)</f>
        <v>0</v>
      </c>
      <c r="N777" s="38">
        <f>(('Raw Data'!$F779 * 2)-10)*Bill!$AC777</f>
        <v>0</v>
      </c>
      <c r="O777" s="38">
        <f>('Raw Data'!F779+Bill!$O$2)*Bill!$AD777</f>
        <v>0</v>
      </c>
      <c r="P777" s="38">
        <f>('Raw Data'!F779+Bill!$P$2)*Bill!$AE777</f>
        <v>0</v>
      </c>
      <c r="Q777" s="38">
        <f>Bill!$Z777*('Raw Data'!$E779+$Q$2)</f>
        <v>0</v>
      </c>
      <c r="R777" s="38">
        <f>('Raw Data'!F779+Bill!$R$2)*Bill!$AF777</f>
        <v>0</v>
      </c>
      <c r="S777" s="48">
        <f>('Raw Data'!G779/100)*Bill!$AG777</f>
        <v>0</v>
      </c>
      <c r="T777" s="38">
        <f>SUM(Bill!$L777:$R777)</f>
        <v>0</v>
      </c>
      <c r="U777" s="53"/>
      <c r="V777" s="50"/>
      <c r="W777" s="38">
        <f>Bill!$U777-Bill!$T777</f>
        <v>0</v>
      </c>
      <c r="Y777" s="37">
        <f>'Raw Data'!D779</f>
        <v>46335</v>
      </c>
      <c r="Z777" s="47">
        <v>0.0</v>
      </c>
      <c r="AA777" s="47"/>
      <c r="AB777" s="47"/>
      <c r="AC777" s="47"/>
      <c r="AD777" s="47"/>
      <c r="AE777" s="47"/>
      <c r="AF777" s="47"/>
      <c r="AG777" s="47"/>
    </row>
    <row r="778" ht="15.75" customHeight="1">
      <c r="A778" s="35">
        <f>Bill!$Y778</f>
        <v>46336</v>
      </c>
      <c r="B778" s="43">
        <f>'Raw Data'!E780+Bill!$L$2</f>
        <v>20</v>
      </c>
      <c r="C778" s="43">
        <f>'Raw Data'!E780+Bill!$M$2</f>
        <v>25</v>
      </c>
      <c r="D778" s="43">
        <f>('Raw Data'!$F780*2)-10</f>
        <v>-10</v>
      </c>
      <c r="E778" s="43">
        <f>'Raw Data'!F780+Bill!$O$2</f>
        <v>20</v>
      </c>
      <c r="F778" s="43">
        <f>'Raw Data'!F780+Bill!$P$2</f>
        <v>25</v>
      </c>
      <c r="G778" s="43">
        <f>'Raw Data'!E780+Bill!$Q$2</f>
        <v>50</v>
      </c>
      <c r="H778" s="43">
        <f>('Raw Data'!F780+Bill!$R$2)</f>
        <v>20</v>
      </c>
      <c r="I778" s="36">
        <f>'Raw Data'!G780/100</f>
        <v>0</v>
      </c>
      <c r="K778" s="37">
        <f>Bill!$Y778</f>
        <v>46336</v>
      </c>
      <c r="L778" s="38">
        <f>Bill!$AA778*('Raw Data'!$E780+$L$2)</f>
        <v>0</v>
      </c>
      <c r="M778" s="38">
        <f>Bill!$AB778*('Raw Data'!$E780+$M$2)</f>
        <v>0</v>
      </c>
      <c r="N778" s="38">
        <f>(('Raw Data'!$F780 * 2)-10)*Bill!$AC778</f>
        <v>0</v>
      </c>
      <c r="O778" s="38">
        <f>('Raw Data'!F780+Bill!$O$2)*Bill!$AD778</f>
        <v>0</v>
      </c>
      <c r="P778" s="38">
        <f>('Raw Data'!F780+Bill!$P$2)*Bill!$AE778</f>
        <v>0</v>
      </c>
      <c r="Q778" s="38">
        <f>Bill!$Z778*('Raw Data'!$E780+$Q$2)</f>
        <v>0</v>
      </c>
      <c r="R778" s="38">
        <f>('Raw Data'!F780+Bill!$R$2)*Bill!$AF778</f>
        <v>0</v>
      </c>
      <c r="S778" s="48">
        <f>('Raw Data'!G780/100)*Bill!$AG778</f>
        <v>0</v>
      </c>
      <c r="T778" s="38">
        <f>SUM(Bill!$L778:$R778)</f>
        <v>0</v>
      </c>
      <c r="U778" s="53"/>
      <c r="V778" s="50"/>
      <c r="W778" s="38">
        <f>Bill!$U778-Bill!$T778</f>
        <v>0</v>
      </c>
      <c r="Y778" s="37">
        <f>'Raw Data'!D780</f>
        <v>46336</v>
      </c>
      <c r="Z778" s="47">
        <v>0.0</v>
      </c>
      <c r="AA778" s="47"/>
      <c r="AB778" s="47"/>
      <c r="AC778" s="47"/>
      <c r="AD778" s="47"/>
      <c r="AE778" s="47"/>
      <c r="AF778" s="47"/>
      <c r="AG778" s="47"/>
    </row>
    <row r="779" ht="15.75" customHeight="1">
      <c r="A779" s="35">
        <f>Bill!$Y779</f>
        <v>46337</v>
      </c>
      <c r="B779" s="43">
        <f>'Raw Data'!E781+Bill!$L$2</f>
        <v>20</v>
      </c>
      <c r="C779" s="43">
        <f>'Raw Data'!E781+Bill!$M$2</f>
        <v>25</v>
      </c>
      <c r="D779" s="43">
        <f>('Raw Data'!$F781*2)-10</f>
        <v>-10</v>
      </c>
      <c r="E779" s="43">
        <f>'Raw Data'!F781+Bill!$O$2</f>
        <v>20</v>
      </c>
      <c r="F779" s="43">
        <f>'Raw Data'!F781+Bill!$P$2</f>
        <v>25</v>
      </c>
      <c r="G779" s="43">
        <f>'Raw Data'!E781+Bill!$Q$2</f>
        <v>50</v>
      </c>
      <c r="H779" s="43">
        <f>('Raw Data'!F781+Bill!$R$2)</f>
        <v>20</v>
      </c>
      <c r="I779" s="36">
        <f>'Raw Data'!G781/100</f>
        <v>0</v>
      </c>
      <c r="K779" s="37">
        <f>Bill!$Y779</f>
        <v>46337</v>
      </c>
      <c r="L779" s="38">
        <f>Bill!$AA779*('Raw Data'!$E781+$L$2)</f>
        <v>0</v>
      </c>
      <c r="M779" s="38">
        <f>Bill!$AB779*('Raw Data'!$E781+$M$2)</f>
        <v>0</v>
      </c>
      <c r="N779" s="38">
        <f>(('Raw Data'!$F781 * 2)-10)*Bill!$AC779</f>
        <v>0</v>
      </c>
      <c r="O779" s="38">
        <f>('Raw Data'!F781+Bill!$O$2)*Bill!$AD779</f>
        <v>0</v>
      </c>
      <c r="P779" s="38">
        <f>('Raw Data'!F781+Bill!$P$2)*Bill!$AE779</f>
        <v>0</v>
      </c>
      <c r="Q779" s="38">
        <f>Bill!$Z779*('Raw Data'!$E781+$Q$2)</f>
        <v>0</v>
      </c>
      <c r="R779" s="38">
        <f>('Raw Data'!F781+Bill!$R$2)*Bill!$AF779</f>
        <v>0</v>
      </c>
      <c r="S779" s="48">
        <f>('Raw Data'!G781/100)*Bill!$AG779</f>
        <v>0</v>
      </c>
      <c r="T779" s="38">
        <f>SUM(Bill!$L779:$R779)</f>
        <v>0</v>
      </c>
      <c r="U779" s="53"/>
      <c r="V779" s="50"/>
      <c r="W779" s="38">
        <f>Bill!$U779-Bill!$T779</f>
        <v>0</v>
      </c>
      <c r="Y779" s="37">
        <f>'Raw Data'!D781</f>
        <v>46337</v>
      </c>
      <c r="Z779" s="47">
        <v>0.0</v>
      </c>
      <c r="AA779" s="47"/>
      <c r="AB779" s="47"/>
      <c r="AC779" s="47"/>
      <c r="AD779" s="47"/>
      <c r="AE779" s="47"/>
      <c r="AF779" s="47"/>
      <c r="AG779" s="47"/>
    </row>
    <row r="780" ht="15.75" customHeight="1">
      <c r="A780" s="35">
        <f>Bill!$Y780</f>
        <v>46338</v>
      </c>
      <c r="B780" s="43">
        <f>'Raw Data'!E782+Bill!$L$2</f>
        <v>20</v>
      </c>
      <c r="C780" s="43">
        <f>'Raw Data'!E782+Bill!$M$2</f>
        <v>25</v>
      </c>
      <c r="D780" s="43">
        <f>('Raw Data'!$F782*2)-10</f>
        <v>-10</v>
      </c>
      <c r="E780" s="43">
        <f>'Raw Data'!F782+Bill!$O$2</f>
        <v>20</v>
      </c>
      <c r="F780" s="43">
        <f>'Raw Data'!F782+Bill!$P$2</f>
        <v>25</v>
      </c>
      <c r="G780" s="43">
        <f>'Raw Data'!E782+Bill!$Q$2</f>
        <v>50</v>
      </c>
      <c r="H780" s="43">
        <f>('Raw Data'!F782+Bill!$R$2)</f>
        <v>20</v>
      </c>
      <c r="I780" s="36">
        <f>'Raw Data'!G782/100</f>
        <v>0</v>
      </c>
      <c r="K780" s="37">
        <f>Bill!$Y780</f>
        <v>46338</v>
      </c>
      <c r="L780" s="38">
        <f>Bill!$AA780*('Raw Data'!$E782+$L$2)</f>
        <v>0</v>
      </c>
      <c r="M780" s="38">
        <f>Bill!$AB780*('Raw Data'!$E782+$M$2)</f>
        <v>0</v>
      </c>
      <c r="N780" s="38">
        <f>(('Raw Data'!$F782 * 2)-10)*Bill!$AC780</f>
        <v>0</v>
      </c>
      <c r="O780" s="38">
        <f>('Raw Data'!F782+Bill!$O$2)*Bill!$AD780</f>
        <v>0</v>
      </c>
      <c r="P780" s="38">
        <f>('Raw Data'!F782+Bill!$P$2)*Bill!$AE780</f>
        <v>0</v>
      </c>
      <c r="Q780" s="38">
        <f>Bill!$Z780*('Raw Data'!$E782+$Q$2)</f>
        <v>0</v>
      </c>
      <c r="R780" s="38">
        <f>('Raw Data'!F782+Bill!$R$2)*Bill!$AF780</f>
        <v>0</v>
      </c>
      <c r="S780" s="48">
        <f>('Raw Data'!G782/100)*Bill!$AG780</f>
        <v>0</v>
      </c>
      <c r="T780" s="38">
        <f>SUM(Bill!$L780:$R780)</f>
        <v>0</v>
      </c>
      <c r="U780" s="53"/>
      <c r="V780" s="50"/>
      <c r="W780" s="38">
        <f>Bill!$U780-Bill!$T780</f>
        <v>0</v>
      </c>
      <c r="Y780" s="37">
        <f>'Raw Data'!D782</f>
        <v>46338</v>
      </c>
      <c r="Z780" s="47">
        <v>0.0</v>
      </c>
      <c r="AA780" s="47"/>
      <c r="AB780" s="47"/>
      <c r="AC780" s="47"/>
      <c r="AD780" s="47"/>
      <c r="AE780" s="47"/>
      <c r="AF780" s="47"/>
      <c r="AG780" s="47"/>
    </row>
    <row r="781" ht="15.75" customHeight="1">
      <c r="A781" s="35">
        <f>Bill!$Y781</f>
        <v>46339</v>
      </c>
      <c r="B781" s="43">
        <f>'Raw Data'!E783+Bill!$L$2</f>
        <v>20</v>
      </c>
      <c r="C781" s="43">
        <f>'Raw Data'!E783+Bill!$M$2</f>
        <v>25</v>
      </c>
      <c r="D781" s="43">
        <f>('Raw Data'!$F783*2)-10</f>
        <v>-10</v>
      </c>
      <c r="E781" s="43">
        <f>'Raw Data'!F783+Bill!$O$2</f>
        <v>20</v>
      </c>
      <c r="F781" s="43">
        <f>'Raw Data'!F783+Bill!$P$2</f>
        <v>25</v>
      </c>
      <c r="G781" s="43">
        <f>'Raw Data'!E783+Bill!$Q$2</f>
        <v>50</v>
      </c>
      <c r="H781" s="43">
        <f>('Raw Data'!F783+Bill!$R$2)</f>
        <v>20</v>
      </c>
      <c r="I781" s="36">
        <f>'Raw Data'!G783/100</f>
        <v>0</v>
      </c>
      <c r="K781" s="37">
        <f>Bill!$Y781</f>
        <v>46339</v>
      </c>
      <c r="L781" s="38">
        <f>Bill!$AA781*('Raw Data'!$E783+$L$2)</f>
        <v>0</v>
      </c>
      <c r="M781" s="38">
        <f>Bill!$AB781*('Raw Data'!$E783+$M$2)</f>
        <v>0</v>
      </c>
      <c r="N781" s="38">
        <f>(('Raw Data'!$F783 * 2)-10)*Bill!$AC781</f>
        <v>0</v>
      </c>
      <c r="O781" s="38">
        <f>('Raw Data'!F783+Bill!$O$2)*Bill!$AD781</f>
        <v>0</v>
      </c>
      <c r="P781" s="38">
        <f>('Raw Data'!F783+Bill!$P$2)*Bill!$AE781</f>
        <v>0</v>
      </c>
      <c r="Q781" s="38">
        <f>Bill!$Z781*('Raw Data'!$E783+$Q$2)</f>
        <v>0</v>
      </c>
      <c r="R781" s="38">
        <f>('Raw Data'!F783+Bill!$R$2)*Bill!$AF781</f>
        <v>0</v>
      </c>
      <c r="S781" s="48">
        <f>('Raw Data'!G783/100)*Bill!$AG781</f>
        <v>0</v>
      </c>
      <c r="T781" s="38">
        <f>SUM(Bill!$L781:$R781)</f>
        <v>0</v>
      </c>
      <c r="U781" s="53"/>
      <c r="V781" s="50"/>
      <c r="W781" s="38">
        <f>Bill!$U781-Bill!$T781</f>
        <v>0</v>
      </c>
      <c r="Y781" s="37">
        <f>'Raw Data'!D783</f>
        <v>46339</v>
      </c>
      <c r="Z781" s="47">
        <v>0.0</v>
      </c>
      <c r="AA781" s="47"/>
      <c r="AB781" s="47"/>
      <c r="AC781" s="47"/>
      <c r="AD781" s="47"/>
      <c r="AE781" s="47"/>
      <c r="AF781" s="47"/>
      <c r="AG781" s="47"/>
    </row>
    <row r="782" ht="15.75" customHeight="1">
      <c r="A782" s="35">
        <f>Bill!$Y782</f>
        <v>46340</v>
      </c>
      <c r="B782" s="43">
        <f>'Raw Data'!E784+Bill!$L$2</f>
        <v>20</v>
      </c>
      <c r="C782" s="43">
        <f>'Raw Data'!E784+Bill!$M$2</f>
        <v>25</v>
      </c>
      <c r="D782" s="43">
        <f>('Raw Data'!$F784*2)-10</f>
        <v>-10</v>
      </c>
      <c r="E782" s="43">
        <f>'Raw Data'!F784+Bill!$O$2</f>
        <v>20</v>
      </c>
      <c r="F782" s="43">
        <f>'Raw Data'!F784+Bill!$P$2</f>
        <v>25</v>
      </c>
      <c r="G782" s="43">
        <f>'Raw Data'!E784+Bill!$Q$2</f>
        <v>50</v>
      </c>
      <c r="H782" s="43">
        <f>('Raw Data'!F784+Bill!$R$2)</f>
        <v>20</v>
      </c>
      <c r="I782" s="36">
        <f>'Raw Data'!G784/100</f>
        <v>0</v>
      </c>
      <c r="K782" s="37">
        <f>Bill!$Y782</f>
        <v>46340</v>
      </c>
      <c r="L782" s="38">
        <f>Bill!$AA782*('Raw Data'!$E784+$L$2)</f>
        <v>0</v>
      </c>
      <c r="M782" s="38">
        <f>Bill!$AB782*('Raw Data'!$E784+$M$2)</f>
        <v>0</v>
      </c>
      <c r="N782" s="38">
        <f>(('Raw Data'!$F784 * 2)-10)*Bill!$AC782</f>
        <v>0</v>
      </c>
      <c r="O782" s="38">
        <f>('Raw Data'!F784+Bill!$O$2)*Bill!$AD782</f>
        <v>0</v>
      </c>
      <c r="P782" s="38">
        <f>('Raw Data'!F784+Bill!$P$2)*Bill!$AE782</f>
        <v>0</v>
      </c>
      <c r="Q782" s="38">
        <f>Bill!$Z782*('Raw Data'!$E784+$Q$2)</f>
        <v>0</v>
      </c>
      <c r="R782" s="38">
        <f>('Raw Data'!F784+Bill!$R$2)*Bill!$AF782</f>
        <v>0</v>
      </c>
      <c r="S782" s="48">
        <f>('Raw Data'!G784/100)*Bill!$AG782</f>
        <v>0</v>
      </c>
      <c r="T782" s="38">
        <f>SUM(Bill!$L782:$R782)</f>
        <v>0</v>
      </c>
      <c r="U782" s="53"/>
      <c r="V782" s="50"/>
      <c r="W782" s="38">
        <f>Bill!$U782-Bill!$T782</f>
        <v>0</v>
      </c>
      <c r="Y782" s="37">
        <f>'Raw Data'!D784</f>
        <v>46340</v>
      </c>
      <c r="Z782" s="47">
        <v>0.0</v>
      </c>
      <c r="AA782" s="47"/>
      <c r="AB782" s="47"/>
      <c r="AC782" s="47"/>
      <c r="AD782" s="47"/>
      <c r="AE782" s="47"/>
      <c r="AF782" s="47"/>
      <c r="AG782" s="47"/>
    </row>
    <row r="783" ht="15.75" customHeight="1">
      <c r="A783" s="35">
        <f>Bill!$Y783</f>
        <v>46341</v>
      </c>
      <c r="B783" s="43">
        <f>'Raw Data'!E785+Bill!$L$2</f>
        <v>20</v>
      </c>
      <c r="C783" s="43">
        <f>'Raw Data'!E785+Bill!$M$2</f>
        <v>25</v>
      </c>
      <c r="D783" s="43">
        <f>('Raw Data'!$F785*2)-10</f>
        <v>-10</v>
      </c>
      <c r="E783" s="43">
        <f>'Raw Data'!F785+Bill!$O$2</f>
        <v>20</v>
      </c>
      <c r="F783" s="43">
        <f>'Raw Data'!F785+Bill!$P$2</f>
        <v>25</v>
      </c>
      <c r="G783" s="43">
        <f>'Raw Data'!E785+Bill!$Q$2</f>
        <v>50</v>
      </c>
      <c r="H783" s="43">
        <f>('Raw Data'!F785+Bill!$R$2)</f>
        <v>20</v>
      </c>
      <c r="I783" s="36">
        <f>'Raw Data'!G785/100</f>
        <v>0</v>
      </c>
      <c r="K783" s="37">
        <f>Bill!$Y783</f>
        <v>46341</v>
      </c>
      <c r="L783" s="38">
        <f>Bill!$AA783*('Raw Data'!$E785+$L$2)</f>
        <v>0</v>
      </c>
      <c r="M783" s="38">
        <f>Bill!$AB783*('Raw Data'!$E785+$M$2)</f>
        <v>0</v>
      </c>
      <c r="N783" s="38">
        <f>(('Raw Data'!$F785 * 2)-10)*Bill!$AC783</f>
        <v>0</v>
      </c>
      <c r="O783" s="38">
        <f>('Raw Data'!F785+Bill!$O$2)*Bill!$AD783</f>
        <v>0</v>
      </c>
      <c r="P783" s="38">
        <f>('Raw Data'!F785+Bill!$P$2)*Bill!$AE783</f>
        <v>0</v>
      </c>
      <c r="Q783" s="38">
        <f>Bill!$Z783*('Raw Data'!$E785+$Q$2)</f>
        <v>0</v>
      </c>
      <c r="R783" s="38">
        <f>('Raw Data'!F785+Bill!$R$2)*Bill!$AF783</f>
        <v>0</v>
      </c>
      <c r="S783" s="48">
        <f>('Raw Data'!G785/100)*Bill!$AG783</f>
        <v>0</v>
      </c>
      <c r="T783" s="38">
        <f>SUM(Bill!$L783:$R783)</f>
        <v>0</v>
      </c>
      <c r="U783" s="53"/>
      <c r="V783" s="50"/>
      <c r="W783" s="38">
        <f>Bill!$U783-Bill!$T783</f>
        <v>0</v>
      </c>
      <c r="Y783" s="37">
        <f>'Raw Data'!D785</f>
        <v>46341</v>
      </c>
      <c r="Z783" s="47">
        <v>0.0</v>
      </c>
      <c r="AA783" s="47"/>
      <c r="AB783" s="47"/>
      <c r="AC783" s="47"/>
      <c r="AD783" s="47"/>
      <c r="AE783" s="47"/>
      <c r="AF783" s="47"/>
      <c r="AG783" s="47"/>
    </row>
    <row r="784" ht="15.75" customHeight="1">
      <c r="A784" s="35">
        <f>Bill!$Y784</f>
        <v>46342</v>
      </c>
      <c r="B784" s="43">
        <f>'Raw Data'!E786+Bill!$L$2</f>
        <v>20</v>
      </c>
      <c r="C784" s="43">
        <f>'Raw Data'!E786+Bill!$M$2</f>
        <v>25</v>
      </c>
      <c r="D784" s="43">
        <f>('Raw Data'!$F786*2)-10</f>
        <v>-10</v>
      </c>
      <c r="E784" s="43">
        <f>'Raw Data'!F786+Bill!$O$2</f>
        <v>20</v>
      </c>
      <c r="F784" s="43">
        <f>'Raw Data'!F786+Bill!$P$2</f>
        <v>25</v>
      </c>
      <c r="G784" s="43">
        <f>'Raw Data'!E786+Bill!$Q$2</f>
        <v>50</v>
      </c>
      <c r="H784" s="43">
        <f>('Raw Data'!F786+Bill!$R$2)</f>
        <v>20</v>
      </c>
      <c r="I784" s="36">
        <f>'Raw Data'!G786/100</f>
        <v>0</v>
      </c>
      <c r="K784" s="37">
        <f>Bill!$Y784</f>
        <v>46342</v>
      </c>
      <c r="L784" s="38">
        <f>Bill!$AA784*('Raw Data'!$E786+$L$2)</f>
        <v>0</v>
      </c>
      <c r="M784" s="38">
        <f>Bill!$AB784*('Raw Data'!$E786+$M$2)</f>
        <v>0</v>
      </c>
      <c r="N784" s="38">
        <f>(('Raw Data'!$F786 * 2)-10)*Bill!$AC784</f>
        <v>0</v>
      </c>
      <c r="O784" s="38">
        <f>('Raw Data'!F786+Bill!$O$2)*Bill!$AD784</f>
        <v>0</v>
      </c>
      <c r="P784" s="38">
        <f>('Raw Data'!F786+Bill!$P$2)*Bill!$AE784</f>
        <v>0</v>
      </c>
      <c r="Q784" s="38">
        <f>Bill!$Z784*('Raw Data'!$E786+$Q$2)</f>
        <v>0</v>
      </c>
      <c r="R784" s="38">
        <f>('Raw Data'!F786+Bill!$R$2)*Bill!$AF784</f>
        <v>0</v>
      </c>
      <c r="S784" s="48">
        <f>('Raw Data'!G786/100)*Bill!$AG784</f>
        <v>0</v>
      </c>
      <c r="T784" s="38">
        <f>SUM(Bill!$L784:$R784)</f>
        <v>0</v>
      </c>
      <c r="U784" s="53"/>
      <c r="V784" s="50"/>
      <c r="W784" s="38">
        <f>Bill!$U784-Bill!$T784</f>
        <v>0</v>
      </c>
      <c r="Y784" s="37">
        <f>'Raw Data'!D786</f>
        <v>46342</v>
      </c>
      <c r="Z784" s="47">
        <v>0.0</v>
      </c>
      <c r="AA784" s="47"/>
      <c r="AB784" s="47"/>
      <c r="AC784" s="47"/>
      <c r="AD784" s="47"/>
      <c r="AE784" s="47"/>
      <c r="AF784" s="47"/>
      <c r="AG784" s="47"/>
    </row>
    <row r="785" ht="15.75" customHeight="1">
      <c r="A785" s="35">
        <f>Bill!$Y785</f>
        <v>46343</v>
      </c>
      <c r="B785" s="43">
        <f>'Raw Data'!E787+Bill!$L$2</f>
        <v>20</v>
      </c>
      <c r="C785" s="43">
        <f>'Raw Data'!E787+Bill!$M$2</f>
        <v>25</v>
      </c>
      <c r="D785" s="43">
        <f>('Raw Data'!$F787*2)-10</f>
        <v>-10</v>
      </c>
      <c r="E785" s="43">
        <f>'Raw Data'!F787+Bill!$O$2</f>
        <v>20</v>
      </c>
      <c r="F785" s="43">
        <f>'Raw Data'!F787+Bill!$P$2</f>
        <v>25</v>
      </c>
      <c r="G785" s="43">
        <f>'Raw Data'!E787+Bill!$Q$2</f>
        <v>50</v>
      </c>
      <c r="H785" s="43">
        <f>('Raw Data'!F787+Bill!$R$2)</f>
        <v>20</v>
      </c>
      <c r="I785" s="36">
        <f>'Raw Data'!G787/100</f>
        <v>0</v>
      </c>
      <c r="K785" s="37">
        <f>Bill!$Y785</f>
        <v>46343</v>
      </c>
      <c r="L785" s="38">
        <f>Bill!$AA785*('Raw Data'!$E787+$L$2)</f>
        <v>0</v>
      </c>
      <c r="M785" s="38">
        <f>Bill!$AB785*('Raw Data'!$E787+$M$2)</f>
        <v>0</v>
      </c>
      <c r="N785" s="38">
        <f>(('Raw Data'!$F787 * 2)-10)*Bill!$AC785</f>
        <v>0</v>
      </c>
      <c r="O785" s="38">
        <f>('Raw Data'!F787+Bill!$O$2)*Bill!$AD785</f>
        <v>0</v>
      </c>
      <c r="P785" s="38">
        <f>('Raw Data'!F787+Bill!$P$2)*Bill!$AE785</f>
        <v>0</v>
      </c>
      <c r="Q785" s="38">
        <f>Bill!$Z785*('Raw Data'!$E787+$Q$2)</f>
        <v>0</v>
      </c>
      <c r="R785" s="38">
        <f>('Raw Data'!F787+Bill!$R$2)*Bill!$AF785</f>
        <v>0</v>
      </c>
      <c r="S785" s="48">
        <f>('Raw Data'!G787/100)*Bill!$AG785</f>
        <v>0</v>
      </c>
      <c r="T785" s="38">
        <f>SUM(Bill!$L785:$R785)</f>
        <v>0</v>
      </c>
      <c r="U785" s="53"/>
      <c r="V785" s="50"/>
      <c r="W785" s="38">
        <f>Bill!$U785-Bill!$T785</f>
        <v>0</v>
      </c>
      <c r="Y785" s="37">
        <f>'Raw Data'!D787</f>
        <v>46343</v>
      </c>
      <c r="Z785" s="47">
        <v>0.0</v>
      </c>
      <c r="AA785" s="47"/>
      <c r="AB785" s="47"/>
      <c r="AC785" s="47"/>
      <c r="AD785" s="47"/>
      <c r="AE785" s="47"/>
      <c r="AF785" s="47"/>
      <c r="AG785" s="47"/>
    </row>
    <row r="786" ht="15.75" customHeight="1">
      <c r="A786" s="35">
        <f>Bill!$Y786</f>
        <v>46344</v>
      </c>
      <c r="B786" s="43">
        <f>'Raw Data'!E788+Bill!$L$2</f>
        <v>20</v>
      </c>
      <c r="C786" s="43">
        <f>'Raw Data'!E788+Bill!$M$2</f>
        <v>25</v>
      </c>
      <c r="D786" s="43">
        <f>('Raw Data'!$F788*2)-10</f>
        <v>-10</v>
      </c>
      <c r="E786" s="43">
        <f>'Raw Data'!F788+Bill!$O$2</f>
        <v>20</v>
      </c>
      <c r="F786" s="43">
        <f>'Raw Data'!F788+Bill!$P$2</f>
        <v>25</v>
      </c>
      <c r="G786" s="43">
        <f>'Raw Data'!E788+Bill!$Q$2</f>
        <v>50</v>
      </c>
      <c r="H786" s="43">
        <f>('Raw Data'!F788+Bill!$R$2)</f>
        <v>20</v>
      </c>
      <c r="I786" s="36">
        <f>'Raw Data'!G788/100</f>
        <v>0</v>
      </c>
      <c r="K786" s="37">
        <f>Bill!$Y786</f>
        <v>46344</v>
      </c>
      <c r="L786" s="38">
        <f>Bill!$AA786*('Raw Data'!$E788+$L$2)</f>
        <v>0</v>
      </c>
      <c r="M786" s="38">
        <f>Bill!$AB786*('Raw Data'!$E788+$M$2)</f>
        <v>0</v>
      </c>
      <c r="N786" s="38">
        <f>(('Raw Data'!$F788 * 2)-10)*Bill!$AC786</f>
        <v>0</v>
      </c>
      <c r="O786" s="38">
        <f>('Raw Data'!F788+Bill!$O$2)*Bill!$AD786</f>
        <v>0</v>
      </c>
      <c r="P786" s="38">
        <f>('Raw Data'!F788+Bill!$P$2)*Bill!$AE786</f>
        <v>0</v>
      </c>
      <c r="Q786" s="38">
        <f>Bill!$Z786*('Raw Data'!$E788+$Q$2)</f>
        <v>0</v>
      </c>
      <c r="R786" s="38">
        <f>('Raw Data'!F788+Bill!$R$2)*Bill!$AF786</f>
        <v>0</v>
      </c>
      <c r="S786" s="48">
        <f>('Raw Data'!G788/100)*Bill!$AG786</f>
        <v>0</v>
      </c>
      <c r="T786" s="38">
        <f>SUM(Bill!$L786:$R786)</f>
        <v>0</v>
      </c>
      <c r="U786" s="53"/>
      <c r="V786" s="50"/>
      <c r="W786" s="38">
        <f>Bill!$U786-Bill!$T786</f>
        <v>0</v>
      </c>
      <c r="Y786" s="37">
        <f>'Raw Data'!D788</f>
        <v>46344</v>
      </c>
      <c r="Z786" s="47">
        <v>0.0</v>
      </c>
      <c r="AA786" s="47"/>
      <c r="AB786" s="47"/>
      <c r="AC786" s="47"/>
      <c r="AD786" s="47"/>
      <c r="AE786" s="47"/>
      <c r="AF786" s="47"/>
      <c r="AG786" s="47"/>
    </row>
    <row r="787" ht="15.75" customHeight="1">
      <c r="A787" s="35">
        <f>Bill!$Y787</f>
        <v>46345</v>
      </c>
      <c r="B787" s="43">
        <f>'Raw Data'!E789+Bill!$L$2</f>
        <v>20</v>
      </c>
      <c r="C787" s="43">
        <f>'Raw Data'!E789+Bill!$M$2</f>
        <v>25</v>
      </c>
      <c r="D787" s="43">
        <f>('Raw Data'!$F789*2)-10</f>
        <v>-10</v>
      </c>
      <c r="E787" s="43">
        <f>'Raw Data'!F789+Bill!$O$2</f>
        <v>20</v>
      </c>
      <c r="F787" s="43">
        <f>'Raw Data'!F789+Bill!$P$2</f>
        <v>25</v>
      </c>
      <c r="G787" s="43">
        <f>'Raw Data'!E789+Bill!$Q$2</f>
        <v>50</v>
      </c>
      <c r="H787" s="43">
        <f>('Raw Data'!F789+Bill!$R$2)</f>
        <v>20</v>
      </c>
      <c r="I787" s="36">
        <f>'Raw Data'!G789/100</f>
        <v>0</v>
      </c>
      <c r="K787" s="37">
        <f>Bill!$Y787</f>
        <v>46345</v>
      </c>
      <c r="L787" s="38">
        <f>Bill!$AA787*('Raw Data'!$E789+$L$2)</f>
        <v>0</v>
      </c>
      <c r="M787" s="38">
        <f>Bill!$AB787*('Raw Data'!$E789+$M$2)</f>
        <v>0</v>
      </c>
      <c r="N787" s="38">
        <f>(('Raw Data'!$F789 * 2)-10)*Bill!$AC787</f>
        <v>0</v>
      </c>
      <c r="O787" s="38">
        <f>('Raw Data'!F789+Bill!$O$2)*Bill!$AD787</f>
        <v>0</v>
      </c>
      <c r="P787" s="38">
        <f>('Raw Data'!F789+Bill!$P$2)*Bill!$AE787</f>
        <v>0</v>
      </c>
      <c r="Q787" s="38">
        <f>Bill!$Z787*('Raw Data'!$E789+$Q$2)</f>
        <v>0</v>
      </c>
      <c r="R787" s="38">
        <f>('Raw Data'!F789+Bill!$R$2)*Bill!$AF787</f>
        <v>0</v>
      </c>
      <c r="S787" s="48">
        <f>('Raw Data'!G789/100)*Bill!$AG787</f>
        <v>0</v>
      </c>
      <c r="T787" s="38">
        <f>SUM(Bill!$L787:$R787)</f>
        <v>0</v>
      </c>
      <c r="U787" s="53"/>
      <c r="V787" s="50"/>
      <c r="W787" s="38">
        <f>Bill!$U787-Bill!$T787</f>
        <v>0</v>
      </c>
      <c r="Y787" s="37">
        <f>'Raw Data'!D789</f>
        <v>46345</v>
      </c>
      <c r="Z787" s="47">
        <v>0.0</v>
      </c>
      <c r="AA787" s="47"/>
      <c r="AB787" s="47"/>
      <c r="AC787" s="47"/>
      <c r="AD787" s="47"/>
      <c r="AE787" s="47"/>
      <c r="AF787" s="47"/>
      <c r="AG787" s="47"/>
    </row>
    <row r="788" ht="15.75" customHeight="1">
      <c r="A788" s="35">
        <f>Bill!$Y788</f>
        <v>46346</v>
      </c>
      <c r="B788" s="43">
        <f>'Raw Data'!E790+Bill!$L$2</f>
        <v>20</v>
      </c>
      <c r="C788" s="43">
        <f>'Raw Data'!E790+Bill!$M$2</f>
        <v>25</v>
      </c>
      <c r="D788" s="43">
        <f>('Raw Data'!$F790*2)-10</f>
        <v>-10</v>
      </c>
      <c r="E788" s="43">
        <f>'Raw Data'!F790+Bill!$O$2</f>
        <v>20</v>
      </c>
      <c r="F788" s="43">
        <f>'Raw Data'!F790+Bill!$P$2</f>
        <v>25</v>
      </c>
      <c r="G788" s="43">
        <f>'Raw Data'!E790+Bill!$Q$2</f>
        <v>50</v>
      </c>
      <c r="H788" s="43">
        <f>('Raw Data'!F790+Bill!$R$2)</f>
        <v>20</v>
      </c>
      <c r="I788" s="36">
        <f>'Raw Data'!G790/100</f>
        <v>0</v>
      </c>
      <c r="K788" s="37">
        <f>Bill!$Y788</f>
        <v>46346</v>
      </c>
      <c r="L788" s="38">
        <f>Bill!$AA788*('Raw Data'!$E790+$L$2)</f>
        <v>0</v>
      </c>
      <c r="M788" s="38">
        <f>Bill!$AB788*('Raw Data'!$E790+$M$2)</f>
        <v>0</v>
      </c>
      <c r="N788" s="38">
        <f>(('Raw Data'!$F790 * 2)-10)*Bill!$AC788</f>
        <v>0</v>
      </c>
      <c r="O788" s="38">
        <f>('Raw Data'!F790+Bill!$O$2)*Bill!$AD788</f>
        <v>0</v>
      </c>
      <c r="P788" s="38">
        <f>('Raw Data'!F790+Bill!$P$2)*Bill!$AE788</f>
        <v>0</v>
      </c>
      <c r="Q788" s="38">
        <f>Bill!$Z788*('Raw Data'!$E790+$Q$2)</f>
        <v>0</v>
      </c>
      <c r="R788" s="38">
        <f>('Raw Data'!F790+Bill!$R$2)*Bill!$AF788</f>
        <v>0</v>
      </c>
      <c r="S788" s="48">
        <f>('Raw Data'!G790/100)*Bill!$AG788</f>
        <v>0</v>
      </c>
      <c r="T788" s="38">
        <f>SUM(Bill!$L788:$R788)</f>
        <v>0</v>
      </c>
      <c r="U788" s="53"/>
      <c r="V788" s="50"/>
      <c r="W788" s="38">
        <f>Bill!$U788-Bill!$T788</f>
        <v>0</v>
      </c>
      <c r="Y788" s="37">
        <f>'Raw Data'!D790</f>
        <v>46346</v>
      </c>
      <c r="Z788" s="47">
        <v>0.0</v>
      </c>
      <c r="AA788" s="47"/>
      <c r="AB788" s="47"/>
      <c r="AC788" s="47"/>
      <c r="AD788" s="47"/>
      <c r="AE788" s="47"/>
      <c r="AF788" s="47"/>
      <c r="AG788" s="47"/>
    </row>
    <row r="789" ht="15.75" customHeight="1">
      <c r="A789" s="35">
        <f>Bill!$Y789</f>
        <v>46347</v>
      </c>
      <c r="B789" s="43">
        <f>'Raw Data'!E791+Bill!$L$2</f>
        <v>20</v>
      </c>
      <c r="C789" s="43">
        <f>'Raw Data'!E791+Bill!$M$2</f>
        <v>25</v>
      </c>
      <c r="D789" s="43">
        <f>('Raw Data'!$F791*2)-10</f>
        <v>-10</v>
      </c>
      <c r="E789" s="43">
        <f>'Raw Data'!F791+Bill!$O$2</f>
        <v>20</v>
      </c>
      <c r="F789" s="43">
        <f>'Raw Data'!F791+Bill!$P$2</f>
        <v>25</v>
      </c>
      <c r="G789" s="43">
        <f>'Raw Data'!E791+Bill!$Q$2</f>
        <v>50</v>
      </c>
      <c r="H789" s="43">
        <f>('Raw Data'!F791+Bill!$R$2)</f>
        <v>20</v>
      </c>
      <c r="I789" s="36">
        <f>'Raw Data'!G791/100</f>
        <v>0</v>
      </c>
      <c r="K789" s="37">
        <f>Bill!$Y789</f>
        <v>46347</v>
      </c>
      <c r="L789" s="38">
        <f>Bill!$AA789*('Raw Data'!$E791+$L$2)</f>
        <v>0</v>
      </c>
      <c r="M789" s="38">
        <f>Bill!$AB789*('Raw Data'!$E791+$M$2)</f>
        <v>0</v>
      </c>
      <c r="N789" s="38">
        <f>(('Raw Data'!$F791 * 2)-10)*Bill!$AC789</f>
        <v>0</v>
      </c>
      <c r="O789" s="38">
        <f>('Raw Data'!F791+Bill!$O$2)*Bill!$AD789</f>
        <v>0</v>
      </c>
      <c r="P789" s="38">
        <f>('Raw Data'!F791+Bill!$P$2)*Bill!$AE789</f>
        <v>0</v>
      </c>
      <c r="Q789" s="38">
        <f>Bill!$Z789*('Raw Data'!$E791+$Q$2)</f>
        <v>0</v>
      </c>
      <c r="R789" s="38">
        <f>('Raw Data'!F791+Bill!$R$2)*Bill!$AF789</f>
        <v>0</v>
      </c>
      <c r="S789" s="48">
        <f>('Raw Data'!G791/100)*Bill!$AG789</f>
        <v>0</v>
      </c>
      <c r="T789" s="38">
        <f>SUM(Bill!$L789:$R789)</f>
        <v>0</v>
      </c>
      <c r="U789" s="53"/>
      <c r="V789" s="50"/>
      <c r="W789" s="38">
        <f>Bill!$U789-Bill!$T789</f>
        <v>0</v>
      </c>
      <c r="Y789" s="37">
        <f>'Raw Data'!D791</f>
        <v>46347</v>
      </c>
      <c r="Z789" s="47">
        <v>0.0</v>
      </c>
      <c r="AA789" s="47"/>
      <c r="AB789" s="47"/>
      <c r="AC789" s="47"/>
      <c r="AD789" s="47"/>
      <c r="AE789" s="47"/>
      <c r="AF789" s="47"/>
      <c r="AG789" s="47"/>
    </row>
    <row r="790" ht="15.75" customHeight="1">
      <c r="A790" s="35">
        <f>Bill!$Y790</f>
        <v>46348</v>
      </c>
      <c r="B790" s="43">
        <f>'Raw Data'!E792+Bill!$L$2</f>
        <v>20</v>
      </c>
      <c r="C790" s="43">
        <f>'Raw Data'!E792+Bill!$M$2</f>
        <v>25</v>
      </c>
      <c r="D790" s="43">
        <f>('Raw Data'!$F792*2)-10</f>
        <v>-10</v>
      </c>
      <c r="E790" s="43">
        <f>'Raw Data'!F792+Bill!$O$2</f>
        <v>20</v>
      </c>
      <c r="F790" s="43">
        <f>'Raw Data'!F792+Bill!$P$2</f>
        <v>25</v>
      </c>
      <c r="G790" s="43">
        <f>'Raw Data'!E792+Bill!$Q$2</f>
        <v>50</v>
      </c>
      <c r="H790" s="43">
        <f>('Raw Data'!F792+Bill!$R$2)</f>
        <v>20</v>
      </c>
      <c r="I790" s="36">
        <f>'Raw Data'!G792/100</f>
        <v>0</v>
      </c>
      <c r="K790" s="37">
        <f>Bill!$Y790</f>
        <v>46348</v>
      </c>
      <c r="L790" s="38">
        <f>Bill!$AA790*('Raw Data'!$E792+$L$2)</f>
        <v>0</v>
      </c>
      <c r="M790" s="38">
        <f>Bill!$AB790*('Raw Data'!$E792+$M$2)</f>
        <v>0</v>
      </c>
      <c r="N790" s="38">
        <f>(('Raw Data'!$F792 * 2)-10)*Bill!$AC790</f>
        <v>0</v>
      </c>
      <c r="O790" s="38">
        <f>('Raw Data'!F792+Bill!$O$2)*Bill!$AD790</f>
        <v>0</v>
      </c>
      <c r="P790" s="38">
        <f>('Raw Data'!F792+Bill!$P$2)*Bill!$AE790</f>
        <v>0</v>
      </c>
      <c r="Q790" s="38">
        <f>Bill!$Z790*('Raw Data'!$E792+$Q$2)</f>
        <v>0</v>
      </c>
      <c r="R790" s="38">
        <f>('Raw Data'!F792+Bill!$R$2)*Bill!$AF790</f>
        <v>0</v>
      </c>
      <c r="S790" s="48">
        <f>('Raw Data'!G792/100)*Bill!$AG790</f>
        <v>0</v>
      </c>
      <c r="T790" s="38">
        <f>SUM(Bill!$L790:$R790)</f>
        <v>0</v>
      </c>
      <c r="U790" s="53"/>
      <c r="V790" s="50"/>
      <c r="W790" s="38">
        <f>Bill!$U790-Bill!$T790</f>
        <v>0</v>
      </c>
      <c r="Y790" s="37">
        <f>'Raw Data'!D792</f>
        <v>46348</v>
      </c>
      <c r="Z790" s="47">
        <v>0.0</v>
      </c>
      <c r="AA790" s="47"/>
      <c r="AB790" s="47"/>
      <c r="AC790" s="47"/>
      <c r="AD790" s="47"/>
      <c r="AE790" s="47"/>
      <c r="AF790" s="47"/>
      <c r="AG790" s="47"/>
    </row>
    <row r="791" ht="15.75" customHeight="1">
      <c r="A791" s="35">
        <f>Bill!$Y791</f>
        <v>46349</v>
      </c>
      <c r="B791" s="43">
        <f>'Raw Data'!E793+Bill!$L$2</f>
        <v>20</v>
      </c>
      <c r="C791" s="43">
        <f>'Raw Data'!E793+Bill!$M$2</f>
        <v>25</v>
      </c>
      <c r="D791" s="43">
        <f>('Raw Data'!$F793*2)-10</f>
        <v>-10</v>
      </c>
      <c r="E791" s="43">
        <f>'Raw Data'!F793+Bill!$O$2</f>
        <v>20</v>
      </c>
      <c r="F791" s="43">
        <f>'Raw Data'!F793+Bill!$P$2</f>
        <v>25</v>
      </c>
      <c r="G791" s="43">
        <f>'Raw Data'!E793+Bill!$Q$2</f>
        <v>50</v>
      </c>
      <c r="H791" s="43">
        <f>('Raw Data'!F793+Bill!$R$2)</f>
        <v>20</v>
      </c>
      <c r="I791" s="36">
        <f>'Raw Data'!G793/100</f>
        <v>0</v>
      </c>
      <c r="K791" s="37">
        <f>Bill!$Y791</f>
        <v>46349</v>
      </c>
      <c r="L791" s="38">
        <f>Bill!$AA791*('Raw Data'!$E793+$L$2)</f>
        <v>0</v>
      </c>
      <c r="M791" s="38">
        <f>Bill!$AB791*('Raw Data'!$E793+$M$2)</f>
        <v>0</v>
      </c>
      <c r="N791" s="38">
        <f>(('Raw Data'!$F793 * 2)-10)*Bill!$AC791</f>
        <v>0</v>
      </c>
      <c r="O791" s="38">
        <f>('Raw Data'!F793+Bill!$O$2)*Bill!$AD791</f>
        <v>0</v>
      </c>
      <c r="P791" s="38">
        <f>('Raw Data'!F793+Bill!$P$2)*Bill!$AE791</f>
        <v>0</v>
      </c>
      <c r="Q791" s="38">
        <f>Bill!$Z791*('Raw Data'!$E793+$Q$2)</f>
        <v>0</v>
      </c>
      <c r="R791" s="38">
        <f>('Raw Data'!F793+Bill!$R$2)*Bill!$AF791</f>
        <v>0</v>
      </c>
      <c r="S791" s="48">
        <f>('Raw Data'!G793/100)*Bill!$AG791</f>
        <v>0</v>
      </c>
      <c r="T791" s="38">
        <f>SUM(Bill!$L791:$R791)</f>
        <v>0</v>
      </c>
      <c r="U791" s="53"/>
      <c r="V791" s="50"/>
      <c r="W791" s="38">
        <f>Bill!$U791-Bill!$T791</f>
        <v>0</v>
      </c>
      <c r="Y791" s="37">
        <f>'Raw Data'!D793</f>
        <v>46349</v>
      </c>
      <c r="Z791" s="47">
        <v>0.0</v>
      </c>
      <c r="AA791" s="47"/>
      <c r="AB791" s="47"/>
      <c r="AC791" s="47"/>
      <c r="AD791" s="47"/>
      <c r="AE791" s="47"/>
      <c r="AF791" s="47"/>
      <c r="AG791" s="47"/>
    </row>
    <row r="792" ht="15.75" customHeight="1">
      <c r="A792" s="35">
        <f>Bill!$Y792</f>
        <v>46350</v>
      </c>
      <c r="B792" s="43">
        <f>'Raw Data'!E794+Bill!$L$2</f>
        <v>20</v>
      </c>
      <c r="C792" s="43">
        <f>'Raw Data'!E794+Bill!$M$2</f>
        <v>25</v>
      </c>
      <c r="D792" s="43">
        <f>('Raw Data'!$F794*2)-10</f>
        <v>-10</v>
      </c>
      <c r="E792" s="43">
        <f>'Raw Data'!F794+Bill!$O$2</f>
        <v>20</v>
      </c>
      <c r="F792" s="43">
        <f>'Raw Data'!F794+Bill!$P$2</f>
        <v>25</v>
      </c>
      <c r="G792" s="43">
        <f>'Raw Data'!E794+Bill!$Q$2</f>
        <v>50</v>
      </c>
      <c r="H792" s="43">
        <f>('Raw Data'!F794+Bill!$R$2)</f>
        <v>20</v>
      </c>
      <c r="I792" s="36">
        <f>'Raw Data'!G794/100</f>
        <v>0</v>
      </c>
      <c r="K792" s="37">
        <f>Bill!$Y792</f>
        <v>46350</v>
      </c>
      <c r="L792" s="38">
        <f>Bill!$AA792*('Raw Data'!$E794+$L$2)</f>
        <v>0</v>
      </c>
      <c r="M792" s="38">
        <f>Bill!$AB792*('Raw Data'!$E794+$M$2)</f>
        <v>0</v>
      </c>
      <c r="N792" s="38">
        <f>(('Raw Data'!$F794 * 2)-10)*Bill!$AC792</f>
        <v>0</v>
      </c>
      <c r="O792" s="38">
        <f>('Raw Data'!F794+Bill!$O$2)*Bill!$AD792</f>
        <v>0</v>
      </c>
      <c r="P792" s="38">
        <f>('Raw Data'!F794+Bill!$P$2)*Bill!$AE792</f>
        <v>0</v>
      </c>
      <c r="Q792" s="38">
        <f>Bill!$Z792*('Raw Data'!$E794+$Q$2)</f>
        <v>0</v>
      </c>
      <c r="R792" s="38">
        <f>('Raw Data'!F794+Bill!$R$2)*Bill!$AF792</f>
        <v>0</v>
      </c>
      <c r="S792" s="48">
        <f>('Raw Data'!G794/100)*Bill!$AG792</f>
        <v>0</v>
      </c>
      <c r="T792" s="38">
        <f>SUM(Bill!$L792:$R792)</f>
        <v>0</v>
      </c>
      <c r="U792" s="53"/>
      <c r="V792" s="50"/>
      <c r="W792" s="38">
        <f>Bill!$U792-Bill!$T792</f>
        <v>0</v>
      </c>
      <c r="Y792" s="37">
        <f>'Raw Data'!D794</f>
        <v>46350</v>
      </c>
      <c r="Z792" s="47">
        <v>0.0</v>
      </c>
      <c r="AA792" s="47"/>
      <c r="AB792" s="47"/>
      <c r="AC792" s="47"/>
      <c r="AD792" s="47"/>
      <c r="AE792" s="47"/>
      <c r="AF792" s="47"/>
      <c r="AG792" s="47"/>
    </row>
    <row r="793" ht="15.75" customHeight="1">
      <c r="A793" s="35">
        <f>Bill!$Y793</f>
        <v>46351</v>
      </c>
      <c r="B793" s="43">
        <f>'Raw Data'!E795+Bill!$L$2</f>
        <v>20</v>
      </c>
      <c r="C793" s="43">
        <f>'Raw Data'!E795+Bill!$M$2</f>
        <v>25</v>
      </c>
      <c r="D793" s="43">
        <f>('Raw Data'!$F795*2)-10</f>
        <v>-10</v>
      </c>
      <c r="E793" s="43">
        <f>'Raw Data'!F795+Bill!$O$2</f>
        <v>20</v>
      </c>
      <c r="F793" s="43">
        <f>'Raw Data'!F795+Bill!$P$2</f>
        <v>25</v>
      </c>
      <c r="G793" s="43">
        <f>'Raw Data'!E795+Bill!$Q$2</f>
        <v>50</v>
      </c>
      <c r="H793" s="43">
        <f>('Raw Data'!F795+Bill!$R$2)</f>
        <v>20</v>
      </c>
      <c r="I793" s="36">
        <f>'Raw Data'!G795/100</f>
        <v>0</v>
      </c>
      <c r="K793" s="37">
        <f>Bill!$Y793</f>
        <v>46351</v>
      </c>
      <c r="L793" s="38">
        <f>Bill!$AA793*('Raw Data'!$E795+$L$2)</f>
        <v>0</v>
      </c>
      <c r="M793" s="38">
        <f>Bill!$AB793*('Raw Data'!$E795+$M$2)</f>
        <v>0</v>
      </c>
      <c r="N793" s="38">
        <f>(('Raw Data'!$F795 * 2)-10)*Bill!$AC793</f>
        <v>0</v>
      </c>
      <c r="O793" s="38">
        <f>('Raw Data'!F795+Bill!$O$2)*Bill!$AD793</f>
        <v>0</v>
      </c>
      <c r="P793" s="38">
        <f>('Raw Data'!F795+Bill!$P$2)*Bill!$AE793</f>
        <v>0</v>
      </c>
      <c r="Q793" s="38">
        <f>Bill!$Z793*('Raw Data'!$E795+$Q$2)</f>
        <v>0</v>
      </c>
      <c r="R793" s="38">
        <f>('Raw Data'!F795+Bill!$R$2)*Bill!$AF793</f>
        <v>0</v>
      </c>
      <c r="S793" s="48">
        <f>('Raw Data'!G795/100)*Bill!$AG793</f>
        <v>0</v>
      </c>
      <c r="T793" s="38">
        <f>SUM(Bill!$L793:$R793)</f>
        <v>0</v>
      </c>
      <c r="U793" s="53"/>
      <c r="V793" s="50"/>
      <c r="W793" s="38">
        <f>Bill!$U793-Bill!$T793</f>
        <v>0</v>
      </c>
      <c r="Y793" s="37">
        <f>'Raw Data'!D795</f>
        <v>46351</v>
      </c>
      <c r="Z793" s="47">
        <v>0.0</v>
      </c>
      <c r="AA793" s="47"/>
      <c r="AB793" s="47"/>
      <c r="AC793" s="47"/>
      <c r="AD793" s="47"/>
      <c r="AE793" s="47"/>
      <c r="AF793" s="47"/>
      <c r="AG793" s="47"/>
    </row>
    <row r="794" ht="15.75" customHeight="1">
      <c r="A794" s="35">
        <f>Bill!$Y794</f>
        <v>46352</v>
      </c>
      <c r="B794" s="43">
        <f>'Raw Data'!E796+Bill!$L$2</f>
        <v>20</v>
      </c>
      <c r="C794" s="43">
        <f>'Raw Data'!E796+Bill!$M$2</f>
        <v>25</v>
      </c>
      <c r="D794" s="43">
        <f>('Raw Data'!$F796*2)-10</f>
        <v>-10</v>
      </c>
      <c r="E794" s="43">
        <f>'Raw Data'!F796+Bill!$O$2</f>
        <v>20</v>
      </c>
      <c r="F794" s="43">
        <f>'Raw Data'!F796+Bill!$P$2</f>
        <v>25</v>
      </c>
      <c r="G794" s="43">
        <f>'Raw Data'!E796+Bill!$Q$2</f>
        <v>50</v>
      </c>
      <c r="H794" s="43">
        <f>('Raw Data'!F796+Bill!$R$2)</f>
        <v>20</v>
      </c>
      <c r="I794" s="36">
        <f>'Raw Data'!G796/100</f>
        <v>0</v>
      </c>
      <c r="K794" s="37">
        <f>Bill!$Y794</f>
        <v>46352</v>
      </c>
      <c r="L794" s="38">
        <f>Bill!$AA794*('Raw Data'!$E796+$L$2)</f>
        <v>0</v>
      </c>
      <c r="M794" s="38">
        <f>Bill!$AB794*('Raw Data'!$E796+$M$2)</f>
        <v>0</v>
      </c>
      <c r="N794" s="38">
        <f>(('Raw Data'!$F796 * 2)-10)*Bill!$AC794</f>
        <v>0</v>
      </c>
      <c r="O794" s="38">
        <f>('Raw Data'!F796+Bill!$O$2)*Bill!$AD794</f>
        <v>0</v>
      </c>
      <c r="P794" s="38">
        <f>('Raw Data'!F796+Bill!$P$2)*Bill!$AE794</f>
        <v>0</v>
      </c>
      <c r="Q794" s="38">
        <f>Bill!$Z794*('Raw Data'!$E796+$Q$2)</f>
        <v>0</v>
      </c>
      <c r="R794" s="38">
        <f>('Raw Data'!F796+Bill!$R$2)*Bill!$AF794</f>
        <v>0</v>
      </c>
      <c r="S794" s="48">
        <f>('Raw Data'!G796/100)*Bill!$AG794</f>
        <v>0</v>
      </c>
      <c r="T794" s="38">
        <f>SUM(Bill!$L794:$R794)</f>
        <v>0</v>
      </c>
      <c r="U794" s="53"/>
      <c r="V794" s="50"/>
      <c r="W794" s="38">
        <f>Bill!$U794-Bill!$T794</f>
        <v>0</v>
      </c>
      <c r="Y794" s="37">
        <f>'Raw Data'!D796</f>
        <v>46352</v>
      </c>
      <c r="Z794" s="47">
        <v>0.0</v>
      </c>
      <c r="AA794" s="47"/>
      <c r="AB794" s="47"/>
      <c r="AC794" s="47"/>
      <c r="AD794" s="47"/>
      <c r="AE794" s="47"/>
      <c r="AF794" s="47"/>
      <c r="AG794" s="47"/>
    </row>
    <row r="795" ht="15.75" customHeight="1">
      <c r="A795" s="35">
        <f>Bill!$Y795</f>
        <v>46353</v>
      </c>
      <c r="B795" s="43">
        <f>'Raw Data'!E797+Bill!$L$2</f>
        <v>20</v>
      </c>
      <c r="C795" s="43">
        <f>'Raw Data'!E797+Bill!$M$2</f>
        <v>25</v>
      </c>
      <c r="D795" s="43">
        <f>('Raw Data'!$F797*2)-10</f>
        <v>-10</v>
      </c>
      <c r="E795" s="43">
        <f>'Raw Data'!F797+Bill!$O$2</f>
        <v>20</v>
      </c>
      <c r="F795" s="43">
        <f>'Raw Data'!F797+Bill!$P$2</f>
        <v>25</v>
      </c>
      <c r="G795" s="43">
        <f>'Raw Data'!E797+Bill!$Q$2</f>
        <v>50</v>
      </c>
      <c r="H795" s="43">
        <f>('Raw Data'!F797+Bill!$R$2)</f>
        <v>20</v>
      </c>
      <c r="I795" s="36">
        <f>'Raw Data'!G797/100</f>
        <v>0</v>
      </c>
      <c r="K795" s="37">
        <f>Bill!$Y795</f>
        <v>46353</v>
      </c>
      <c r="L795" s="38">
        <f>Bill!$AA795*('Raw Data'!$E797+$L$2)</f>
        <v>0</v>
      </c>
      <c r="M795" s="38">
        <f>Bill!$AB795*('Raw Data'!$E797+$M$2)</f>
        <v>0</v>
      </c>
      <c r="N795" s="38">
        <f>(('Raw Data'!$F797 * 2)-10)*Bill!$AC795</f>
        <v>0</v>
      </c>
      <c r="O795" s="38">
        <f>('Raw Data'!F797+Bill!$O$2)*Bill!$AD795</f>
        <v>0</v>
      </c>
      <c r="P795" s="38">
        <f>('Raw Data'!F797+Bill!$P$2)*Bill!$AE795</f>
        <v>0</v>
      </c>
      <c r="Q795" s="38">
        <f>Bill!$Z795*('Raw Data'!$E797+$Q$2)</f>
        <v>0</v>
      </c>
      <c r="R795" s="38">
        <f>('Raw Data'!F797+Bill!$R$2)*Bill!$AF795</f>
        <v>0</v>
      </c>
      <c r="S795" s="48">
        <f>('Raw Data'!G797/100)*Bill!$AG795</f>
        <v>0</v>
      </c>
      <c r="T795" s="38">
        <f>SUM(Bill!$L795:$R795)</f>
        <v>0</v>
      </c>
      <c r="U795" s="53"/>
      <c r="V795" s="50"/>
      <c r="W795" s="38">
        <f>Bill!$U795-Bill!$T795</f>
        <v>0</v>
      </c>
      <c r="Y795" s="37">
        <f>'Raw Data'!D797</f>
        <v>46353</v>
      </c>
      <c r="Z795" s="47">
        <v>0.0</v>
      </c>
      <c r="AA795" s="47"/>
      <c r="AB795" s="47"/>
      <c r="AC795" s="47"/>
      <c r="AD795" s="47"/>
      <c r="AE795" s="47"/>
      <c r="AF795" s="47"/>
      <c r="AG795" s="47"/>
    </row>
    <row r="796" ht="15.75" customHeight="1">
      <c r="A796" s="35">
        <f>Bill!$Y796</f>
        <v>46354</v>
      </c>
      <c r="B796" s="43">
        <f>'Raw Data'!E798+Bill!$L$2</f>
        <v>20</v>
      </c>
      <c r="C796" s="43">
        <f>'Raw Data'!E798+Bill!$M$2</f>
        <v>25</v>
      </c>
      <c r="D796" s="43">
        <f>('Raw Data'!$F798*2)-10</f>
        <v>-10</v>
      </c>
      <c r="E796" s="43">
        <f>'Raw Data'!F798+Bill!$O$2</f>
        <v>20</v>
      </c>
      <c r="F796" s="43">
        <f>'Raw Data'!F798+Bill!$P$2</f>
        <v>25</v>
      </c>
      <c r="G796" s="43">
        <f>'Raw Data'!E798+Bill!$Q$2</f>
        <v>50</v>
      </c>
      <c r="H796" s="43">
        <f>('Raw Data'!F798+Bill!$R$2)</f>
        <v>20</v>
      </c>
      <c r="I796" s="36">
        <f>'Raw Data'!G798/100</f>
        <v>0</v>
      </c>
      <c r="K796" s="37">
        <f>Bill!$Y796</f>
        <v>46354</v>
      </c>
      <c r="L796" s="38">
        <f>Bill!$AA796*('Raw Data'!$E798+$L$2)</f>
        <v>0</v>
      </c>
      <c r="M796" s="38">
        <f>Bill!$AB796*('Raw Data'!$E798+$M$2)</f>
        <v>0</v>
      </c>
      <c r="N796" s="38">
        <f>(('Raw Data'!$F798 * 2)-10)*Bill!$AC796</f>
        <v>0</v>
      </c>
      <c r="O796" s="38">
        <f>('Raw Data'!F798+Bill!$O$2)*Bill!$AD796</f>
        <v>0</v>
      </c>
      <c r="P796" s="38">
        <f>('Raw Data'!F798+Bill!$P$2)*Bill!$AE796</f>
        <v>0</v>
      </c>
      <c r="Q796" s="38">
        <f>Bill!$Z796*('Raw Data'!$E798+$Q$2)</f>
        <v>0</v>
      </c>
      <c r="R796" s="38">
        <f>('Raw Data'!F798+Bill!$R$2)*Bill!$AF796</f>
        <v>0</v>
      </c>
      <c r="S796" s="48">
        <f>('Raw Data'!G798/100)*Bill!$AG796</f>
        <v>0</v>
      </c>
      <c r="T796" s="38">
        <f>SUM(Bill!$L796:$R796)</f>
        <v>0</v>
      </c>
      <c r="U796" s="53"/>
      <c r="V796" s="50"/>
      <c r="W796" s="38">
        <f>Bill!$U796-Bill!$T796</f>
        <v>0</v>
      </c>
      <c r="Y796" s="37">
        <f>'Raw Data'!D798</f>
        <v>46354</v>
      </c>
      <c r="Z796" s="47">
        <v>0.0</v>
      </c>
      <c r="AA796" s="47"/>
      <c r="AB796" s="47"/>
      <c r="AC796" s="47"/>
      <c r="AD796" s="47"/>
      <c r="AE796" s="47"/>
      <c r="AF796" s="47"/>
      <c r="AG796" s="47"/>
    </row>
    <row r="797" ht="15.75" customHeight="1">
      <c r="A797" s="35">
        <f>Bill!$Y797</f>
        <v>46355</v>
      </c>
      <c r="B797" s="43">
        <f>'Raw Data'!E799+Bill!$L$2</f>
        <v>20</v>
      </c>
      <c r="C797" s="43">
        <f>'Raw Data'!E799+Bill!$M$2</f>
        <v>25</v>
      </c>
      <c r="D797" s="43">
        <f>('Raw Data'!$F799*2)-10</f>
        <v>-10</v>
      </c>
      <c r="E797" s="43">
        <f>'Raw Data'!F799+Bill!$O$2</f>
        <v>20</v>
      </c>
      <c r="F797" s="43">
        <f>'Raw Data'!F799+Bill!$P$2</f>
        <v>25</v>
      </c>
      <c r="G797" s="43">
        <f>'Raw Data'!E799+Bill!$Q$2</f>
        <v>50</v>
      </c>
      <c r="H797" s="43">
        <f>('Raw Data'!F799+Bill!$R$2)</f>
        <v>20</v>
      </c>
      <c r="I797" s="36">
        <f>'Raw Data'!G799/100</f>
        <v>0</v>
      </c>
      <c r="K797" s="37">
        <f>Bill!$Y797</f>
        <v>46355</v>
      </c>
      <c r="L797" s="38">
        <f>Bill!$AA797*('Raw Data'!$E799+$L$2)</f>
        <v>0</v>
      </c>
      <c r="M797" s="38">
        <f>Bill!$AB797*('Raw Data'!$E799+$M$2)</f>
        <v>0</v>
      </c>
      <c r="N797" s="38">
        <f>(('Raw Data'!$F799 * 2)-10)*Bill!$AC797</f>
        <v>0</v>
      </c>
      <c r="O797" s="38">
        <f>('Raw Data'!F799+Bill!$O$2)*Bill!$AD797</f>
        <v>0</v>
      </c>
      <c r="P797" s="38">
        <f>('Raw Data'!F799+Bill!$P$2)*Bill!$AE797</f>
        <v>0</v>
      </c>
      <c r="Q797" s="38">
        <f>Bill!$Z797*('Raw Data'!$E799+$Q$2)</f>
        <v>0</v>
      </c>
      <c r="R797" s="38">
        <f>('Raw Data'!F799+Bill!$R$2)*Bill!$AF797</f>
        <v>0</v>
      </c>
      <c r="S797" s="48">
        <f>('Raw Data'!G799/100)*Bill!$AG797</f>
        <v>0</v>
      </c>
      <c r="T797" s="38">
        <f>SUM(Bill!$L797:$R797)</f>
        <v>0</v>
      </c>
      <c r="U797" s="53"/>
      <c r="V797" s="50"/>
      <c r="W797" s="38">
        <f>Bill!$U797-Bill!$T797</f>
        <v>0</v>
      </c>
      <c r="Y797" s="37">
        <f>'Raw Data'!D799</f>
        <v>46355</v>
      </c>
      <c r="Z797" s="47">
        <v>0.0</v>
      </c>
      <c r="AA797" s="47"/>
      <c r="AB797" s="47"/>
      <c r="AC797" s="47"/>
      <c r="AD797" s="47"/>
      <c r="AE797" s="47"/>
      <c r="AF797" s="47"/>
      <c r="AG797" s="47"/>
    </row>
    <row r="798" ht="15.75" customHeight="1">
      <c r="A798" s="35">
        <f>Bill!$Y798</f>
        <v>46356</v>
      </c>
      <c r="B798" s="43">
        <f>'Raw Data'!E800+Bill!$L$2</f>
        <v>20</v>
      </c>
      <c r="C798" s="43">
        <f>'Raw Data'!E800+Bill!$M$2</f>
        <v>25</v>
      </c>
      <c r="D798" s="43">
        <f>('Raw Data'!$F800*2)-10</f>
        <v>-10</v>
      </c>
      <c r="E798" s="43">
        <f>'Raw Data'!F800+Bill!$O$2</f>
        <v>20</v>
      </c>
      <c r="F798" s="43">
        <f>'Raw Data'!F800+Bill!$P$2</f>
        <v>25</v>
      </c>
      <c r="G798" s="43">
        <f>'Raw Data'!E800+Bill!$Q$2</f>
        <v>50</v>
      </c>
      <c r="H798" s="43">
        <f>('Raw Data'!F800+Bill!$R$2)</f>
        <v>20</v>
      </c>
      <c r="I798" s="36">
        <f>'Raw Data'!G800/100</f>
        <v>0</v>
      </c>
      <c r="K798" s="37">
        <f>Bill!$Y798</f>
        <v>46356</v>
      </c>
      <c r="L798" s="38">
        <f>Bill!$AA798*('Raw Data'!$E800+$L$2)</f>
        <v>0</v>
      </c>
      <c r="M798" s="38">
        <f>Bill!$AB798*('Raw Data'!$E800+$M$2)</f>
        <v>0</v>
      </c>
      <c r="N798" s="38">
        <f>(('Raw Data'!$F800 * 2)-10)*Bill!$AC798</f>
        <v>0</v>
      </c>
      <c r="O798" s="38">
        <f>('Raw Data'!F800+Bill!$O$2)*Bill!$AD798</f>
        <v>0</v>
      </c>
      <c r="P798" s="38">
        <f>('Raw Data'!F800+Bill!$P$2)*Bill!$AE798</f>
        <v>0</v>
      </c>
      <c r="Q798" s="38">
        <f>Bill!$Z798*('Raw Data'!$E800+$Q$2)</f>
        <v>0</v>
      </c>
      <c r="R798" s="38">
        <f>('Raw Data'!F800+Bill!$R$2)*Bill!$AF798</f>
        <v>0</v>
      </c>
      <c r="S798" s="48">
        <f>('Raw Data'!G800/100)*Bill!$AG798</f>
        <v>0</v>
      </c>
      <c r="T798" s="38">
        <f>SUM(Bill!$L798:$R798)</f>
        <v>0</v>
      </c>
      <c r="U798" s="53"/>
      <c r="V798" s="50"/>
      <c r="W798" s="38">
        <f>Bill!$U798-Bill!$T798</f>
        <v>0</v>
      </c>
      <c r="Y798" s="37">
        <f>'Raw Data'!D800</f>
        <v>46356</v>
      </c>
      <c r="Z798" s="47">
        <v>0.0</v>
      </c>
      <c r="AA798" s="47"/>
      <c r="AB798" s="47"/>
      <c r="AC798" s="47"/>
      <c r="AD798" s="47"/>
      <c r="AE798" s="47"/>
      <c r="AF798" s="47"/>
      <c r="AG798" s="47"/>
    </row>
    <row r="799" ht="15.75" customHeight="1">
      <c r="A799" s="35">
        <f>Bill!$Y799</f>
        <v>46357</v>
      </c>
      <c r="B799" s="43">
        <f>'Raw Data'!E801+Bill!$L$2</f>
        <v>20</v>
      </c>
      <c r="C799" s="43">
        <f>'Raw Data'!E801+Bill!$M$2</f>
        <v>25</v>
      </c>
      <c r="D799" s="43">
        <f>('Raw Data'!$F801*2)-10</f>
        <v>-10</v>
      </c>
      <c r="E799" s="43">
        <f>'Raw Data'!F801+Bill!$O$2</f>
        <v>20</v>
      </c>
      <c r="F799" s="43">
        <f>'Raw Data'!F801+Bill!$P$2</f>
        <v>25</v>
      </c>
      <c r="G799" s="43">
        <f>'Raw Data'!E801+Bill!$Q$2</f>
        <v>50</v>
      </c>
      <c r="H799" s="43">
        <f>('Raw Data'!F801+Bill!$R$2)</f>
        <v>20</v>
      </c>
      <c r="I799" s="36">
        <f>'Raw Data'!G801/100</f>
        <v>0</v>
      </c>
      <c r="K799" s="37">
        <f>Bill!$Y799</f>
        <v>46357</v>
      </c>
      <c r="L799" s="38">
        <f>Bill!$AA799*('Raw Data'!$E801+$L$2)</f>
        <v>0</v>
      </c>
      <c r="M799" s="38">
        <f>Bill!$AB799*('Raw Data'!$E801+$M$2)</f>
        <v>0</v>
      </c>
      <c r="N799" s="38">
        <f>(('Raw Data'!$F801 * 2)-10)*Bill!$AC799</f>
        <v>0</v>
      </c>
      <c r="O799" s="38">
        <f>('Raw Data'!F801+Bill!$O$2)*Bill!$AD799</f>
        <v>0</v>
      </c>
      <c r="P799" s="38">
        <f>('Raw Data'!F801+Bill!$P$2)*Bill!$AE799</f>
        <v>0</v>
      </c>
      <c r="Q799" s="38">
        <f>Bill!$Z799*('Raw Data'!$E801+$Q$2)</f>
        <v>0</v>
      </c>
      <c r="R799" s="38">
        <f>('Raw Data'!F801+Bill!$R$2)*Bill!$AF799</f>
        <v>0</v>
      </c>
      <c r="S799" s="48">
        <f>('Raw Data'!G801/100)*Bill!$AG799</f>
        <v>0</v>
      </c>
      <c r="T799" s="38">
        <f>SUM(Bill!$L799:$R799)</f>
        <v>0</v>
      </c>
      <c r="U799" s="53"/>
      <c r="V799" s="50"/>
      <c r="W799" s="38">
        <f>Bill!$U799-Bill!$T799</f>
        <v>0</v>
      </c>
      <c r="Y799" s="37">
        <f>'Raw Data'!D801</f>
        <v>46357</v>
      </c>
      <c r="Z799" s="47">
        <v>0.0</v>
      </c>
      <c r="AA799" s="47"/>
      <c r="AB799" s="47"/>
      <c r="AC799" s="47"/>
      <c r="AD799" s="47"/>
      <c r="AE799" s="47"/>
      <c r="AF799" s="47"/>
      <c r="AG799" s="47"/>
    </row>
    <row r="800" ht="15.75" customHeight="1">
      <c r="A800" s="35">
        <f>Bill!$Y800</f>
        <v>46358</v>
      </c>
      <c r="B800" s="43">
        <f>'Raw Data'!E802+Bill!$L$2</f>
        <v>20</v>
      </c>
      <c r="C800" s="43">
        <f>'Raw Data'!E802+Bill!$M$2</f>
        <v>25</v>
      </c>
      <c r="D800" s="43">
        <f>('Raw Data'!$F802*2)-10</f>
        <v>-10</v>
      </c>
      <c r="E800" s="43">
        <f>'Raw Data'!F802+Bill!$O$2</f>
        <v>20</v>
      </c>
      <c r="F800" s="43">
        <f>'Raw Data'!F802+Bill!$P$2</f>
        <v>25</v>
      </c>
      <c r="G800" s="43">
        <f>'Raw Data'!E802+Bill!$Q$2</f>
        <v>50</v>
      </c>
      <c r="H800" s="43">
        <f>('Raw Data'!F802+Bill!$R$2)</f>
        <v>20</v>
      </c>
      <c r="I800" s="36">
        <f>'Raw Data'!G802/100</f>
        <v>0</v>
      </c>
      <c r="K800" s="37">
        <f>Bill!$Y800</f>
        <v>46358</v>
      </c>
      <c r="L800" s="38">
        <f>Bill!$AA800*('Raw Data'!$E802+$L$2)</f>
        <v>0</v>
      </c>
      <c r="M800" s="38">
        <f>Bill!$AB800*('Raw Data'!$E802+$M$2)</f>
        <v>0</v>
      </c>
      <c r="N800" s="38">
        <f>(('Raw Data'!$F802 * 2)-10)*Bill!$AC800</f>
        <v>0</v>
      </c>
      <c r="O800" s="38">
        <f>('Raw Data'!F802+Bill!$O$2)*Bill!$AD800</f>
        <v>0</v>
      </c>
      <c r="P800" s="38">
        <f>('Raw Data'!F802+Bill!$P$2)*Bill!$AE800</f>
        <v>0</v>
      </c>
      <c r="Q800" s="38">
        <f>Bill!$Z800*('Raw Data'!$E802+$Q$2)</f>
        <v>0</v>
      </c>
      <c r="R800" s="38">
        <f>('Raw Data'!F802+Bill!$R$2)*Bill!$AF800</f>
        <v>0</v>
      </c>
      <c r="S800" s="48">
        <f>('Raw Data'!G802/100)*Bill!$AG800</f>
        <v>0</v>
      </c>
      <c r="T800" s="38">
        <f>SUM(Bill!$L800:$R800)</f>
        <v>0</v>
      </c>
      <c r="U800" s="53"/>
      <c r="V800" s="50"/>
      <c r="W800" s="38">
        <f>Bill!$U800-Bill!$T800</f>
        <v>0</v>
      </c>
      <c r="Y800" s="37">
        <f>'Raw Data'!D802</f>
        <v>46358</v>
      </c>
      <c r="Z800" s="47">
        <v>0.0</v>
      </c>
      <c r="AA800" s="47"/>
      <c r="AB800" s="47"/>
      <c r="AC800" s="47"/>
      <c r="AD800" s="47"/>
      <c r="AE800" s="47"/>
      <c r="AF800" s="47"/>
      <c r="AG800" s="47"/>
    </row>
    <row r="801" ht="15.75" customHeight="1">
      <c r="A801" s="35">
        <f>Bill!$Y801</f>
        <v>46359</v>
      </c>
      <c r="B801" s="43">
        <f>'Raw Data'!E803+Bill!$L$2</f>
        <v>20</v>
      </c>
      <c r="C801" s="43">
        <f>'Raw Data'!E803+Bill!$M$2</f>
        <v>25</v>
      </c>
      <c r="D801" s="43">
        <f>('Raw Data'!$F803*2)-10</f>
        <v>-10</v>
      </c>
      <c r="E801" s="43">
        <f>'Raw Data'!F803+Bill!$O$2</f>
        <v>20</v>
      </c>
      <c r="F801" s="43">
        <f>'Raw Data'!F803+Bill!$P$2</f>
        <v>25</v>
      </c>
      <c r="G801" s="43">
        <f>'Raw Data'!E803+Bill!$Q$2</f>
        <v>50</v>
      </c>
      <c r="H801" s="43">
        <f>('Raw Data'!F803+Bill!$R$2)</f>
        <v>20</v>
      </c>
      <c r="I801" s="36">
        <f>'Raw Data'!G803/100</f>
        <v>0</v>
      </c>
      <c r="K801" s="37">
        <f>Bill!$Y801</f>
        <v>46359</v>
      </c>
      <c r="L801" s="38">
        <f>Bill!$AA801*('Raw Data'!$E803+$L$2)</f>
        <v>0</v>
      </c>
      <c r="M801" s="38">
        <f>Bill!$AB801*('Raw Data'!$E803+$M$2)</f>
        <v>0</v>
      </c>
      <c r="N801" s="38">
        <f>(('Raw Data'!$F803 * 2)-10)*Bill!$AC801</f>
        <v>0</v>
      </c>
      <c r="O801" s="38">
        <f>('Raw Data'!F803+Bill!$O$2)*Bill!$AD801</f>
        <v>0</v>
      </c>
      <c r="P801" s="38">
        <f>('Raw Data'!F803+Bill!$P$2)*Bill!$AE801</f>
        <v>0</v>
      </c>
      <c r="Q801" s="38">
        <f>Bill!$Z801*('Raw Data'!$E803+$Q$2)</f>
        <v>0</v>
      </c>
      <c r="R801" s="38">
        <f>('Raw Data'!F803+Bill!$R$2)*Bill!$AF801</f>
        <v>0</v>
      </c>
      <c r="S801" s="48">
        <f>('Raw Data'!G803/100)*Bill!$AG801</f>
        <v>0</v>
      </c>
      <c r="T801" s="38">
        <f>SUM(Bill!$L801:$R801)</f>
        <v>0</v>
      </c>
      <c r="U801" s="53"/>
      <c r="V801" s="50"/>
      <c r="W801" s="38">
        <f>Bill!$U801-Bill!$T801</f>
        <v>0</v>
      </c>
      <c r="Y801" s="37">
        <f>'Raw Data'!D803</f>
        <v>46359</v>
      </c>
      <c r="Z801" s="47">
        <v>0.0</v>
      </c>
      <c r="AA801" s="47"/>
      <c r="AB801" s="47"/>
      <c r="AC801" s="47"/>
      <c r="AD801" s="47"/>
      <c r="AE801" s="47"/>
      <c r="AF801" s="47"/>
      <c r="AG801" s="47"/>
    </row>
    <row r="802" ht="15.75" customHeight="1">
      <c r="A802" s="35">
        <f>Bill!$Y802</f>
        <v>46360</v>
      </c>
      <c r="B802" s="43">
        <f>'Raw Data'!E804+Bill!$L$2</f>
        <v>20</v>
      </c>
      <c r="C802" s="43">
        <f>'Raw Data'!E804+Bill!$M$2</f>
        <v>25</v>
      </c>
      <c r="D802" s="43">
        <f>('Raw Data'!$F804*2)-10</f>
        <v>-10</v>
      </c>
      <c r="E802" s="43">
        <f>'Raw Data'!F804+Bill!$O$2</f>
        <v>20</v>
      </c>
      <c r="F802" s="43">
        <f>'Raw Data'!F804+Bill!$P$2</f>
        <v>25</v>
      </c>
      <c r="G802" s="43">
        <f>'Raw Data'!E804+Bill!$Q$2</f>
        <v>50</v>
      </c>
      <c r="H802" s="43">
        <f>('Raw Data'!F804+Bill!$R$2)</f>
        <v>20</v>
      </c>
      <c r="I802" s="36">
        <f>'Raw Data'!G804/100</f>
        <v>0</v>
      </c>
      <c r="K802" s="37">
        <f>Bill!$Y802</f>
        <v>46360</v>
      </c>
      <c r="L802" s="38">
        <f>Bill!$AA802*('Raw Data'!$E804+$L$2)</f>
        <v>0</v>
      </c>
      <c r="M802" s="38">
        <f>Bill!$AB802*('Raw Data'!$E804+$M$2)</f>
        <v>0</v>
      </c>
      <c r="N802" s="38">
        <f>(('Raw Data'!$F804 * 2)-10)*Bill!$AC802</f>
        <v>0</v>
      </c>
      <c r="O802" s="38">
        <f>('Raw Data'!F804+Bill!$O$2)*Bill!$AD802</f>
        <v>0</v>
      </c>
      <c r="P802" s="38">
        <f>('Raw Data'!F804+Bill!$P$2)*Bill!$AE802</f>
        <v>0</v>
      </c>
      <c r="Q802" s="38">
        <f>Bill!$Z802*('Raw Data'!$E804+$Q$2)</f>
        <v>0</v>
      </c>
      <c r="R802" s="38">
        <f>('Raw Data'!F804+Bill!$R$2)*Bill!$AF802</f>
        <v>0</v>
      </c>
      <c r="S802" s="48">
        <f>('Raw Data'!G804/100)*Bill!$AG802</f>
        <v>0</v>
      </c>
      <c r="T802" s="38">
        <f>SUM(Bill!$L802:$R802)</f>
        <v>0</v>
      </c>
      <c r="U802" s="53"/>
      <c r="V802" s="50"/>
      <c r="W802" s="38">
        <f>Bill!$U802-Bill!$T802</f>
        <v>0</v>
      </c>
      <c r="Y802" s="37">
        <f>'Raw Data'!D804</f>
        <v>46360</v>
      </c>
      <c r="Z802" s="47">
        <v>0.0</v>
      </c>
      <c r="AA802" s="47"/>
      <c r="AB802" s="47"/>
      <c r="AC802" s="47"/>
      <c r="AD802" s="47"/>
      <c r="AE802" s="47"/>
      <c r="AF802" s="47"/>
      <c r="AG802" s="47"/>
    </row>
    <row r="803" ht="15.75" customHeight="1">
      <c r="A803" s="35">
        <f>Bill!$Y803</f>
        <v>46361</v>
      </c>
      <c r="B803" s="43">
        <f>'Raw Data'!E805+Bill!$L$2</f>
        <v>20</v>
      </c>
      <c r="C803" s="43">
        <f>'Raw Data'!E805+Bill!$M$2</f>
        <v>25</v>
      </c>
      <c r="D803" s="43">
        <f>('Raw Data'!$F805*2)-10</f>
        <v>-10</v>
      </c>
      <c r="E803" s="43">
        <f>'Raw Data'!F805+Bill!$O$2</f>
        <v>20</v>
      </c>
      <c r="F803" s="43">
        <f>'Raw Data'!F805+Bill!$P$2</f>
        <v>25</v>
      </c>
      <c r="G803" s="43">
        <f>'Raw Data'!E805+Bill!$Q$2</f>
        <v>50</v>
      </c>
      <c r="H803" s="43">
        <f>('Raw Data'!F805+Bill!$R$2)</f>
        <v>20</v>
      </c>
      <c r="I803" s="36">
        <f>'Raw Data'!G805/100</f>
        <v>0</v>
      </c>
      <c r="K803" s="37">
        <f>Bill!$Y803</f>
        <v>46361</v>
      </c>
      <c r="L803" s="38">
        <f>Bill!$AA803*('Raw Data'!$E805+$L$2)</f>
        <v>0</v>
      </c>
      <c r="M803" s="38">
        <f>Bill!$AB803*('Raw Data'!$E805+$M$2)</f>
        <v>0</v>
      </c>
      <c r="N803" s="38">
        <f>(('Raw Data'!$F805 * 2)-10)*Bill!$AC803</f>
        <v>0</v>
      </c>
      <c r="O803" s="38">
        <f>('Raw Data'!F805+Bill!$O$2)*Bill!$AD803</f>
        <v>0</v>
      </c>
      <c r="P803" s="38">
        <f>('Raw Data'!F805+Bill!$P$2)*Bill!$AE803</f>
        <v>0</v>
      </c>
      <c r="Q803" s="38">
        <f>Bill!$Z803*('Raw Data'!$E805+$Q$2)</f>
        <v>0</v>
      </c>
      <c r="R803" s="38">
        <f>('Raw Data'!F805+Bill!$R$2)*Bill!$AF803</f>
        <v>0</v>
      </c>
      <c r="S803" s="48">
        <f>('Raw Data'!G805/100)*Bill!$AG803</f>
        <v>0</v>
      </c>
      <c r="T803" s="38">
        <f>SUM(Bill!$L803:$R803)</f>
        <v>0</v>
      </c>
      <c r="U803" s="53"/>
      <c r="V803" s="50"/>
      <c r="W803" s="38">
        <f>Bill!$U803-Bill!$T803</f>
        <v>0</v>
      </c>
      <c r="Y803" s="37">
        <f>'Raw Data'!D805</f>
        <v>46361</v>
      </c>
      <c r="Z803" s="47">
        <v>0.0</v>
      </c>
      <c r="AA803" s="47"/>
      <c r="AB803" s="47"/>
      <c r="AC803" s="47"/>
      <c r="AD803" s="47"/>
      <c r="AE803" s="47"/>
      <c r="AF803" s="47"/>
      <c r="AG803" s="47"/>
    </row>
    <row r="804" ht="15.75" customHeight="1">
      <c r="A804" s="35">
        <f>Bill!$Y804</f>
        <v>46362</v>
      </c>
      <c r="B804" s="43">
        <f>'Raw Data'!E806+Bill!$L$2</f>
        <v>20</v>
      </c>
      <c r="C804" s="43">
        <f>'Raw Data'!E806+Bill!$M$2</f>
        <v>25</v>
      </c>
      <c r="D804" s="43">
        <f>('Raw Data'!$F806*2)-10</f>
        <v>-10</v>
      </c>
      <c r="E804" s="43">
        <f>'Raw Data'!F806+Bill!$O$2</f>
        <v>20</v>
      </c>
      <c r="F804" s="43">
        <f>'Raw Data'!F806+Bill!$P$2</f>
        <v>25</v>
      </c>
      <c r="G804" s="43">
        <f>'Raw Data'!E806+Bill!$Q$2</f>
        <v>50</v>
      </c>
      <c r="H804" s="43">
        <f>('Raw Data'!F806+Bill!$R$2)</f>
        <v>20</v>
      </c>
      <c r="I804" s="36">
        <f>'Raw Data'!G806/100</f>
        <v>0</v>
      </c>
      <c r="K804" s="37">
        <f>Bill!$Y804</f>
        <v>46362</v>
      </c>
      <c r="L804" s="38">
        <f>Bill!$AA804*('Raw Data'!$E806+$L$2)</f>
        <v>0</v>
      </c>
      <c r="M804" s="38">
        <f>Bill!$AB804*('Raw Data'!$E806+$M$2)</f>
        <v>0</v>
      </c>
      <c r="N804" s="38">
        <f>(('Raw Data'!$F806 * 2)-10)*Bill!$AC804</f>
        <v>0</v>
      </c>
      <c r="O804" s="38">
        <f>('Raw Data'!F806+Bill!$O$2)*Bill!$AD804</f>
        <v>0</v>
      </c>
      <c r="P804" s="38">
        <f>('Raw Data'!F806+Bill!$P$2)*Bill!$AE804</f>
        <v>0</v>
      </c>
      <c r="Q804" s="38">
        <f>Bill!$Z804*('Raw Data'!$E806+$Q$2)</f>
        <v>0</v>
      </c>
      <c r="R804" s="38">
        <f>('Raw Data'!F806+Bill!$R$2)*Bill!$AF804</f>
        <v>0</v>
      </c>
      <c r="S804" s="48">
        <f>('Raw Data'!G806/100)*Bill!$AG804</f>
        <v>0</v>
      </c>
      <c r="T804" s="38">
        <f>SUM(Bill!$L804:$R804)</f>
        <v>0</v>
      </c>
      <c r="U804" s="53"/>
      <c r="V804" s="50"/>
      <c r="W804" s="38">
        <f>Bill!$U804-Bill!$T804</f>
        <v>0</v>
      </c>
      <c r="Y804" s="37">
        <f>'Raw Data'!D806</f>
        <v>46362</v>
      </c>
      <c r="Z804" s="47">
        <v>0.0</v>
      </c>
      <c r="AA804" s="47"/>
      <c r="AB804" s="47"/>
      <c r="AC804" s="47"/>
      <c r="AD804" s="47"/>
      <c r="AE804" s="47"/>
      <c r="AF804" s="47"/>
      <c r="AG804" s="47"/>
    </row>
    <row r="805" ht="15.75" customHeight="1">
      <c r="A805" s="35">
        <f>Bill!$Y805</f>
        <v>46363</v>
      </c>
      <c r="B805" s="43">
        <f>'Raw Data'!E807+Bill!$L$2</f>
        <v>20</v>
      </c>
      <c r="C805" s="43">
        <f>'Raw Data'!E807+Bill!$M$2</f>
        <v>25</v>
      </c>
      <c r="D805" s="43">
        <f>('Raw Data'!$F807*2)-10</f>
        <v>-10</v>
      </c>
      <c r="E805" s="43">
        <f>'Raw Data'!F807+Bill!$O$2</f>
        <v>20</v>
      </c>
      <c r="F805" s="43">
        <f>'Raw Data'!F807+Bill!$P$2</f>
        <v>25</v>
      </c>
      <c r="G805" s="43">
        <f>'Raw Data'!E807+Bill!$Q$2</f>
        <v>50</v>
      </c>
      <c r="H805" s="43">
        <f>('Raw Data'!F807+Bill!$R$2)</f>
        <v>20</v>
      </c>
      <c r="I805" s="36">
        <f>'Raw Data'!G807/100</f>
        <v>0</v>
      </c>
      <c r="K805" s="37">
        <f>Bill!$Y805</f>
        <v>46363</v>
      </c>
      <c r="L805" s="38">
        <f>Bill!$AA805*('Raw Data'!$E807+$L$2)</f>
        <v>0</v>
      </c>
      <c r="M805" s="38">
        <f>Bill!$AB805*('Raw Data'!$E807+$M$2)</f>
        <v>0</v>
      </c>
      <c r="N805" s="38">
        <f>(('Raw Data'!$F807 * 2)-10)*Bill!$AC805</f>
        <v>0</v>
      </c>
      <c r="O805" s="38">
        <f>('Raw Data'!F807+Bill!$O$2)*Bill!$AD805</f>
        <v>0</v>
      </c>
      <c r="P805" s="38">
        <f>('Raw Data'!F807+Bill!$P$2)*Bill!$AE805</f>
        <v>0</v>
      </c>
      <c r="Q805" s="38">
        <f>Bill!$Z805*('Raw Data'!$E807+$Q$2)</f>
        <v>0</v>
      </c>
      <c r="R805" s="38">
        <f>('Raw Data'!F807+Bill!$R$2)*Bill!$AF805</f>
        <v>0</v>
      </c>
      <c r="S805" s="48">
        <f>('Raw Data'!G807/100)*Bill!$AG805</f>
        <v>0</v>
      </c>
      <c r="T805" s="38">
        <f>SUM(Bill!$L805:$R805)</f>
        <v>0</v>
      </c>
      <c r="U805" s="53"/>
      <c r="V805" s="50"/>
      <c r="W805" s="38">
        <f>Bill!$U805-Bill!$T805</f>
        <v>0</v>
      </c>
      <c r="Y805" s="37">
        <f>'Raw Data'!D807</f>
        <v>46363</v>
      </c>
      <c r="Z805" s="47">
        <v>0.0</v>
      </c>
      <c r="AA805" s="47"/>
      <c r="AB805" s="47"/>
      <c r="AC805" s="47"/>
      <c r="AD805" s="47"/>
      <c r="AE805" s="47"/>
      <c r="AF805" s="47"/>
      <c r="AG805" s="47"/>
    </row>
    <row r="806" ht="15.75" customHeight="1">
      <c r="A806" s="35">
        <f>Bill!$Y806</f>
        <v>46364</v>
      </c>
      <c r="B806" s="43">
        <f>'Raw Data'!E808+Bill!$L$2</f>
        <v>20</v>
      </c>
      <c r="C806" s="43">
        <f>'Raw Data'!E808+Bill!$M$2</f>
        <v>25</v>
      </c>
      <c r="D806" s="43">
        <f>('Raw Data'!$F808*2)-10</f>
        <v>-10</v>
      </c>
      <c r="E806" s="43">
        <f>'Raw Data'!F808+Bill!$O$2</f>
        <v>20</v>
      </c>
      <c r="F806" s="43">
        <f>'Raw Data'!F808+Bill!$P$2</f>
        <v>25</v>
      </c>
      <c r="G806" s="43">
        <f>'Raw Data'!E808+Bill!$Q$2</f>
        <v>50</v>
      </c>
      <c r="H806" s="43">
        <f>('Raw Data'!F808+Bill!$R$2)</f>
        <v>20</v>
      </c>
      <c r="I806" s="36">
        <f>'Raw Data'!G808/100</f>
        <v>0</v>
      </c>
      <c r="K806" s="37">
        <f>Bill!$Y806</f>
        <v>46364</v>
      </c>
      <c r="L806" s="38">
        <f>Bill!$AA806*('Raw Data'!$E808+$L$2)</f>
        <v>0</v>
      </c>
      <c r="M806" s="38">
        <f>Bill!$AB806*('Raw Data'!$E808+$M$2)</f>
        <v>0</v>
      </c>
      <c r="N806" s="38">
        <f>(('Raw Data'!$F808 * 2)-10)*Bill!$AC806</f>
        <v>0</v>
      </c>
      <c r="O806" s="38">
        <f>('Raw Data'!F808+Bill!$O$2)*Bill!$AD806</f>
        <v>0</v>
      </c>
      <c r="P806" s="38">
        <f>('Raw Data'!F808+Bill!$P$2)*Bill!$AE806</f>
        <v>0</v>
      </c>
      <c r="Q806" s="38">
        <f>Bill!$Z806*('Raw Data'!$E808+$Q$2)</f>
        <v>0</v>
      </c>
      <c r="R806" s="38">
        <f>('Raw Data'!F808+Bill!$R$2)*Bill!$AF806</f>
        <v>0</v>
      </c>
      <c r="S806" s="48">
        <f>('Raw Data'!G808/100)*Bill!$AG806</f>
        <v>0</v>
      </c>
      <c r="T806" s="38">
        <f>SUM(Bill!$L806:$R806)</f>
        <v>0</v>
      </c>
      <c r="U806" s="53"/>
      <c r="V806" s="50"/>
      <c r="W806" s="38">
        <f>Bill!$U806-Bill!$T806</f>
        <v>0</v>
      </c>
      <c r="Y806" s="37">
        <f>'Raw Data'!D808</f>
        <v>46364</v>
      </c>
      <c r="Z806" s="47">
        <v>0.0</v>
      </c>
      <c r="AA806" s="47"/>
      <c r="AB806" s="47"/>
      <c r="AC806" s="47"/>
      <c r="AD806" s="47"/>
      <c r="AE806" s="47"/>
      <c r="AF806" s="47"/>
      <c r="AG806" s="47"/>
    </row>
    <row r="807" ht="15.75" customHeight="1">
      <c r="A807" s="35">
        <f>Bill!$Y807</f>
        <v>46365</v>
      </c>
      <c r="B807" s="43">
        <f>'Raw Data'!E809+Bill!$L$2</f>
        <v>20</v>
      </c>
      <c r="C807" s="43">
        <f>'Raw Data'!E809+Bill!$M$2</f>
        <v>25</v>
      </c>
      <c r="D807" s="43">
        <f>('Raw Data'!$F809*2)-10</f>
        <v>-10</v>
      </c>
      <c r="E807" s="43">
        <f>'Raw Data'!F809+Bill!$O$2</f>
        <v>20</v>
      </c>
      <c r="F807" s="43">
        <f>'Raw Data'!F809+Bill!$P$2</f>
        <v>25</v>
      </c>
      <c r="G807" s="43">
        <f>'Raw Data'!E809+Bill!$Q$2</f>
        <v>50</v>
      </c>
      <c r="H807" s="43">
        <f>('Raw Data'!F809+Bill!$R$2)</f>
        <v>20</v>
      </c>
      <c r="I807" s="36">
        <f>'Raw Data'!G809/100</f>
        <v>0</v>
      </c>
      <c r="K807" s="37">
        <f>Bill!$Y807</f>
        <v>46365</v>
      </c>
      <c r="L807" s="38">
        <f>Bill!$AA807*('Raw Data'!$E809+$L$2)</f>
        <v>0</v>
      </c>
      <c r="M807" s="38">
        <f>Bill!$AB807*('Raw Data'!$E809+$M$2)</f>
        <v>0</v>
      </c>
      <c r="N807" s="38">
        <f>(('Raw Data'!$F809 * 2)-10)*Bill!$AC807</f>
        <v>0</v>
      </c>
      <c r="O807" s="38">
        <f>('Raw Data'!F809+Bill!$O$2)*Bill!$AD807</f>
        <v>0</v>
      </c>
      <c r="P807" s="38">
        <f>('Raw Data'!F809+Bill!$P$2)*Bill!$AE807</f>
        <v>0</v>
      </c>
      <c r="Q807" s="38">
        <f>Bill!$Z807*('Raw Data'!$E809+$Q$2)</f>
        <v>0</v>
      </c>
      <c r="R807" s="38">
        <f>('Raw Data'!F809+Bill!$R$2)*Bill!$AF807</f>
        <v>0</v>
      </c>
      <c r="S807" s="48">
        <f>('Raw Data'!G809/100)*Bill!$AG807</f>
        <v>0</v>
      </c>
      <c r="T807" s="38">
        <f>SUM(Bill!$L807:$R807)</f>
        <v>0</v>
      </c>
      <c r="U807" s="53"/>
      <c r="V807" s="50"/>
      <c r="W807" s="38">
        <f>Bill!$U807-Bill!$T807</f>
        <v>0</v>
      </c>
      <c r="Y807" s="37">
        <f>'Raw Data'!D809</f>
        <v>46365</v>
      </c>
      <c r="Z807" s="47">
        <v>0.0</v>
      </c>
      <c r="AA807" s="47"/>
      <c r="AB807" s="47"/>
      <c r="AC807" s="47"/>
      <c r="AD807" s="47"/>
      <c r="AE807" s="47"/>
      <c r="AF807" s="47"/>
      <c r="AG807" s="47"/>
    </row>
    <row r="808" ht="15.75" customHeight="1">
      <c r="A808" s="35">
        <f>Bill!$Y808</f>
        <v>46366</v>
      </c>
      <c r="B808" s="43">
        <f>'Raw Data'!E810+Bill!$L$2</f>
        <v>20</v>
      </c>
      <c r="C808" s="43">
        <f>'Raw Data'!E810+Bill!$M$2</f>
        <v>25</v>
      </c>
      <c r="D808" s="43">
        <f>('Raw Data'!$F810*2)-10</f>
        <v>-10</v>
      </c>
      <c r="E808" s="43">
        <f>'Raw Data'!F810+Bill!$O$2</f>
        <v>20</v>
      </c>
      <c r="F808" s="43">
        <f>'Raw Data'!F810+Bill!$P$2</f>
        <v>25</v>
      </c>
      <c r="G808" s="43">
        <f>'Raw Data'!E810+Bill!$Q$2</f>
        <v>50</v>
      </c>
      <c r="H808" s="43">
        <f>('Raw Data'!F810+Bill!$R$2)</f>
        <v>20</v>
      </c>
      <c r="I808" s="36">
        <f>'Raw Data'!G810/100</f>
        <v>0</v>
      </c>
      <c r="K808" s="37">
        <f>Bill!$Y808</f>
        <v>46366</v>
      </c>
      <c r="L808" s="38">
        <f>Bill!$AA808*('Raw Data'!$E810+$L$2)</f>
        <v>0</v>
      </c>
      <c r="M808" s="38">
        <f>Bill!$AB808*('Raw Data'!$E810+$M$2)</f>
        <v>0</v>
      </c>
      <c r="N808" s="38">
        <f>(('Raw Data'!$F810 * 2)-10)*Bill!$AC808</f>
        <v>0</v>
      </c>
      <c r="O808" s="38">
        <f>('Raw Data'!F810+Bill!$O$2)*Bill!$AD808</f>
        <v>0</v>
      </c>
      <c r="P808" s="38">
        <f>('Raw Data'!F810+Bill!$P$2)*Bill!$AE808</f>
        <v>0</v>
      </c>
      <c r="Q808" s="38">
        <f>Bill!$Z808*('Raw Data'!$E810+$Q$2)</f>
        <v>0</v>
      </c>
      <c r="R808" s="38">
        <f>('Raw Data'!F810+Bill!$R$2)*Bill!$AF808</f>
        <v>0</v>
      </c>
      <c r="S808" s="48">
        <f>('Raw Data'!G810/100)*Bill!$AG808</f>
        <v>0</v>
      </c>
      <c r="T808" s="38">
        <f>SUM(Bill!$L808:$R808)</f>
        <v>0</v>
      </c>
      <c r="U808" s="53"/>
      <c r="V808" s="50"/>
      <c r="W808" s="38">
        <f>Bill!$U808-Bill!$T808</f>
        <v>0</v>
      </c>
      <c r="Y808" s="37">
        <f>'Raw Data'!D810</f>
        <v>46366</v>
      </c>
      <c r="Z808" s="47">
        <v>0.0</v>
      </c>
      <c r="AA808" s="47"/>
      <c r="AB808" s="47"/>
      <c r="AC808" s="47"/>
      <c r="AD808" s="47"/>
      <c r="AE808" s="47"/>
      <c r="AF808" s="47"/>
      <c r="AG808" s="47"/>
    </row>
    <row r="809" ht="15.75" customHeight="1">
      <c r="A809" s="35">
        <f>Bill!$Y809</f>
        <v>46367</v>
      </c>
      <c r="B809" s="43">
        <f>'Raw Data'!E811+Bill!$L$2</f>
        <v>20</v>
      </c>
      <c r="C809" s="43">
        <f>'Raw Data'!E811+Bill!$M$2</f>
        <v>25</v>
      </c>
      <c r="D809" s="43">
        <f>('Raw Data'!$F811*2)-10</f>
        <v>-10</v>
      </c>
      <c r="E809" s="43">
        <f>'Raw Data'!F811+Bill!$O$2</f>
        <v>20</v>
      </c>
      <c r="F809" s="43">
        <f>'Raw Data'!F811+Bill!$P$2</f>
        <v>25</v>
      </c>
      <c r="G809" s="43">
        <f>'Raw Data'!E811+Bill!$Q$2</f>
        <v>50</v>
      </c>
      <c r="H809" s="43">
        <f>('Raw Data'!F811+Bill!$R$2)</f>
        <v>20</v>
      </c>
      <c r="I809" s="36">
        <f>'Raw Data'!G811/100</f>
        <v>0</v>
      </c>
      <c r="K809" s="37">
        <f>Bill!$Y809</f>
        <v>46367</v>
      </c>
      <c r="L809" s="38">
        <f>Bill!$AA809*('Raw Data'!$E811+$L$2)</f>
        <v>0</v>
      </c>
      <c r="M809" s="38">
        <f>Bill!$AB809*('Raw Data'!$E811+$M$2)</f>
        <v>0</v>
      </c>
      <c r="N809" s="38">
        <f>(('Raw Data'!$F811 * 2)-10)*Bill!$AC809</f>
        <v>0</v>
      </c>
      <c r="O809" s="38">
        <f>('Raw Data'!F811+Bill!$O$2)*Bill!$AD809</f>
        <v>0</v>
      </c>
      <c r="P809" s="38">
        <f>('Raw Data'!F811+Bill!$P$2)*Bill!$AE809</f>
        <v>0</v>
      </c>
      <c r="Q809" s="38">
        <f>Bill!$Z809*('Raw Data'!$E811+$Q$2)</f>
        <v>0</v>
      </c>
      <c r="R809" s="38">
        <f>('Raw Data'!F811+Bill!$R$2)*Bill!$AF809</f>
        <v>0</v>
      </c>
      <c r="S809" s="48">
        <f>('Raw Data'!G811/100)*Bill!$AG809</f>
        <v>0</v>
      </c>
      <c r="T809" s="38">
        <f>SUM(Bill!$L809:$R809)</f>
        <v>0</v>
      </c>
      <c r="U809" s="53"/>
      <c r="V809" s="50"/>
      <c r="W809" s="38">
        <f>Bill!$U809-Bill!$T809</f>
        <v>0</v>
      </c>
      <c r="Y809" s="37">
        <f>'Raw Data'!D811</f>
        <v>46367</v>
      </c>
      <c r="Z809" s="47">
        <v>0.0</v>
      </c>
      <c r="AA809" s="47"/>
      <c r="AB809" s="47"/>
      <c r="AC809" s="47"/>
      <c r="AD809" s="47"/>
      <c r="AE809" s="47"/>
      <c r="AF809" s="47"/>
      <c r="AG809" s="47"/>
    </row>
    <row r="810" ht="15.75" customHeight="1">
      <c r="A810" s="35">
        <f>Bill!$Y810</f>
        <v>46368</v>
      </c>
      <c r="B810" s="43">
        <f>'Raw Data'!E812+Bill!$L$2</f>
        <v>20</v>
      </c>
      <c r="C810" s="43">
        <f>'Raw Data'!E812+Bill!$M$2</f>
        <v>25</v>
      </c>
      <c r="D810" s="43">
        <f>('Raw Data'!$F812*2)-10</f>
        <v>-10</v>
      </c>
      <c r="E810" s="43">
        <f>'Raw Data'!F812+Bill!$O$2</f>
        <v>20</v>
      </c>
      <c r="F810" s="43">
        <f>'Raw Data'!F812+Bill!$P$2</f>
        <v>25</v>
      </c>
      <c r="G810" s="43">
        <f>'Raw Data'!E812+Bill!$Q$2</f>
        <v>50</v>
      </c>
      <c r="H810" s="43">
        <f>('Raw Data'!F812+Bill!$R$2)</f>
        <v>20</v>
      </c>
      <c r="I810" s="36">
        <f>'Raw Data'!G812/100</f>
        <v>0</v>
      </c>
      <c r="K810" s="37">
        <f>Bill!$Y810</f>
        <v>46368</v>
      </c>
      <c r="L810" s="38">
        <f>Bill!$AA810*('Raw Data'!$E812+$L$2)</f>
        <v>0</v>
      </c>
      <c r="M810" s="38">
        <f>Bill!$AB810*('Raw Data'!$E812+$M$2)</f>
        <v>0</v>
      </c>
      <c r="N810" s="38">
        <f>(('Raw Data'!$F812 * 2)-10)*Bill!$AC810</f>
        <v>0</v>
      </c>
      <c r="O810" s="38">
        <f>('Raw Data'!F812+Bill!$O$2)*Bill!$AD810</f>
        <v>0</v>
      </c>
      <c r="P810" s="38">
        <f>('Raw Data'!F812+Bill!$P$2)*Bill!$AE810</f>
        <v>0</v>
      </c>
      <c r="Q810" s="38">
        <f>Bill!$Z810*('Raw Data'!$E812+$Q$2)</f>
        <v>0</v>
      </c>
      <c r="R810" s="38">
        <f>('Raw Data'!F812+Bill!$R$2)*Bill!$AF810</f>
        <v>0</v>
      </c>
      <c r="S810" s="48">
        <f>('Raw Data'!G812/100)*Bill!$AG810</f>
        <v>0</v>
      </c>
      <c r="T810" s="38">
        <f>SUM(Bill!$L810:$R810)</f>
        <v>0</v>
      </c>
      <c r="U810" s="53"/>
      <c r="V810" s="50"/>
      <c r="W810" s="38">
        <f>Bill!$U810-Bill!$T810</f>
        <v>0</v>
      </c>
      <c r="Y810" s="37">
        <f>'Raw Data'!D812</f>
        <v>46368</v>
      </c>
      <c r="Z810" s="47">
        <v>0.0</v>
      </c>
      <c r="AA810" s="47"/>
      <c r="AB810" s="47"/>
      <c r="AC810" s="47"/>
      <c r="AD810" s="47"/>
      <c r="AE810" s="47"/>
      <c r="AF810" s="47"/>
      <c r="AG810" s="47"/>
    </row>
    <row r="811" ht="15.75" customHeight="1">
      <c r="A811" s="35">
        <f>Bill!$Y811</f>
        <v>46369</v>
      </c>
      <c r="B811" s="43">
        <f>'Raw Data'!E813+Bill!$L$2</f>
        <v>20</v>
      </c>
      <c r="C811" s="43">
        <f>'Raw Data'!E813+Bill!$M$2</f>
        <v>25</v>
      </c>
      <c r="D811" s="43">
        <f>('Raw Data'!$F813*2)-10</f>
        <v>-10</v>
      </c>
      <c r="E811" s="43">
        <f>'Raw Data'!F813+Bill!$O$2</f>
        <v>20</v>
      </c>
      <c r="F811" s="43">
        <f>'Raw Data'!F813+Bill!$P$2</f>
        <v>25</v>
      </c>
      <c r="G811" s="43">
        <f>'Raw Data'!E813+Bill!$Q$2</f>
        <v>50</v>
      </c>
      <c r="H811" s="43">
        <f>('Raw Data'!F813+Bill!$R$2)</f>
        <v>20</v>
      </c>
      <c r="I811" s="36">
        <f>'Raw Data'!G813/100</f>
        <v>0</v>
      </c>
      <c r="K811" s="37">
        <f>Bill!$Y811</f>
        <v>46369</v>
      </c>
      <c r="L811" s="38">
        <f>Bill!$AA811*('Raw Data'!$E813+$L$2)</f>
        <v>0</v>
      </c>
      <c r="M811" s="38">
        <f>Bill!$AB811*('Raw Data'!$E813+$M$2)</f>
        <v>0</v>
      </c>
      <c r="N811" s="38">
        <f>(('Raw Data'!$F813 * 2)-10)*Bill!$AC811</f>
        <v>0</v>
      </c>
      <c r="O811" s="38">
        <f>('Raw Data'!F813+Bill!$O$2)*Bill!$AD811</f>
        <v>0</v>
      </c>
      <c r="P811" s="38">
        <f>('Raw Data'!F813+Bill!$P$2)*Bill!$AE811</f>
        <v>0</v>
      </c>
      <c r="Q811" s="38">
        <f>Bill!$Z811*('Raw Data'!$E813+$Q$2)</f>
        <v>0</v>
      </c>
      <c r="R811" s="38">
        <f>('Raw Data'!F813+Bill!$R$2)*Bill!$AF811</f>
        <v>0</v>
      </c>
      <c r="S811" s="48">
        <f>('Raw Data'!G813/100)*Bill!$AG811</f>
        <v>0</v>
      </c>
      <c r="T811" s="38">
        <f>SUM(Bill!$L811:$R811)</f>
        <v>0</v>
      </c>
      <c r="U811" s="53"/>
      <c r="V811" s="50"/>
      <c r="W811" s="38">
        <f>Bill!$U811-Bill!$T811</f>
        <v>0</v>
      </c>
      <c r="Y811" s="37">
        <f>'Raw Data'!D813</f>
        <v>46369</v>
      </c>
      <c r="Z811" s="47">
        <v>0.0</v>
      </c>
      <c r="AA811" s="47"/>
      <c r="AB811" s="47"/>
      <c r="AC811" s="47"/>
      <c r="AD811" s="47"/>
      <c r="AE811" s="47"/>
      <c r="AF811" s="47"/>
      <c r="AG811" s="47"/>
    </row>
    <row r="812" ht="15.75" customHeight="1">
      <c r="A812" s="35">
        <f>Bill!$Y812</f>
        <v>46370</v>
      </c>
      <c r="B812" s="43">
        <f>'Raw Data'!E814+Bill!$L$2</f>
        <v>20</v>
      </c>
      <c r="C812" s="43">
        <f>'Raw Data'!E814+Bill!$M$2</f>
        <v>25</v>
      </c>
      <c r="D812" s="43">
        <f>('Raw Data'!$F814*2)-10</f>
        <v>-10</v>
      </c>
      <c r="E812" s="43">
        <f>'Raw Data'!F814+Bill!$O$2</f>
        <v>20</v>
      </c>
      <c r="F812" s="43">
        <f>'Raw Data'!F814+Bill!$P$2</f>
        <v>25</v>
      </c>
      <c r="G812" s="43">
        <f>'Raw Data'!E814+Bill!$Q$2</f>
        <v>50</v>
      </c>
      <c r="H812" s="43">
        <f>('Raw Data'!F814+Bill!$R$2)</f>
        <v>20</v>
      </c>
      <c r="I812" s="36">
        <f>'Raw Data'!G814/100</f>
        <v>0</v>
      </c>
      <c r="K812" s="37">
        <f>Bill!$Y812</f>
        <v>46370</v>
      </c>
      <c r="L812" s="38">
        <f>Bill!$AA812*('Raw Data'!$E814+$L$2)</f>
        <v>0</v>
      </c>
      <c r="M812" s="38">
        <f>Bill!$AB812*('Raw Data'!$E814+$M$2)</f>
        <v>0</v>
      </c>
      <c r="N812" s="38">
        <f>(('Raw Data'!$F814 * 2)-10)*Bill!$AC812</f>
        <v>0</v>
      </c>
      <c r="O812" s="38">
        <f>('Raw Data'!F814+Bill!$O$2)*Bill!$AD812</f>
        <v>0</v>
      </c>
      <c r="P812" s="38">
        <f>('Raw Data'!F814+Bill!$P$2)*Bill!$AE812</f>
        <v>0</v>
      </c>
      <c r="Q812" s="38">
        <f>Bill!$Z812*('Raw Data'!$E814+$Q$2)</f>
        <v>0</v>
      </c>
      <c r="R812" s="38">
        <f>('Raw Data'!F814+Bill!$R$2)*Bill!$AF812</f>
        <v>0</v>
      </c>
      <c r="S812" s="48">
        <f>('Raw Data'!G814/100)*Bill!$AG812</f>
        <v>0</v>
      </c>
      <c r="T812" s="38">
        <f>SUM(Bill!$L812:$R812)</f>
        <v>0</v>
      </c>
      <c r="U812" s="53"/>
      <c r="V812" s="50"/>
      <c r="W812" s="38">
        <f>Bill!$U812-Bill!$T812</f>
        <v>0</v>
      </c>
      <c r="Y812" s="37">
        <f>'Raw Data'!D814</f>
        <v>46370</v>
      </c>
      <c r="Z812" s="47">
        <v>0.0</v>
      </c>
      <c r="AA812" s="47"/>
      <c r="AB812" s="47"/>
      <c r="AC812" s="47"/>
      <c r="AD812" s="47"/>
      <c r="AE812" s="47"/>
      <c r="AF812" s="47"/>
      <c r="AG812" s="47"/>
    </row>
    <row r="813" ht="15.75" customHeight="1">
      <c r="A813" s="35">
        <f>Bill!$Y813</f>
        <v>46371</v>
      </c>
      <c r="B813" s="43">
        <f>'Raw Data'!E815+Bill!$L$2</f>
        <v>20</v>
      </c>
      <c r="C813" s="43">
        <f>'Raw Data'!E815+Bill!$M$2</f>
        <v>25</v>
      </c>
      <c r="D813" s="43">
        <f>('Raw Data'!$F815*2)-10</f>
        <v>-10</v>
      </c>
      <c r="E813" s="43">
        <f>'Raw Data'!F815+Bill!$O$2</f>
        <v>20</v>
      </c>
      <c r="F813" s="43">
        <f>'Raw Data'!F815+Bill!$P$2</f>
        <v>25</v>
      </c>
      <c r="G813" s="43">
        <f>'Raw Data'!E815+Bill!$Q$2</f>
        <v>50</v>
      </c>
      <c r="H813" s="43">
        <f>('Raw Data'!F815+Bill!$R$2)</f>
        <v>20</v>
      </c>
      <c r="I813" s="36">
        <f>'Raw Data'!G815/100</f>
        <v>0</v>
      </c>
      <c r="K813" s="37">
        <f>Bill!$Y813</f>
        <v>46371</v>
      </c>
      <c r="L813" s="38">
        <f>Bill!$AA813*('Raw Data'!$E815+$L$2)</f>
        <v>0</v>
      </c>
      <c r="M813" s="38">
        <f>Bill!$AB813*('Raw Data'!$E815+$M$2)</f>
        <v>0</v>
      </c>
      <c r="N813" s="38">
        <f>(('Raw Data'!$F815 * 2)-10)*Bill!$AC813</f>
        <v>0</v>
      </c>
      <c r="O813" s="38">
        <f>('Raw Data'!F815+Bill!$O$2)*Bill!$AD813</f>
        <v>0</v>
      </c>
      <c r="P813" s="38">
        <f>('Raw Data'!F815+Bill!$P$2)*Bill!$AE813</f>
        <v>0</v>
      </c>
      <c r="Q813" s="38">
        <f>Bill!$Z813*('Raw Data'!$E815+$Q$2)</f>
        <v>0</v>
      </c>
      <c r="R813" s="38">
        <f>('Raw Data'!F815+Bill!$R$2)*Bill!$AF813</f>
        <v>0</v>
      </c>
      <c r="S813" s="48">
        <f>('Raw Data'!G815/100)*Bill!$AG813</f>
        <v>0</v>
      </c>
      <c r="T813" s="38">
        <f>SUM(Bill!$L813:$R813)</f>
        <v>0</v>
      </c>
      <c r="U813" s="53"/>
      <c r="V813" s="50"/>
      <c r="W813" s="38">
        <f>Bill!$U813-Bill!$T813</f>
        <v>0</v>
      </c>
      <c r="Y813" s="37">
        <f>'Raw Data'!D815</f>
        <v>46371</v>
      </c>
      <c r="Z813" s="47">
        <v>0.0</v>
      </c>
      <c r="AA813" s="47"/>
      <c r="AB813" s="47"/>
      <c r="AC813" s="47"/>
      <c r="AD813" s="47"/>
      <c r="AE813" s="47"/>
      <c r="AF813" s="47"/>
      <c r="AG813" s="47"/>
    </row>
    <row r="814" ht="15.75" customHeight="1">
      <c r="A814" s="35">
        <f>Bill!$Y814</f>
        <v>46372</v>
      </c>
      <c r="B814" s="43">
        <f>'Raw Data'!E816+Bill!$L$2</f>
        <v>20</v>
      </c>
      <c r="C814" s="43">
        <f>'Raw Data'!E816+Bill!$M$2</f>
        <v>25</v>
      </c>
      <c r="D814" s="43">
        <f>('Raw Data'!$F816*2)-10</f>
        <v>-10</v>
      </c>
      <c r="E814" s="43">
        <f>'Raw Data'!F816+Bill!$O$2</f>
        <v>20</v>
      </c>
      <c r="F814" s="43">
        <f>'Raw Data'!F816+Bill!$P$2</f>
        <v>25</v>
      </c>
      <c r="G814" s="43">
        <f>'Raw Data'!E816+Bill!$Q$2</f>
        <v>50</v>
      </c>
      <c r="H814" s="43">
        <f>('Raw Data'!F816+Bill!$R$2)</f>
        <v>20</v>
      </c>
      <c r="I814" s="36">
        <f>'Raw Data'!G816/100</f>
        <v>0</v>
      </c>
      <c r="K814" s="37">
        <f>Bill!$Y814</f>
        <v>46372</v>
      </c>
      <c r="L814" s="38">
        <f>Bill!$AA814*('Raw Data'!$E816+$L$2)</f>
        <v>0</v>
      </c>
      <c r="M814" s="38">
        <f>Bill!$AB814*('Raw Data'!$E816+$M$2)</f>
        <v>0</v>
      </c>
      <c r="N814" s="38">
        <f>(('Raw Data'!$F816 * 2)-10)*Bill!$AC814</f>
        <v>0</v>
      </c>
      <c r="O814" s="38">
        <f>('Raw Data'!F816+Bill!$O$2)*Bill!$AD814</f>
        <v>0</v>
      </c>
      <c r="P814" s="38">
        <f>('Raw Data'!F816+Bill!$P$2)*Bill!$AE814</f>
        <v>0</v>
      </c>
      <c r="Q814" s="38">
        <f>Bill!$Z814*('Raw Data'!$E816+$Q$2)</f>
        <v>0</v>
      </c>
      <c r="R814" s="38">
        <f>('Raw Data'!F816+Bill!$R$2)*Bill!$AF814</f>
        <v>0</v>
      </c>
      <c r="S814" s="48">
        <f>('Raw Data'!G816/100)*Bill!$AG814</f>
        <v>0</v>
      </c>
      <c r="T814" s="38">
        <f>SUM(Bill!$L814:$R814)</f>
        <v>0</v>
      </c>
      <c r="U814" s="53"/>
      <c r="V814" s="50"/>
      <c r="W814" s="38">
        <f>Bill!$U814-Bill!$T814</f>
        <v>0</v>
      </c>
      <c r="Y814" s="37">
        <f>'Raw Data'!D816</f>
        <v>46372</v>
      </c>
      <c r="Z814" s="47">
        <v>0.0</v>
      </c>
      <c r="AA814" s="47"/>
      <c r="AB814" s="47"/>
      <c r="AC814" s="47"/>
      <c r="AD814" s="47"/>
      <c r="AE814" s="47"/>
      <c r="AF814" s="47"/>
      <c r="AG814" s="47"/>
    </row>
    <row r="815" ht="15.75" customHeight="1">
      <c r="A815" s="35">
        <f>Bill!$Y815</f>
        <v>46373</v>
      </c>
      <c r="B815" s="43">
        <f>'Raw Data'!E817+Bill!$L$2</f>
        <v>20</v>
      </c>
      <c r="C815" s="43">
        <f>'Raw Data'!E817+Bill!$M$2</f>
        <v>25</v>
      </c>
      <c r="D815" s="43">
        <f>('Raw Data'!$F817*2)-10</f>
        <v>-10</v>
      </c>
      <c r="E815" s="43">
        <f>'Raw Data'!F817+Bill!$O$2</f>
        <v>20</v>
      </c>
      <c r="F815" s="43">
        <f>'Raw Data'!F817+Bill!$P$2</f>
        <v>25</v>
      </c>
      <c r="G815" s="43">
        <f>'Raw Data'!E817+Bill!$Q$2</f>
        <v>50</v>
      </c>
      <c r="H815" s="43">
        <f>('Raw Data'!F817+Bill!$R$2)</f>
        <v>20</v>
      </c>
      <c r="I815" s="36">
        <f>'Raw Data'!G817/100</f>
        <v>0</v>
      </c>
      <c r="K815" s="37">
        <f>Bill!$Y815</f>
        <v>46373</v>
      </c>
      <c r="L815" s="38">
        <f>Bill!$AA815*('Raw Data'!$E817+$L$2)</f>
        <v>0</v>
      </c>
      <c r="M815" s="38">
        <f>Bill!$AB815*('Raw Data'!$E817+$M$2)</f>
        <v>0</v>
      </c>
      <c r="N815" s="38">
        <f>(('Raw Data'!$F817 * 2)-10)*Bill!$AC815</f>
        <v>0</v>
      </c>
      <c r="O815" s="38">
        <f>('Raw Data'!F817+Bill!$O$2)*Bill!$AD815</f>
        <v>0</v>
      </c>
      <c r="P815" s="38">
        <f>('Raw Data'!F817+Bill!$P$2)*Bill!$AE815</f>
        <v>0</v>
      </c>
      <c r="Q815" s="38">
        <f>Bill!$Z815*('Raw Data'!$E817+$Q$2)</f>
        <v>0</v>
      </c>
      <c r="R815" s="38">
        <f>('Raw Data'!F817+Bill!$R$2)*Bill!$AF815</f>
        <v>0</v>
      </c>
      <c r="S815" s="48">
        <f>('Raw Data'!G817/100)*Bill!$AG815</f>
        <v>0</v>
      </c>
      <c r="T815" s="38">
        <f>SUM(Bill!$L815:$R815)</f>
        <v>0</v>
      </c>
      <c r="U815" s="53"/>
      <c r="V815" s="50"/>
      <c r="W815" s="38">
        <f>Bill!$U815-Bill!$T815</f>
        <v>0</v>
      </c>
      <c r="Y815" s="37">
        <f>'Raw Data'!D817</f>
        <v>46373</v>
      </c>
      <c r="Z815" s="47">
        <v>0.0</v>
      </c>
      <c r="AA815" s="47"/>
      <c r="AB815" s="47"/>
      <c r="AC815" s="47"/>
      <c r="AD815" s="47"/>
      <c r="AE815" s="47"/>
      <c r="AF815" s="47"/>
      <c r="AG815" s="47"/>
    </row>
    <row r="816" ht="15.75" customHeight="1">
      <c r="A816" s="35">
        <f>Bill!$Y816</f>
        <v>46374</v>
      </c>
      <c r="B816" s="43">
        <f>'Raw Data'!E818+Bill!$L$2</f>
        <v>20</v>
      </c>
      <c r="C816" s="43">
        <f>'Raw Data'!E818+Bill!$M$2</f>
        <v>25</v>
      </c>
      <c r="D816" s="43">
        <f>('Raw Data'!$F818*2)-10</f>
        <v>-10</v>
      </c>
      <c r="E816" s="43">
        <f>'Raw Data'!F818+Bill!$O$2</f>
        <v>20</v>
      </c>
      <c r="F816" s="43">
        <f>'Raw Data'!F818+Bill!$P$2</f>
        <v>25</v>
      </c>
      <c r="G816" s="43">
        <f>'Raw Data'!E818+Bill!$Q$2</f>
        <v>50</v>
      </c>
      <c r="H816" s="43">
        <f>('Raw Data'!F818+Bill!$R$2)</f>
        <v>20</v>
      </c>
      <c r="I816" s="36">
        <f>'Raw Data'!G818/100</f>
        <v>0</v>
      </c>
      <c r="K816" s="37">
        <f>Bill!$Y816</f>
        <v>46374</v>
      </c>
      <c r="L816" s="38">
        <f>Bill!$AA816*('Raw Data'!$E818+$L$2)</f>
        <v>0</v>
      </c>
      <c r="M816" s="38">
        <f>Bill!$AB816*('Raw Data'!$E818+$M$2)</f>
        <v>0</v>
      </c>
      <c r="N816" s="38">
        <f>(('Raw Data'!$F818 * 2)-10)*Bill!$AC816</f>
        <v>0</v>
      </c>
      <c r="O816" s="38">
        <f>('Raw Data'!F818+Bill!$O$2)*Bill!$AD816</f>
        <v>0</v>
      </c>
      <c r="P816" s="38">
        <f>('Raw Data'!F818+Bill!$P$2)*Bill!$AE816</f>
        <v>0</v>
      </c>
      <c r="Q816" s="38">
        <f>Bill!$Z816*('Raw Data'!$E818+$Q$2)</f>
        <v>0</v>
      </c>
      <c r="R816" s="38">
        <f>('Raw Data'!F818+Bill!$R$2)*Bill!$AF816</f>
        <v>0</v>
      </c>
      <c r="S816" s="48">
        <f>('Raw Data'!G818/100)*Bill!$AG816</f>
        <v>0</v>
      </c>
      <c r="T816" s="38">
        <f>SUM(Bill!$L816:$R816)</f>
        <v>0</v>
      </c>
      <c r="U816" s="53"/>
      <c r="V816" s="50"/>
      <c r="W816" s="38">
        <f>Bill!$U816-Bill!$T816</f>
        <v>0</v>
      </c>
      <c r="Y816" s="37">
        <f>'Raw Data'!D818</f>
        <v>46374</v>
      </c>
      <c r="Z816" s="47">
        <v>0.0</v>
      </c>
      <c r="AA816" s="47"/>
      <c r="AB816" s="47"/>
      <c r="AC816" s="47"/>
      <c r="AD816" s="47"/>
      <c r="AE816" s="47"/>
      <c r="AF816" s="47"/>
      <c r="AG816" s="47"/>
    </row>
    <row r="817" ht="15.75" customHeight="1">
      <c r="A817" s="35">
        <f>Bill!$Y817</f>
        <v>46375</v>
      </c>
      <c r="B817" s="43">
        <f>'Raw Data'!E819+Bill!$L$2</f>
        <v>20</v>
      </c>
      <c r="C817" s="43">
        <f>'Raw Data'!E819+Bill!$M$2</f>
        <v>25</v>
      </c>
      <c r="D817" s="43">
        <f>('Raw Data'!$F819*2)-10</f>
        <v>-10</v>
      </c>
      <c r="E817" s="43">
        <f>'Raw Data'!F819+Bill!$O$2</f>
        <v>20</v>
      </c>
      <c r="F817" s="43">
        <f>'Raw Data'!F819+Bill!$P$2</f>
        <v>25</v>
      </c>
      <c r="G817" s="43">
        <f>'Raw Data'!E819+Bill!$Q$2</f>
        <v>50</v>
      </c>
      <c r="H817" s="43">
        <f>('Raw Data'!F819+Bill!$R$2)</f>
        <v>20</v>
      </c>
      <c r="I817" s="36">
        <f>'Raw Data'!G819/100</f>
        <v>0</v>
      </c>
      <c r="K817" s="37">
        <f>Bill!$Y817</f>
        <v>46375</v>
      </c>
      <c r="L817" s="38">
        <f>Bill!$AA817*('Raw Data'!$E819+$L$2)</f>
        <v>0</v>
      </c>
      <c r="M817" s="38">
        <f>Bill!$AB817*('Raw Data'!$E819+$M$2)</f>
        <v>0</v>
      </c>
      <c r="N817" s="38">
        <f>(('Raw Data'!$F819 * 2)-10)*Bill!$AC817</f>
        <v>0</v>
      </c>
      <c r="O817" s="38">
        <f>('Raw Data'!F819+Bill!$O$2)*Bill!$AD817</f>
        <v>0</v>
      </c>
      <c r="P817" s="38">
        <f>('Raw Data'!F819+Bill!$P$2)*Bill!$AE817</f>
        <v>0</v>
      </c>
      <c r="Q817" s="38">
        <f>Bill!$Z817*('Raw Data'!$E819+$Q$2)</f>
        <v>0</v>
      </c>
      <c r="R817" s="38">
        <f>('Raw Data'!F819+Bill!$R$2)*Bill!$AF817</f>
        <v>0</v>
      </c>
      <c r="S817" s="48">
        <f>('Raw Data'!G819/100)*Bill!$AG817</f>
        <v>0</v>
      </c>
      <c r="T817" s="38">
        <f>SUM(Bill!$L817:$R817)</f>
        <v>0</v>
      </c>
      <c r="U817" s="53"/>
      <c r="V817" s="50"/>
      <c r="W817" s="38">
        <f>Bill!$U817-Bill!$T817</f>
        <v>0</v>
      </c>
      <c r="Y817" s="37">
        <f>'Raw Data'!D819</f>
        <v>46375</v>
      </c>
      <c r="Z817" s="47">
        <v>0.0</v>
      </c>
      <c r="AA817" s="47"/>
      <c r="AB817" s="47"/>
      <c r="AC817" s="47"/>
      <c r="AD817" s="47"/>
      <c r="AE817" s="47"/>
      <c r="AF817" s="47"/>
      <c r="AG817" s="47"/>
    </row>
    <row r="818" ht="15.75" customHeight="1">
      <c r="A818" s="35">
        <f>Bill!$Y818</f>
        <v>46376</v>
      </c>
      <c r="B818" s="43">
        <f>'Raw Data'!E820+Bill!$L$2</f>
        <v>20</v>
      </c>
      <c r="C818" s="43">
        <f>'Raw Data'!E820+Bill!$M$2</f>
        <v>25</v>
      </c>
      <c r="D818" s="43">
        <f>('Raw Data'!$F820*2)-10</f>
        <v>-10</v>
      </c>
      <c r="E818" s="43">
        <f>'Raw Data'!F820+Bill!$O$2</f>
        <v>20</v>
      </c>
      <c r="F818" s="43">
        <f>'Raw Data'!F820+Bill!$P$2</f>
        <v>25</v>
      </c>
      <c r="G818" s="43">
        <f>'Raw Data'!E820+Bill!$Q$2</f>
        <v>50</v>
      </c>
      <c r="H818" s="43">
        <f>('Raw Data'!F820+Bill!$R$2)</f>
        <v>20</v>
      </c>
      <c r="I818" s="36">
        <f>'Raw Data'!G820/100</f>
        <v>0</v>
      </c>
      <c r="K818" s="37">
        <f>Bill!$Y818</f>
        <v>46376</v>
      </c>
      <c r="L818" s="38">
        <f>Bill!$AA818*('Raw Data'!$E820+$L$2)</f>
        <v>0</v>
      </c>
      <c r="M818" s="38">
        <f>Bill!$AB818*('Raw Data'!$E820+$M$2)</f>
        <v>0</v>
      </c>
      <c r="N818" s="38">
        <f>(('Raw Data'!$F820 * 2)-10)*Bill!$AC818</f>
        <v>0</v>
      </c>
      <c r="O818" s="38">
        <f>('Raw Data'!F820+Bill!$O$2)*Bill!$AD818</f>
        <v>0</v>
      </c>
      <c r="P818" s="38">
        <f>('Raw Data'!F820+Bill!$P$2)*Bill!$AE818</f>
        <v>0</v>
      </c>
      <c r="Q818" s="38">
        <f>Bill!$Z818*('Raw Data'!$E820+$Q$2)</f>
        <v>0</v>
      </c>
      <c r="R818" s="38">
        <f>('Raw Data'!F820+Bill!$R$2)*Bill!$AF818</f>
        <v>0</v>
      </c>
      <c r="S818" s="48">
        <f>('Raw Data'!G820/100)*Bill!$AG818</f>
        <v>0</v>
      </c>
      <c r="T818" s="38">
        <f>SUM(Bill!$L818:$R818)</f>
        <v>0</v>
      </c>
      <c r="U818" s="53"/>
      <c r="V818" s="50"/>
      <c r="W818" s="38">
        <f>Bill!$U818-Bill!$T818</f>
        <v>0</v>
      </c>
      <c r="Y818" s="37">
        <f>'Raw Data'!D820</f>
        <v>46376</v>
      </c>
      <c r="Z818" s="47">
        <v>0.0</v>
      </c>
      <c r="AA818" s="47"/>
      <c r="AB818" s="47"/>
      <c r="AC818" s="47"/>
      <c r="AD818" s="47"/>
      <c r="AE818" s="47"/>
      <c r="AF818" s="47"/>
      <c r="AG818" s="47"/>
    </row>
    <row r="819" ht="15.75" customHeight="1">
      <c r="A819" s="35">
        <f>Bill!$Y819</f>
        <v>46377</v>
      </c>
      <c r="B819" s="43">
        <f>'Raw Data'!E821+Bill!$L$2</f>
        <v>20</v>
      </c>
      <c r="C819" s="43">
        <f>'Raw Data'!E821+Bill!$M$2</f>
        <v>25</v>
      </c>
      <c r="D819" s="43">
        <f>('Raw Data'!$F821*2)-10</f>
        <v>-10</v>
      </c>
      <c r="E819" s="43">
        <f>'Raw Data'!F821+Bill!$O$2</f>
        <v>20</v>
      </c>
      <c r="F819" s="43">
        <f>'Raw Data'!F821+Bill!$P$2</f>
        <v>25</v>
      </c>
      <c r="G819" s="43">
        <f>'Raw Data'!E821+Bill!$Q$2</f>
        <v>50</v>
      </c>
      <c r="H819" s="43">
        <f>('Raw Data'!F821+Bill!$R$2)</f>
        <v>20</v>
      </c>
      <c r="I819" s="36">
        <f>'Raw Data'!G821/100</f>
        <v>0</v>
      </c>
      <c r="K819" s="37">
        <f>Bill!$Y819</f>
        <v>46377</v>
      </c>
      <c r="L819" s="38">
        <f>Bill!$AA819*('Raw Data'!$E821+$L$2)</f>
        <v>0</v>
      </c>
      <c r="M819" s="38">
        <f>Bill!$AB819*('Raw Data'!$E821+$M$2)</f>
        <v>0</v>
      </c>
      <c r="N819" s="38">
        <f>(('Raw Data'!$F821 * 2)-10)*Bill!$AC819</f>
        <v>0</v>
      </c>
      <c r="O819" s="38">
        <f>('Raw Data'!F821+Bill!$O$2)*Bill!$AD819</f>
        <v>0</v>
      </c>
      <c r="P819" s="38">
        <f>('Raw Data'!F821+Bill!$P$2)*Bill!$AE819</f>
        <v>0</v>
      </c>
      <c r="Q819" s="38">
        <f>Bill!$Z819*('Raw Data'!$E821+$Q$2)</f>
        <v>0</v>
      </c>
      <c r="R819" s="38">
        <f>('Raw Data'!F821+Bill!$R$2)*Bill!$AF819</f>
        <v>0</v>
      </c>
      <c r="S819" s="48">
        <f>('Raw Data'!G821/100)*Bill!$AG819</f>
        <v>0</v>
      </c>
      <c r="T819" s="38">
        <f>SUM(Bill!$L819:$R819)</f>
        <v>0</v>
      </c>
      <c r="U819" s="53"/>
      <c r="V819" s="50"/>
      <c r="W819" s="38">
        <f>Bill!$U819-Bill!$T819</f>
        <v>0</v>
      </c>
      <c r="Y819" s="37">
        <f>'Raw Data'!D821</f>
        <v>46377</v>
      </c>
      <c r="Z819" s="47">
        <v>0.0</v>
      </c>
      <c r="AA819" s="47"/>
      <c r="AB819" s="47"/>
      <c r="AC819" s="47"/>
      <c r="AD819" s="47"/>
      <c r="AE819" s="47"/>
      <c r="AF819" s="47"/>
      <c r="AG819" s="47"/>
    </row>
    <row r="820" ht="15.75" customHeight="1">
      <c r="A820" s="35">
        <f>Bill!$Y820</f>
        <v>46378</v>
      </c>
      <c r="B820" s="43">
        <f>'Raw Data'!E822+Bill!$L$2</f>
        <v>20</v>
      </c>
      <c r="C820" s="43">
        <f>'Raw Data'!E822+Bill!$M$2</f>
        <v>25</v>
      </c>
      <c r="D820" s="43">
        <f>('Raw Data'!$F822*2)-10</f>
        <v>-10</v>
      </c>
      <c r="E820" s="43">
        <f>'Raw Data'!F822+Bill!$O$2</f>
        <v>20</v>
      </c>
      <c r="F820" s="43">
        <f>'Raw Data'!F822+Bill!$P$2</f>
        <v>25</v>
      </c>
      <c r="G820" s="43">
        <f>'Raw Data'!E822+Bill!$Q$2</f>
        <v>50</v>
      </c>
      <c r="H820" s="43">
        <f>('Raw Data'!F822+Bill!$R$2)</f>
        <v>20</v>
      </c>
      <c r="I820" s="36">
        <f>'Raw Data'!G822/100</f>
        <v>0</v>
      </c>
      <c r="K820" s="37">
        <f>Bill!$Y820</f>
        <v>46378</v>
      </c>
      <c r="L820" s="38">
        <f>Bill!$AA820*('Raw Data'!$E822+$L$2)</f>
        <v>0</v>
      </c>
      <c r="M820" s="38">
        <f>Bill!$AB820*('Raw Data'!$E822+$M$2)</f>
        <v>0</v>
      </c>
      <c r="N820" s="38">
        <f>(('Raw Data'!$F822 * 2)-10)*Bill!$AC820</f>
        <v>0</v>
      </c>
      <c r="O820" s="38">
        <f>('Raw Data'!F822+Bill!$O$2)*Bill!$AD820</f>
        <v>0</v>
      </c>
      <c r="P820" s="38">
        <f>('Raw Data'!F822+Bill!$P$2)*Bill!$AE820</f>
        <v>0</v>
      </c>
      <c r="Q820" s="38">
        <f>Bill!$Z820*('Raw Data'!$E822+$Q$2)</f>
        <v>0</v>
      </c>
      <c r="R820" s="38">
        <f>('Raw Data'!F822+Bill!$R$2)*Bill!$AF820</f>
        <v>0</v>
      </c>
      <c r="S820" s="48">
        <f>('Raw Data'!G822/100)*Bill!$AG820</f>
        <v>0</v>
      </c>
      <c r="T820" s="38">
        <f>SUM(Bill!$L820:$R820)</f>
        <v>0</v>
      </c>
      <c r="U820" s="53"/>
      <c r="V820" s="50"/>
      <c r="W820" s="38">
        <f>Bill!$U820-Bill!$T820</f>
        <v>0</v>
      </c>
      <c r="Y820" s="37">
        <f>'Raw Data'!D822</f>
        <v>46378</v>
      </c>
      <c r="Z820" s="47">
        <v>0.0</v>
      </c>
      <c r="AA820" s="47"/>
      <c r="AB820" s="47"/>
      <c r="AC820" s="47"/>
      <c r="AD820" s="47"/>
      <c r="AE820" s="47"/>
      <c r="AF820" s="47"/>
      <c r="AG820" s="47"/>
    </row>
    <row r="821" ht="15.75" customHeight="1">
      <c r="A821" s="35">
        <f>Bill!$Y821</f>
        <v>46379</v>
      </c>
      <c r="B821" s="43">
        <f>'Raw Data'!E823+Bill!$L$2</f>
        <v>20</v>
      </c>
      <c r="C821" s="43">
        <f>'Raw Data'!E823+Bill!$M$2</f>
        <v>25</v>
      </c>
      <c r="D821" s="43">
        <f>('Raw Data'!$F823*2)-10</f>
        <v>-10</v>
      </c>
      <c r="E821" s="43">
        <f>'Raw Data'!F823+Bill!$O$2</f>
        <v>20</v>
      </c>
      <c r="F821" s="43">
        <f>'Raw Data'!F823+Bill!$P$2</f>
        <v>25</v>
      </c>
      <c r="G821" s="43">
        <f>'Raw Data'!E823+Bill!$Q$2</f>
        <v>50</v>
      </c>
      <c r="H821" s="43">
        <f>('Raw Data'!F823+Bill!$R$2)</f>
        <v>20</v>
      </c>
      <c r="I821" s="36">
        <f>'Raw Data'!G823/100</f>
        <v>0</v>
      </c>
      <c r="K821" s="37">
        <f>Bill!$Y821</f>
        <v>46379</v>
      </c>
      <c r="L821" s="38">
        <f>Bill!$AA821*('Raw Data'!$E823+$L$2)</f>
        <v>0</v>
      </c>
      <c r="M821" s="38">
        <f>Bill!$AB821*('Raw Data'!$E823+$M$2)</f>
        <v>0</v>
      </c>
      <c r="N821" s="38">
        <f>(('Raw Data'!$F823 * 2)-10)*Bill!$AC821</f>
        <v>0</v>
      </c>
      <c r="O821" s="38">
        <f>('Raw Data'!F823+Bill!$O$2)*Bill!$AD821</f>
        <v>0</v>
      </c>
      <c r="P821" s="38">
        <f>('Raw Data'!F823+Bill!$P$2)*Bill!$AE821</f>
        <v>0</v>
      </c>
      <c r="Q821" s="38">
        <f>Bill!$Z821*('Raw Data'!$E823+$Q$2)</f>
        <v>0</v>
      </c>
      <c r="R821" s="38">
        <f>('Raw Data'!F823+Bill!$R$2)*Bill!$AF821</f>
        <v>0</v>
      </c>
      <c r="S821" s="48">
        <f>('Raw Data'!G823/100)*Bill!$AG821</f>
        <v>0</v>
      </c>
      <c r="T821" s="38">
        <f>SUM(Bill!$L821:$R821)</f>
        <v>0</v>
      </c>
      <c r="U821" s="53"/>
      <c r="V821" s="50"/>
      <c r="W821" s="38">
        <f>Bill!$U821-Bill!$T821</f>
        <v>0</v>
      </c>
      <c r="Y821" s="37">
        <f>'Raw Data'!D823</f>
        <v>46379</v>
      </c>
      <c r="Z821" s="47">
        <v>0.0</v>
      </c>
      <c r="AA821" s="47"/>
      <c r="AB821" s="47"/>
      <c r="AC821" s="47"/>
      <c r="AD821" s="47"/>
      <c r="AE821" s="47"/>
      <c r="AF821" s="47"/>
      <c r="AG821" s="47"/>
    </row>
    <row r="822" ht="15.75" customHeight="1">
      <c r="A822" s="35">
        <f>Bill!$Y822</f>
        <v>46380</v>
      </c>
      <c r="B822" s="43">
        <f>'Raw Data'!E824+Bill!$L$2</f>
        <v>20</v>
      </c>
      <c r="C822" s="43">
        <f>'Raw Data'!E824+Bill!$M$2</f>
        <v>25</v>
      </c>
      <c r="D822" s="43">
        <f>('Raw Data'!$F824*2)-10</f>
        <v>-10</v>
      </c>
      <c r="E822" s="43">
        <f>'Raw Data'!F824+Bill!$O$2</f>
        <v>20</v>
      </c>
      <c r="F822" s="43">
        <f>'Raw Data'!F824+Bill!$P$2</f>
        <v>25</v>
      </c>
      <c r="G822" s="43">
        <f>'Raw Data'!E824+Bill!$Q$2</f>
        <v>50</v>
      </c>
      <c r="H822" s="43">
        <f>('Raw Data'!F824+Bill!$R$2)</f>
        <v>20</v>
      </c>
      <c r="I822" s="36">
        <f>'Raw Data'!G824/100</f>
        <v>0</v>
      </c>
      <c r="K822" s="37">
        <f>Bill!$Y822</f>
        <v>46380</v>
      </c>
      <c r="L822" s="38">
        <f>Bill!$AA822*('Raw Data'!$E824+$L$2)</f>
        <v>0</v>
      </c>
      <c r="M822" s="38">
        <f>Bill!$AB822*('Raw Data'!$E824+$M$2)</f>
        <v>0</v>
      </c>
      <c r="N822" s="38">
        <f>(('Raw Data'!$F824 * 2)-10)*Bill!$AC822</f>
        <v>0</v>
      </c>
      <c r="O822" s="38">
        <f>('Raw Data'!F824+Bill!$O$2)*Bill!$AD822</f>
        <v>0</v>
      </c>
      <c r="P822" s="38">
        <f>('Raw Data'!F824+Bill!$P$2)*Bill!$AE822</f>
        <v>0</v>
      </c>
      <c r="Q822" s="38">
        <f>Bill!$Z822*('Raw Data'!$E824+$Q$2)</f>
        <v>0</v>
      </c>
      <c r="R822" s="38">
        <f>('Raw Data'!F824+Bill!$R$2)*Bill!$AF822</f>
        <v>0</v>
      </c>
      <c r="S822" s="48">
        <f>('Raw Data'!G824/100)*Bill!$AG822</f>
        <v>0</v>
      </c>
      <c r="T822" s="38">
        <f>SUM(Bill!$L822:$R822)</f>
        <v>0</v>
      </c>
      <c r="U822" s="53"/>
      <c r="V822" s="50"/>
      <c r="W822" s="38">
        <f>Bill!$U822-Bill!$T822</f>
        <v>0</v>
      </c>
      <c r="Y822" s="37">
        <f>'Raw Data'!D824</f>
        <v>46380</v>
      </c>
      <c r="Z822" s="47">
        <v>0.0</v>
      </c>
      <c r="AA822" s="47"/>
      <c r="AB822" s="47"/>
      <c r="AC822" s="47"/>
      <c r="AD822" s="47"/>
      <c r="AE822" s="47"/>
      <c r="AF822" s="47"/>
      <c r="AG822" s="47"/>
    </row>
    <row r="823" ht="15.75" customHeight="1">
      <c r="A823" s="35">
        <f>Bill!$Y823</f>
        <v>46381</v>
      </c>
      <c r="B823" s="43">
        <f>'Raw Data'!E825+Bill!$L$2</f>
        <v>20</v>
      </c>
      <c r="C823" s="43">
        <f>'Raw Data'!E825+Bill!$M$2</f>
        <v>25</v>
      </c>
      <c r="D823" s="43">
        <f>('Raw Data'!$F825*2)-10</f>
        <v>-10</v>
      </c>
      <c r="E823" s="43">
        <f>'Raw Data'!F825+Bill!$O$2</f>
        <v>20</v>
      </c>
      <c r="F823" s="43">
        <f>'Raw Data'!F825+Bill!$P$2</f>
        <v>25</v>
      </c>
      <c r="G823" s="43">
        <f>'Raw Data'!E825+Bill!$Q$2</f>
        <v>50</v>
      </c>
      <c r="H823" s="43">
        <f>('Raw Data'!F825+Bill!$R$2)</f>
        <v>20</v>
      </c>
      <c r="I823" s="36">
        <f>'Raw Data'!G825/100</f>
        <v>0</v>
      </c>
      <c r="K823" s="37">
        <f>Bill!$Y823</f>
        <v>46381</v>
      </c>
      <c r="L823" s="38">
        <f>Bill!$AA823*('Raw Data'!$E825+$L$2)</f>
        <v>0</v>
      </c>
      <c r="M823" s="38">
        <f>Bill!$AB823*('Raw Data'!$E825+$M$2)</f>
        <v>0</v>
      </c>
      <c r="N823" s="38">
        <f>(('Raw Data'!$F825 * 2)-10)*Bill!$AC823</f>
        <v>0</v>
      </c>
      <c r="O823" s="38">
        <f>('Raw Data'!F825+Bill!$O$2)*Bill!$AD823</f>
        <v>0</v>
      </c>
      <c r="P823" s="38">
        <f>('Raw Data'!F825+Bill!$P$2)*Bill!$AE823</f>
        <v>0</v>
      </c>
      <c r="Q823" s="38">
        <f>Bill!$Z823*('Raw Data'!$E825+$Q$2)</f>
        <v>0</v>
      </c>
      <c r="R823" s="38">
        <f>('Raw Data'!F825+Bill!$R$2)*Bill!$AF823</f>
        <v>0</v>
      </c>
      <c r="S823" s="48">
        <f>('Raw Data'!G825/100)*Bill!$AG823</f>
        <v>0</v>
      </c>
      <c r="T823" s="38">
        <f>SUM(Bill!$L823:$R823)</f>
        <v>0</v>
      </c>
      <c r="U823" s="53"/>
      <c r="V823" s="50"/>
      <c r="W823" s="38">
        <f>Bill!$U823-Bill!$T823</f>
        <v>0</v>
      </c>
      <c r="Y823" s="37">
        <f>'Raw Data'!D825</f>
        <v>46381</v>
      </c>
      <c r="Z823" s="47">
        <v>0.0</v>
      </c>
      <c r="AA823" s="47"/>
      <c r="AB823" s="47"/>
      <c r="AC823" s="47"/>
      <c r="AD823" s="47"/>
      <c r="AE823" s="47"/>
      <c r="AF823" s="47"/>
      <c r="AG823" s="47"/>
    </row>
    <row r="824" ht="15.75" customHeight="1">
      <c r="A824" s="35">
        <f>Bill!$Y824</f>
        <v>46382</v>
      </c>
      <c r="B824" s="43">
        <f>'Raw Data'!E826+Bill!$L$2</f>
        <v>20</v>
      </c>
      <c r="C824" s="43">
        <f>'Raw Data'!E826+Bill!$M$2</f>
        <v>25</v>
      </c>
      <c r="D824" s="43">
        <f>('Raw Data'!$F826*2)-10</f>
        <v>-10</v>
      </c>
      <c r="E824" s="43">
        <f>'Raw Data'!F826+Bill!$O$2</f>
        <v>20</v>
      </c>
      <c r="F824" s="43">
        <f>'Raw Data'!F826+Bill!$P$2</f>
        <v>25</v>
      </c>
      <c r="G824" s="43">
        <f>'Raw Data'!E826+Bill!$Q$2</f>
        <v>50</v>
      </c>
      <c r="H824" s="43">
        <f>('Raw Data'!F826+Bill!$R$2)</f>
        <v>20</v>
      </c>
      <c r="I824" s="36">
        <f>'Raw Data'!G826/100</f>
        <v>0</v>
      </c>
      <c r="K824" s="37">
        <f>Bill!$Y824</f>
        <v>46382</v>
      </c>
      <c r="L824" s="38">
        <f>Bill!$AA824*('Raw Data'!$E826+$L$2)</f>
        <v>0</v>
      </c>
      <c r="M824" s="38">
        <f>Bill!$AB824*('Raw Data'!$E826+$M$2)</f>
        <v>0</v>
      </c>
      <c r="N824" s="38">
        <f>(('Raw Data'!$F826 * 2)-10)*Bill!$AC824</f>
        <v>0</v>
      </c>
      <c r="O824" s="38">
        <f>('Raw Data'!F826+Bill!$O$2)*Bill!$AD824</f>
        <v>0</v>
      </c>
      <c r="P824" s="38">
        <f>('Raw Data'!F826+Bill!$P$2)*Bill!$AE824</f>
        <v>0</v>
      </c>
      <c r="Q824" s="38">
        <f>Bill!$Z824*('Raw Data'!$E826+$Q$2)</f>
        <v>0</v>
      </c>
      <c r="R824" s="38">
        <f>('Raw Data'!F826+Bill!$R$2)*Bill!$AF824</f>
        <v>0</v>
      </c>
      <c r="S824" s="48">
        <f>('Raw Data'!G826/100)*Bill!$AG824</f>
        <v>0</v>
      </c>
      <c r="T824" s="38">
        <f>SUM(Bill!$L824:$R824)</f>
        <v>0</v>
      </c>
      <c r="U824" s="53"/>
      <c r="V824" s="50"/>
      <c r="W824" s="38">
        <f>Bill!$U824-Bill!$T824</f>
        <v>0</v>
      </c>
      <c r="Y824" s="37">
        <f>'Raw Data'!D826</f>
        <v>46382</v>
      </c>
      <c r="Z824" s="47">
        <v>0.0</v>
      </c>
      <c r="AA824" s="47"/>
      <c r="AB824" s="47"/>
      <c r="AC824" s="47"/>
      <c r="AD824" s="47"/>
      <c r="AE824" s="47"/>
      <c r="AF824" s="47"/>
      <c r="AG824" s="47"/>
    </row>
    <row r="825" ht="15.75" customHeight="1">
      <c r="A825" s="35">
        <f>Bill!$Y825</f>
        <v>46383</v>
      </c>
      <c r="B825" s="43">
        <f>'Raw Data'!E827+Bill!$L$2</f>
        <v>20</v>
      </c>
      <c r="C825" s="43">
        <f>'Raw Data'!E827+Bill!$M$2</f>
        <v>25</v>
      </c>
      <c r="D825" s="43">
        <f>('Raw Data'!$F827*2)-10</f>
        <v>-10</v>
      </c>
      <c r="E825" s="43">
        <f>'Raw Data'!F827+Bill!$O$2</f>
        <v>20</v>
      </c>
      <c r="F825" s="43">
        <f>'Raw Data'!F827+Bill!$P$2</f>
        <v>25</v>
      </c>
      <c r="G825" s="43">
        <f>'Raw Data'!E827+Bill!$Q$2</f>
        <v>50</v>
      </c>
      <c r="H825" s="43">
        <f>('Raw Data'!F827+Bill!$R$2)</f>
        <v>20</v>
      </c>
      <c r="I825" s="36">
        <f>'Raw Data'!G827/100</f>
        <v>0</v>
      </c>
      <c r="K825" s="37">
        <f>Bill!$Y825</f>
        <v>46383</v>
      </c>
      <c r="L825" s="38">
        <f>Bill!$AA825*('Raw Data'!$E827+$L$2)</f>
        <v>0</v>
      </c>
      <c r="M825" s="38">
        <f>Bill!$AB825*('Raw Data'!$E827+$M$2)</f>
        <v>0</v>
      </c>
      <c r="N825" s="38">
        <f>(('Raw Data'!$F827 * 2)-10)*Bill!$AC825</f>
        <v>0</v>
      </c>
      <c r="O825" s="38">
        <f>('Raw Data'!F827+Bill!$O$2)*Bill!$AD825</f>
        <v>0</v>
      </c>
      <c r="P825" s="38">
        <f>('Raw Data'!F827+Bill!$P$2)*Bill!$AE825</f>
        <v>0</v>
      </c>
      <c r="Q825" s="38">
        <f>Bill!$Z825*('Raw Data'!$E827+$Q$2)</f>
        <v>0</v>
      </c>
      <c r="R825" s="38">
        <f>('Raw Data'!F827+Bill!$R$2)*Bill!$AF825</f>
        <v>0</v>
      </c>
      <c r="S825" s="48">
        <f>('Raw Data'!G827/100)*Bill!$AG825</f>
        <v>0</v>
      </c>
      <c r="T825" s="38">
        <f>SUM(Bill!$L825:$R825)</f>
        <v>0</v>
      </c>
      <c r="U825" s="53"/>
      <c r="V825" s="50"/>
      <c r="W825" s="38">
        <f>Bill!$U825-Bill!$T825</f>
        <v>0</v>
      </c>
      <c r="Y825" s="37">
        <f>'Raw Data'!D827</f>
        <v>46383</v>
      </c>
      <c r="Z825" s="47">
        <v>0.0</v>
      </c>
      <c r="AA825" s="47"/>
      <c r="AB825" s="47"/>
      <c r="AC825" s="47"/>
      <c r="AD825" s="47"/>
      <c r="AE825" s="47"/>
      <c r="AF825" s="47"/>
      <c r="AG825" s="47"/>
    </row>
    <row r="826" ht="15.75" customHeight="1">
      <c r="A826" s="35">
        <f>Bill!$Y826</f>
        <v>46384</v>
      </c>
      <c r="B826" s="43">
        <f>'Raw Data'!E828+Bill!$L$2</f>
        <v>20</v>
      </c>
      <c r="C826" s="43">
        <f>'Raw Data'!E828+Bill!$M$2</f>
        <v>25</v>
      </c>
      <c r="D826" s="43">
        <f>('Raw Data'!$F828*2)-10</f>
        <v>-10</v>
      </c>
      <c r="E826" s="43">
        <f>'Raw Data'!F828+Bill!$O$2</f>
        <v>20</v>
      </c>
      <c r="F826" s="43">
        <f>'Raw Data'!F828+Bill!$P$2</f>
        <v>25</v>
      </c>
      <c r="G826" s="43">
        <f>'Raw Data'!E828+Bill!$Q$2</f>
        <v>50</v>
      </c>
      <c r="H826" s="43">
        <f>('Raw Data'!F828+Bill!$R$2)</f>
        <v>20</v>
      </c>
      <c r="I826" s="36">
        <f>'Raw Data'!G828/100</f>
        <v>0</v>
      </c>
      <c r="K826" s="37">
        <f>Bill!$Y826</f>
        <v>46384</v>
      </c>
      <c r="L826" s="38">
        <f>Bill!$AA826*('Raw Data'!$E828+$L$2)</f>
        <v>0</v>
      </c>
      <c r="M826" s="38">
        <f>Bill!$AB826*('Raw Data'!$E828+$M$2)</f>
        <v>0</v>
      </c>
      <c r="N826" s="38">
        <f>(('Raw Data'!$F828 * 2)-10)*Bill!$AC826</f>
        <v>0</v>
      </c>
      <c r="O826" s="38">
        <f>('Raw Data'!F828+Bill!$O$2)*Bill!$AD826</f>
        <v>0</v>
      </c>
      <c r="P826" s="38">
        <f>('Raw Data'!F828+Bill!$P$2)*Bill!$AE826</f>
        <v>0</v>
      </c>
      <c r="Q826" s="38">
        <f>Bill!$Z826*('Raw Data'!$E828+$Q$2)</f>
        <v>0</v>
      </c>
      <c r="R826" s="38">
        <f>('Raw Data'!F828+Bill!$R$2)*Bill!$AF826</f>
        <v>0</v>
      </c>
      <c r="S826" s="48">
        <f>('Raw Data'!G828/100)*Bill!$AG826</f>
        <v>0</v>
      </c>
      <c r="T826" s="38">
        <f>SUM(Bill!$L826:$R826)</f>
        <v>0</v>
      </c>
      <c r="U826" s="53"/>
      <c r="V826" s="50"/>
      <c r="W826" s="38">
        <f>Bill!$U826-Bill!$T826</f>
        <v>0</v>
      </c>
      <c r="Y826" s="37">
        <f>'Raw Data'!D828</f>
        <v>46384</v>
      </c>
      <c r="Z826" s="47">
        <v>0.0</v>
      </c>
      <c r="AA826" s="47"/>
      <c r="AB826" s="47"/>
      <c r="AC826" s="47"/>
      <c r="AD826" s="47"/>
      <c r="AE826" s="47"/>
      <c r="AF826" s="47"/>
      <c r="AG826" s="47"/>
    </row>
    <row r="827" ht="15.75" customHeight="1">
      <c r="A827" s="35">
        <f>Bill!$Y827</f>
        <v>46385</v>
      </c>
      <c r="B827" s="43">
        <f>'Raw Data'!E829+Bill!$L$2</f>
        <v>20</v>
      </c>
      <c r="C827" s="43">
        <f>'Raw Data'!E829+Bill!$M$2</f>
        <v>25</v>
      </c>
      <c r="D827" s="43">
        <f>('Raw Data'!$F829*2)-10</f>
        <v>-10</v>
      </c>
      <c r="E827" s="43">
        <f>'Raw Data'!F829+Bill!$O$2</f>
        <v>20</v>
      </c>
      <c r="F827" s="43">
        <f>'Raw Data'!F829+Bill!$P$2</f>
        <v>25</v>
      </c>
      <c r="G827" s="43">
        <f>'Raw Data'!E829+Bill!$Q$2</f>
        <v>50</v>
      </c>
      <c r="H827" s="43">
        <f>('Raw Data'!F829+Bill!$R$2)</f>
        <v>20</v>
      </c>
      <c r="I827" s="36">
        <f>'Raw Data'!G829/100</f>
        <v>0</v>
      </c>
      <c r="K827" s="37">
        <f>Bill!$Y827</f>
        <v>46385</v>
      </c>
      <c r="L827" s="38">
        <f>Bill!$AA827*('Raw Data'!$E829+$L$2)</f>
        <v>0</v>
      </c>
      <c r="M827" s="38">
        <f>Bill!$AB827*('Raw Data'!$E829+$M$2)</f>
        <v>0</v>
      </c>
      <c r="N827" s="38">
        <f>(('Raw Data'!$F829 * 2)-10)*Bill!$AC827</f>
        <v>0</v>
      </c>
      <c r="O827" s="38">
        <f>('Raw Data'!F829+Bill!$O$2)*Bill!$AD827</f>
        <v>0</v>
      </c>
      <c r="P827" s="38">
        <f>('Raw Data'!F829+Bill!$P$2)*Bill!$AE827</f>
        <v>0</v>
      </c>
      <c r="Q827" s="38">
        <f>Bill!$Z827*('Raw Data'!$E829+$Q$2)</f>
        <v>0</v>
      </c>
      <c r="R827" s="38">
        <f>('Raw Data'!F829+Bill!$R$2)*Bill!$AF827</f>
        <v>0</v>
      </c>
      <c r="S827" s="48">
        <f>('Raw Data'!G829/100)*Bill!$AG827</f>
        <v>0</v>
      </c>
      <c r="T827" s="38">
        <f>SUM(Bill!$L827:$R827)</f>
        <v>0</v>
      </c>
      <c r="U827" s="53"/>
      <c r="V827" s="50"/>
      <c r="W827" s="38">
        <f>Bill!$U827-Bill!$T827</f>
        <v>0</v>
      </c>
      <c r="Y827" s="37">
        <f>'Raw Data'!D829</f>
        <v>46385</v>
      </c>
      <c r="Z827" s="47">
        <v>0.0</v>
      </c>
      <c r="AA827" s="47"/>
      <c r="AB827" s="47"/>
      <c r="AC827" s="47"/>
      <c r="AD827" s="47"/>
      <c r="AE827" s="47"/>
      <c r="AF827" s="47"/>
      <c r="AG827" s="47"/>
    </row>
    <row r="828" ht="15.75" customHeight="1">
      <c r="A828" s="35">
        <f>Bill!$Y828</f>
        <v>46386</v>
      </c>
      <c r="B828" s="43">
        <f>'Raw Data'!E830+Bill!$L$2</f>
        <v>20</v>
      </c>
      <c r="C828" s="43">
        <f>'Raw Data'!E830+Bill!$M$2</f>
        <v>25</v>
      </c>
      <c r="D828" s="43">
        <f>('Raw Data'!$F830*2)-10</f>
        <v>-10</v>
      </c>
      <c r="E828" s="43">
        <f>'Raw Data'!F830+Bill!$O$2</f>
        <v>20</v>
      </c>
      <c r="F828" s="43">
        <f>'Raw Data'!F830+Bill!$P$2</f>
        <v>25</v>
      </c>
      <c r="G828" s="43">
        <f>'Raw Data'!E830+Bill!$Q$2</f>
        <v>50</v>
      </c>
      <c r="H828" s="43">
        <f>('Raw Data'!F830+Bill!$R$2)</f>
        <v>20</v>
      </c>
      <c r="I828" s="36">
        <f>'Raw Data'!G830/100</f>
        <v>0</v>
      </c>
      <c r="K828" s="37">
        <f>Bill!$Y828</f>
        <v>46386</v>
      </c>
      <c r="L828" s="38">
        <f>Bill!$AA828*('Raw Data'!$E830+$L$2)</f>
        <v>0</v>
      </c>
      <c r="M828" s="38">
        <f>Bill!$AB828*('Raw Data'!$E830+$M$2)</f>
        <v>0</v>
      </c>
      <c r="N828" s="38">
        <f>(('Raw Data'!$F830 * 2)-10)*Bill!$AC828</f>
        <v>0</v>
      </c>
      <c r="O828" s="38">
        <f>('Raw Data'!F830+Bill!$O$2)*Bill!$AD828</f>
        <v>0</v>
      </c>
      <c r="P828" s="38">
        <f>('Raw Data'!F830+Bill!$P$2)*Bill!$AE828</f>
        <v>0</v>
      </c>
      <c r="Q828" s="38">
        <f>Bill!$Z828*('Raw Data'!$E830+$Q$2)</f>
        <v>0</v>
      </c>
      <c r="R828" s="38">
        <f>('Raw Data'!F830+Bill!$R$2)*Bill!$AF828</f>
        <v>0</v>
      </c>
      <c r="S828" s="48">
        <f>('Raw Data'!G830/100)*Bill!$AG828</f>
        <v>0</v>
      </c>
      <c r="T828" s="38">
        <f>SUM(Bill!$L828:$R828)</f>
        <v>0</v>
      </c>
      <c r="U828" s="53"/>
      <c r="V828" s="50"/>
      <c r="W828" s="38">
        <f>Bill!$U828-Bill!$T828</f>
        <v>0</v>
      </c>
      <c r="Y828" s="37">
        <f>'Raw Data'!D830</f>
        <v>46386</v>
      </c>
      <c r="Z828" s="47">
        <v>0.0</v>
      </c>
      <c r="AA828" s="47"/>
      <c r="AB828" s="47"/>
      <c r="AC828" s="47"/>
      <c r="AD828" s="47"/>
      <c r="AE828" s="47"/>
      <c r="AF828" s="47"/>
      <c r="AG828" s="47"/>
    </row>
    <row r="829" ht="15.75" customHeight="1">
      <c r="A829" s="35">
        <f>Bill!$Y829</f>
        <v>46387</v>
      </c>
      <c r="B829" s="43">
        <f>'Raw Data'!E831+Bill!$L$2</f>
        <v>20</v>
      </c>
      <c r="C829" s="43">
        <f>'Raw Data'!E831+Bill!$M$2</f>
        <v>25</v>
      </c>
      <c r="D829" s="43">
        <f>('Raw Data'!$F831*2)-10</f>
        <v>-10</v>
      </c>
      <c r="E829" s="43">
        <f>'Raw Data'!F831+Bill!$O$2</f>
        <v>20</v>
      </c>
      <c r="F829" s="43">
        <f>'Raw Data'!F831+Bill!$P$2</f>
        <v>25</v>
      </c>
      <c r="G829" s="43">
        <f>'Raw Data'!E831+Bill!$Q$2</f>
        <v>50</v>
      </c>
      <c r="H829" s="43">
        <f>('Raw Data'!F831+Bill!$R$2)</f>
        <v>20</v>
      </c>
      <c r="I829" s="36">
        <f>'Raw Data'!G831/100</f>
        <v>0</v>
      </c>
      <c r="K829" s="37">
        <f>Bill!$Y829</f>
        <v>46387</v>
      </c>
      <c r="L829" s="38">
        <f>Bill!$AA829*('Raw Data'!$E831+$L$2)</f>
        <v>0</v>
      </c>
      <c r="M829" s="38">
        <f>Bill!$AB829*('Raw Data'!$E831+$M$2)</f>
        <v>0</v>
      </c>
      <c r="N829" s="38">
        <f>(('Raw Data'!$F831 * 2)-10)*Bill!$AC829</f>
        <v>0</v>
      </c>
      <c r="O829" s="38">
        <f>('Raw Data'!F831+Bill!$O$2)*Bill!$AD829</f>
        <v>0</v>
      </c>
      <c r="P829" s="38">
        <f>('Raw Data'!F831+Bill!$P$2)*Bill!$AE829</f>
        <v>0</v>
      </c>
      <c r="Q829" s="38">
        <f>Bill!$Z829*('Raw Data'!$E831+$Q$2)</f>
        <v>0</v>
      </c>
      <c r="R829" s="38">
        <f>('Raw Data'!F831+Bill!$R$2)*Bill!$AF829</f>
        <v>0</v>
      </c>
      <c r="S829" s="48">
        <f>('Raw Data'!G831/100)*Bill!$AG829</f>
        <v>0</v>
      </c>
      <c r="T829" s="38">
        <f>SUM(Bill!$L829:$R829)</f>
        <v>0</v>
      </c>
      <c r="U829" s="53"/>
      <c r="V829" s="50"/>
      <c r="W829" s="38">
        <f>Bill!$U829-Bill!$T829</f>
        <v>0</v>
      </c>
      <c r="Y829" s="37">
        <f>'Raw Data'!D831</f>
        <v>46387</v>
      </c>
      <c r="Z829" s="47">
        <v>0.0</v>
      </c>
      <c r="AA829" s="47"/>
      <c r="AB829" s="47"/>
      <c r="AC829" s="47"/>
      <c r="AD829" s="47"/>
      <c r="AE829" s="47"/>
      <c r="AF829" s="47"/>
      <c r="AG829" s="47"/>
    </row>
    <row r="830" ht="15.75" customHeight="1">
      <c r="A830" s="35">
        <f>Bill!$Y830</f>
        <v>46388</v>
      </c>
      <c r="B830" s="43">
        <f>'Raw Data'!E832+Bill!$L$2</f>
        <v>20</v>
      </c>
      <c r="C830" s="43">
        <f>'Raw Data'!E832+Bill!$M$2</f>
        <v>25</v>
      </c>
      <c r="D830" s="43">
        <f>('Raw Data'!$F832*2)-10</f>
        <v>-10</v>
      </c>
      <c r="E830" s="43">
        <f>'Raw Data'!F832+Bill!$O$2</f>
        <v>20</v>
      </c>
      <c r="F830" s="43">
        <f>'Raw Data'!F832+Bill!$P$2</f>
        <v>25</v>
      </c>
      <c r="G830" s="43">
        <f>'Raw Data'!E832+Bill!$Q$2</f>
        <v>50</v>
      </c>
      <c r="H830" s="43">
        <f>('Raw Data'!F832+Bill!$R$2)</f>
        <v>20</v>
      </c>
      <c r="I830" s="36">
        <f>'Raw Data'!G832/100</f>
        <v>0</v>
      </c>
      <c r="K830" s="37">
        <f>Bill!$Y830</f>
        <v>46388</v>
      </c>
      <c r="L830" s="38">
        <f>Bill!$AA830*('Raw Data'!$E832+$L$2)</f>
        <v>0</v>
      </c>
      <c r="M830" s="38">
        <f>Bill!$AB830*('Raw Data'!$E832+$M$2)</f>
        <v>0</v>
      </c>
      <c r="N830" s="38">
        <f>(('Raw Data'!$F832 * 2)-10)*Bill!$AC830</f>
        <v>0</v>
      </c>
      <c r="O830" s="38">
        <f>('Raw Data'!F832+Bill!$O$2)*Bill!$AD830</f>
        <v>0</v>
      </c>
      <c r="P830" s="38">
        <f>('Raw Data'!F832+Bill!$P$2)*Bill!$AE830</f>
        <v>0</v>
      </c>
      <c r="Q830" s="38">
        <f>Bill!$Z830*('Raw Data'!$E832+$Q$2)</f>
        <v>0</v>
      </c>
      <c r="R830" s="38">
        <f>('Raw Data'!F832+Bill!$R$2)*Bill!$AF830</f>
        <v>0</v>
      </c>
      <c r="S830" s="48">
        <f>('Raw Data'!G832/100)*Bill!$AG830</f>
        <v>0</v>
      </c>
      <c r="T830" s="38">
        <f>SUM(Bill!$L830:$R830)</f>
        <v>0</v>
      </c>
      <c r="U830" s="53"/>
      <c r="V830" s="50"/>
      <c r="W830" s="38">
        <f>Bill!$U830-Bill!$T830</f>
        <v>0</v>
      </c>
      <c r="Y830" s="37">
        <f>'Raw Data'!D832</f>
        <v>46388</v>
      </c>
      <c r="Z830" s="47">
        <v>0.0</v>
      </c>
      <c r="AA830" s="47"/>
      <c r="AB830" s="47"/>
      <c r="AC830" s="47"/>
      <c r="AD830" s="47"/>
      <c r="AE830" s="47"/>
      <c r="AF830" s="47"/>
      <c r="AG830" s="47"/>
    </row>
    <row r="831" ht="15.75" customHeight="1">
      <c r="A831" s="35">
        <f>Bill!$Y831</f>
        <v>46389</v>
      </c>
      <c r="B831" s="43">
        <f>'Raw Data'!E833+Bill!$L$2</f>
        <v>20</v>
      </c>
      <c r="C831" s="43">
        <f>'Raw Data'!E833+Bill!$M$2</f>
        <v>25</v>
      </c>
      <c r="D831" s="43">
        <f>('Raw Data'!$F833*2)-10</f>
        <v>-10</v>
      </c>
      <c r="E831" s="43">
        <f>'Raw Data'!F833+Bill!$O$2</f>
        <v>20</v>
      </c>
      <c r="F831" s="43">
        <f>'Raw Data'!F833+Bill!$P$2</f>
        <v>25</v>
      </c>
      <c r="G831" s="43">
        <f>'Raw Data'!E833+Bill!$Q$2</f>
        <v>50</v>
      </c>
      <c r="H831" s="43">
        <f>('Raw Data'!F833+Bill!$R$2)</f>
        <v>20</v>
      </c>
      <c r="I831" s="36">
        <f>'Raw Data'!G833/100</f>
        <v>0</v>
      </c>
      <c r="K831" s="37">
        <f>Bill!$Y831</f>
        <v>46389</v>
      </c>
      <c r="L831" s="38">
        <f>Bill!$AA831*('Raw Data'!$E833+$L$2)</f>
        <v>0</v>
      </c>
      <c r="M831" s="38">
        <f>Bill!$AB831*('Raw Data'!$E833+$M$2)</f>
        <v>0</v>
      </c>
      <c r="N831" s="38">
        <f>(('Raw Data'!$F833 * 2)-10)*Bill!$AC831</f>
        <v>0</v>
      </c>
      <c r="O831" s="38">
        <f>('Raw Data'!F833+Bill!$O$2)*Bill!$AD831</f>
        <v>0</v>
      </c>
      <c r="P831" s="38">
        <f>('Raw Data'!F833+Bill!$P$2)*Bill!$AE831</f>
        <v>0</v>
      </c>
      <c r="Q831" s="38">
        <f>Bill!$Z831*('Raw Data'!$E833+$Q$2)</f>
        <v>0</v>
      </c>
      <c r="R831" s="38">
        <f>('Raw Data'!F833+Bill!$R$2)*Bill!$AF831</f>
        <v>0</v>
      </c>
      <c r="S831" s="48">
        <f>('Raw Data'!G833/100)*Bill!$AG831</f>
        <v>0</v>
      </c>
      <c r="T831" s="38">
        <f>SUM(Bill!$L831:$R831)</f>
        <v>0</v>
      </c>
      <c r="U831" s="53"/>
      <c r="V831" s="50"/>
      <c r="W831" s="38">
        <f>Bill!$U831-Bill!$T831</f>
        <v>0</v>
      </c>
      <c r="Y831" s="37">
        <f>'Raw Data'!D833</f>
        <v>46389</v>
      </c>
      <c r="Z831" s="47">
        <v>0.0</v>
      </c>
      <c r="AA831" s="47"/>
      <c r="AB831" s="47"/>
      <c r="AC831" s="47"/>
      <c r="AD831" s="47"/>
      <c r="AE831" s="47"/>
      <c r="AF831" s="47"/>
      <c r="AG831" s="47"/>
    </row>
    <row r="832" ht="15.75" customHeight="1">
      <c r="A832" s="35">
        <f>Bill!$Y832</f>
        <v>46390</v>
      </c>
      <c r="B832" s="43">
        <f>'Raw Data'!E834+Bill!$L$2</f>
        <v>20</v>
      </c>
      <c r="C832" s="43">
        <f>'Raw Data'!E834+Bill!$M$2</f>
        <v>25</v>
      </c>
      <c r="D832" s="43">
        <f>('Raw Data'!$F834*2)-10</f>
        <v>-10</v>
      </c>
      <c r="E832" s="43">
        <f>'Raw Data'!F834+Bill!$O$2</f>
        <v>20</v>
      </c>
      <c r="F832" s="43">
        <f>'Raw Data'!F834+Bill!$P$2</f>
        <v>25</v>
      </c>
      <c r="G832" s="43">
        <f>'Raw Data'!E834+Bill!$Q$2</f>
        <v>50</v>
      </c>
      <c r="H832" s="43">
        <f>('Raw Data'!F834+Bill!$R$2)</f>
        <v>20</v>
      </c>
      <c r="I832" s="36">
        <f>'Raw Data'!G834/100</f>
        <v>0</v>
      </c>
      <c r="K832" s="37">
        <f>Bill!$Y832</f>
        <v>46390</v>
      </c>
      <c r="L832" s="38">
        <f>Bill!$AA832*('Raw Data'!$E834+$L$2)</f>
        <v>0</v>
      </c>
      <c r="M832" s="38">
        <f>Bill!$AB832*('Raw Data'!$E834+$M$2)</f>
        <v>0</v>
      </c>
      <c r="N832" s="38">
        <f>(('Raw Data'!$F834 * 2)-10)*Bill!$AC832</f>
        <v>0</v>
      </c>
      <c r="O832" s="38">
        <f>('Raw Data'!F834+Bill!$O$2)*Bill!$AD832</f>
        <v>0</v>
      </c>
      <c r="P832" s="38">
        <f>('Raw Data'!F834+Bill!$P$2)*Bill!$AE832</f>
        <v>0</v>
      </c>
      <c r="Q832" s="38">
        <f>Bill!$Z832*('Raw Data'!$E834+$Q$2)</f>
        <v>0</v>
      </c>
      <c r="R832" s="38">
        <f>('Raw Data'!F834+Bill!$R$2)*Bill!$AF832</f>
        <v>0</v>
      </c>
      <c r="S832" s="48">
        <f>('Raw Data'!G834/100)*Bill!$AG832</f>
        <v>0</v>
      </c>
      <c r="T832" s="38">
        <f>SUM(Bill!$L832:$R832)</f>
        <v>0</v>
      </c>
      <c r="U832" s="53"/>
      <c r="V832" s="50"/>
      <c r="W832" s="38">
        <f>Bill!$U832-Bill!$T832</f>
        <v>0</v>
      </c>
      <c r="Y832" s="37">
        <f>'Raw Data'!D834</f>
        <v>46390</v>
      </c>
      <c r="Z832" s="47">
        <v>0.0</v>
      </c>
      <c r="AA832" s="47"/>
      <c r="AB832" s="47"/>
      <c r="AC832" s="47"/>
      <c r="AD832" s="47"/>
      <c r="AE832" s="47"/>
      <c r="AF832" s="47"/>
      <c r="AG832" s="47"/>
    </row>
    <row r="833" ht="15.75" customHeight="1">
      <c r="A833" s="35">
        <f>Bill!$Y833</f>
        <v>46391</v>
      </c>
      <c r="B833" s="43">
        <f>'Raw Data'!E835+Bill!$L$2</f>
        <v>20</v>
      </c>
      <c r="C833" s="43">
        <f>'Raw Data'!E835+Bill!$M$2</f>
        <v>25</v>
      </c>
      <c r="D833" s="43">
        <f>('Raw Data'!$F835*2)-10</f>
        <v>-10</v>
      </c>
      <c r="E833" s="43">
        <f>'Raw Data'!F835+Bill!$O$2</f>
        <v>20</v>
      </c>
      <c r="F833" s="43">
        <f>'Raw Data'!F835+Bill!$P$2</f>
        <v>25</v>
      </c>
      <c r="G833" s="43">
        <f>'Raw Data'!E835+Bill!$Q$2</f>
        <v>50</v>
      </c>
      <c r="H833" s="43">
        <f>('Raw Data'!F835+Bill!$R$2)</f>
        <v>20</v>
      </c>
      <c r="I833" s="36">
        <f>'Raw Data'!G835/100</f>
        <v>0</v>
      </c>
      <c r="K833" s="37">
        <f>Bill!$Y833</f>
        <v>46391</v>
      </c>
      <c r="L833" s="38">
        <f>Bill!$AA833*('Raw Data'!$E835+$L$2)</f>
        <v>0</v>
      </c>
      <c r="M833" s="38">
        <f>Bill!$AB833*('Raw Data'!$E835+$M$2)</f>
        <v>0</v>
      </c>
      <c r="N833" s="38">
        <f>(('Raw Data'!$F835 * 2)-10)*Bill!$AC833</f>
        <v>0</v>
      </c>
      <c r="O833" s="38">
        <f>('Raw Data'!F835+Bill!$O$2)*Bill!$AD833</f>
        <v>0</v>
      </c>
      <c r="P833" s="38">
        <f>('Raw Data'!F835+Bill!$P$2)*Bill!$AE833</f>
        <v>0</v>
      </c>
      <c r="Q833" s="38">
        <f>Bill!$Z833*('Raw Data'!$E835+$Q$2)</f>
        <v>0</v>
      </c>
      <c r="R833" s="38">
        <f>('Raw Data'!F835+Bill!$R$2)*Bill!$AF833</f>
        <v>0</v>
      </c>
      <c r="S833" s="48">
        <f>('Raw Data'!G835/100)*Bill!$AG833</f>
        <v>0</v>
      </c>
      <c r="T833" s="38">
        <f>SUM(Bill!$L833:$R833)</f>
        <v>0</v>
      </c>
      <c r="U833" s="53"/>
      <c r="V833" s="50"/>
      <c r="W833" s="38">
        <f>Bill!$U833-Bill!$T833</f>
        <v>0</v>
      </c>
      <c r="Y833" s="37">
        <f>'Raw Data'!D835</f>
        <v>46391</v>
      </c>
      <c r="Z833" s="47">
        <v>0.0</v>
      </c>
      <c r="AA833" s="47"/>
      <c r="AB833" s="47"/>
      <c r="AC833" s="47"/>
      <c r="AD833" s="47"/>
      <c r="AE833" s="47"/>
      <c r="AF833" s="47"/>
      <c r="AG833" s="47"/>
    </row>
    <row r="834" ht="15.75" customHeight="1">
      <c r="A834" s="35">
        <f>Bill!$Y834</f>
        <v>46392</v>
      </c>
      <c r="B834" s="43">
        <f>'Raw Data'!E836+Bill!$L$2</f>
        <v>20</v>
      </c>
      <c r="C834" s="43">
        <f>'Raw Data'!E836+Bill!$M$2</f>
        <v>25</v>
      </c>
      <c r="D834" s="43">
        <f>('Raw Data'!$F836*2)-10</f>
        <v>-10</v>
      </c>
      <c r="E834" s="43">
        <f>'Raw Data'!F836+Bill!$O$2</f>
        <v>20</v>
      </c>
      <c r="F834" s="43">
        <f>'Raw Data'!F836+Bill!$P$2</f>
        <v>25</v>
      </c>
      <c r="G834" s="43">
        <f>'Raw Data'!E836+Bill!$Q$2</f>
        <v>50</v>
      </c>
      <c r="H834" s="43">
        <f>('Raw Data'!F836+Bill!$R$2)</f>
        <v>20</v>
      </c>
      <c r="I834" s="36">
        <f>'Raw Data'!G836/100</f>
        <v>0</v>
      </c>
      <c r="K834" s="37">
        <f>Bill!$Y834</f>
        <v>46392</v>
      </c>
      <c r="L834" s="38">
        <f>Bill!$AA834*('Raw Data'!$E836+$L$2)</f>
        <v>0</v>
      </c>
      <c r="M834" s="38">
        <f>Bill!$AB834*('Raw Data'!$E836+$M$2)</f>
        <v>0</v>
      </c>
      <c r="N834" s="38">
        <f>(('Raw Data'!$F836 * 2)-10)*Bill!$AC834</f>
        <v>0</v>
      </c>
      <c r="O834" s="38">
        <f>('Raw Data'!F836+Bill!$O$2)*Bill!$AD834</f>
        <v>0</v>
      </c>
      <c r="P834" s="38">
        <f>('Raw Data'!F836+Bill!$P$2)*Bill!$AE834</f>
        <v>0</v>
      </c>
      <c r="Q834" s="38">
        <f>Bill!$Z834*('Raw Data'!$E836+$Q$2)</f>
        <v>0</v>
      </c>
      <c r="R834" s="38">
        <f>('Raw Data'!F836+Bill!$R$2)*Bill!$AF834</f>
        <v>0</v>
      </c>
      <c r="S834" s="48">
        <f>('Raw Data'!G836/100)*Bill!$AG834</f>
        <v>0</v>
      </c>
      <c r="T834" s="38">
        <f>SUM(Bill!$L834:$R834)</f>
        <v>0</v>
      </c>
      <c r="U834" s="53"/>
      <c r="V834" s="50"/>
      <c r="W834" s="38">
        <f>Bill!$U834-Bill!$T834</f>
        <v>0</v>
      </c>
      <c r="Y834" s="37">
        <f>'Raw Data'!D836</f>
        <v>46392</v>
      </c>
      <c r="Z834" s="47">
        <v>0.0</v>
      </c>
      <c r="AA834" s="47"/>
      <c r="AB834" s="47"/>
      <c r="AC834" s="47"/>
      <c r="AD834" s="47"/>
      <c r="AE834" s="47"/>
      <c r="AF834" s="47"/>
      <c r="AG834" s="47"/>
    </row>
    <row r="835" ht="15.75" customHeight="1">
      <c r="A835" s="35">
        <f>Bill!$Y835</f>
        <v>46393</v>
      </c>
      <c r="B835" s="43">
        <f>'Raw Data'!E837+Bill!$L$2</f>
        <v>20</v>
      </c>
      <c r="C835" s="43">
        <f>'Raw Data'!E837+Bill!$M$2</f>
        <v>25</v>
      </c>
      <c r="D835" s="43">
        <f>('Raw Data'!$F837*2)-10</f>
        <v>-10</v>
      </c>
      <c r="E835" s="43">
        <f>'Raw Data'!F837+Bill!$O$2</f>
        <v>20</v>
      </c>
      <c r="F835" s="43">
        <f>'Raw Data'!F837+Bill!$P$2</f>
        <v>25</v>
      </c>
      <c r="G835" s="43">
        <f>'Raw Data'!E837+Bill!$Q$2</f>
        <v>50</v>
      </c>
      <c r="H835" s="43">
        <f>('Raw Data'!F837+Bill!$R$2)</f>
        <v>20</v>
      </c>
      <c r="I835" s="36">
        <f>'Raw Data'!G837/100</f>
        <v>0</v>
      </c>
      <c r="K835" s="37">
        <f>Bill!$Y835</f>
        <v>46393</v>
      </c>
      <c r="L835" s="38">
        <f>Bill!$AA835*('Raw Data'!$E837+$L$2)</f>
        <v>0</v>
      </c>
      <c r="M835" s="38">
        <f>Bill!$AB835*('Raw Data'!$E837+$M$2)</f>
        <v>0</v>
      </c>
      <c r="N835" s="38">
        <f>(('Raw Data'!$F837 * 2)-10)*Bill!$AC835</f>
        <v>0</v>
      </c>
      <c r="O835" s="38">
        <f>('Raw Data'!F837+Bill!$O$2)*Bill!$AD835</f>
        <v>0</v>
      </c>
      <c r="P835" s="38">
        <f>('Raw Data'!F837+Bill!$P$2)*Bill!$AE835</f>
        <v>0</v>
      </c>
      <c r="Q835" s="38">
        <f>Bill!$Z835*('Raw Data'!$E837+$Q$2)</f>
        <v>0</v>
      </c>
      <c r="R835" s="38">
        <f>('Raw Data'!F837+Bill!$R$2)*Bill!$AF835</f>
        <v>0</v>
      </c>
      <c r="S835" s="48">
        <f>('Raw Data'!G837/100)*Bill!$AG835</f>
        <v>0</v>
      </c>
      <c r="T835" s="38">
        <f>SUM(Bill!$L835:$R835)</f>
        <v>0</v>
      </c>
      <c r="U835" s="53"/>
      <c r="V835" s="50"/>
      <c r="W835" s="38">
        <f>Bill!$U835-Bill!$T835</f>
        <v>0</v>
      </c>
      <c r="Y835" s="37">
        <f>'Raw Data'!D837</f>
        <v>46393</v>
      </c>
      <c r="Z835" s="47">
        <v>0.0</v>
      </c>
      <c r="AA835" s="47"/>
      <c r="AB835" s="47"/>
      <c r="AC835" s="47"/>
      <c r="AD835" s="47"/>
      <c r="AE835" s="47"/>
      <c r="AF835" s="47"/>
      <c r="AG835" s="47"/>
    </row>
    <row r="836" ht="15.75" customHeight="1">
      <c r="A836" s="35">
        <f>Bill!$Y836</f>
        <v>46394</v>
      </c>
      <c r="B836" s="43">
        <f>'Raw Data'!E838+Bill!$L$2</f>
        <v>20</v>
      </c>
      <c r="C836" s="43">
        <f>'Raw Data'!E838+Bill!$M$2</f>
        <v>25</v>
      </c>
      <c r="D836" s="43">
        <f>('Raw Data'!$F838*2)-10</f>
        <v>-10</v>
      </c>
      <c r="E836" s="43">
        <f>'Raw Data'!F838+Bill!$O$2</f>
        <v>20</v>
      </c>
      <c r="F836" s="43">
        <f>'Raw Data'!F838+Bill!$P$2</f>
        <v>25</v>
      </c>
      <c r="G836" s="43">
        <f>'Raw Data'!E838+Bill!$Q$2</f>
        <v>50</v>
      </c>
      <c r="H836" s="43">
        <f>('Raw Data'!F838+Bill!$R$2)</f>
        <v>20</v>
      </c>
      <c r="I836" s="36">
        <f>'Raw Data'!G838/100</f>
        <v>0</v>
      </c>
      <c r="K836" s="37">
        <f>Bill!$Y836</f>
        <v>46394</v>
      </c>
      <c r="L836" s="38">
        <f>Bill!$AA836*('Raw Data'!$E838+$L$2)</f>
        <v>0</v>
      </c>
      <c r="M836" s="38">
        <f>Bill!$AB836*('Raw Data'!$E838+$M$2)</f>
        <v>0</v>
      </c>
      <c r="N836" s="38">
        <f>(('Raw Data'!$F838 * 2)-10)*Bill!$AC836</f>
        <v>0</v>
      </c>
      <c r="O836" s="38">
        <f>('Raw Data'!F838+Bill!$O$2)*Bill!$AD836</f>
        <v>0</v>
      </c>
      <c r="P836" s="38">
        <f>('Raw Data'!F838+Bill!$P$2)*Bill!$AE836</f>
        <v>0</v>
      </c>
      <c r="Q836" s="38">
        <f>Bill!$Z836*('Raw Data'!$E838+$Q$2)</f>
        <v>0</v>
      </c>
      <c r="R836" s="38">
        <f>('Raw Data'!F838+Bill!$R$2)*Bill!$AF836</f>
        <v>0</v>
      </c>
      <c r="S836" s="48">
        <f>('Raw Data'!G838/100)*Bill!$AG836</f>
        <v>0</v>
      </c>
      <c r="T836" s="38">
        <f>SUM(Bill!$L836:$R836)</f>
        <v>0</v>
      </c>
      <c r="U836" s="53"/>
      <c r="V836" s="50"/>
      <c r="W836" s="38">
        <f>Bill!$U836-Bill!$T836</f>
        <v>0</v>
      </c>
      <c r="Y836" s="37">
        <f>'Raw Data'!D838</f>
        <v>46394</v>
      </c>
      <c r="Z836" s="47">
        <v>0.0</v>
      </c>
      <c r="AA836" s="47"/>
      <c r="AB836" s="47"/>
      <c r="AC836" s="47"/>
      <c r="AD836" s="47"/>
      <c r="AE836" s="47"/>
      <c r="AF836" s="47"/>
      <c r="AG836" s="47"/>
    </row>
    <row r="837" ht="15.75" customHeight="1">
      <c r="A837" s="35">
        <f>Bill!$Y837</f>
        <v>46395</v>
      </c>
      <c r="B837" s="43">
        <f>'Raw Data'!E839+Bill!$L$2</f>
        <v>20</v>
      </c>
      <c r="C837" s="43">
        <f>'Raw Data'!E839+Bill!$M$2</f>
        <v>25</v>
      </c>
      <c r="D837" s="43">
        <f>('Raw Data'!$F839*2)-10</f>
        <v>-10</v>
      </c>
      <c r="E837" s="43">
        <f>'Raw Data'!F839+Bill!$O$2</f>
        <v>20</v>
      </c>
      <c r="F837" s="43">
        <f>'Raw Data'!F839+Bill!$P$2</f>
        <v>25</v>
      </c>
      <c r="G837" s="43">
        <f>'Raw Data'!E839+Bill!$Q$2</f>
        <v>50</v>
      </c>
      <c r="H837" s="43">
        <f>('Raw Data'!F839+Bill!$R$2)</f>
        <v>20</v>
      </c>
      <c r="I837" s="36">
        <f>'Raw Data'!G839/100</f>
        <v>0</v>
      </c>
      <c r="K837" s="37">
        <f>Bill!$Y837</f>
        <v>46395</v>
      </c>
      <c r="L837" s="38">
        <f>Bill!$AA837*('Raw Data'!$E839+$L$2)</f>
        <v>0</v>
      </c>
      <c r="M837" s="38">
        <f>Bill!$AB837*('Raw Data'!$E839+$M$2)</f>
        <v>0</v>
      </c>
      <c r="N837" s="38">
        <f>(('Raw Data'!$F839 * 2)-10)*Bill!$AC837</f>
        <v>0</v>
      </c>
      <c r="O837" s="38">
        <f>('Raw Data'!F839+Bill!$O$2)*Bill!$AD837</f>
        <v>0</v>
      </c>
      <c r="P837" s="38">
        <f>('Raw Data'!F839+Bill!$P$2)*Bill!$AE837</f>
        <v>0</v>
      </c>
      <c r="Q837" s="38">
        <f>Bill!$Z837*('Raw Data'!$E839+$Q$2)</f>
        <v>0</v>
      </c>
      <c r="R837" s="38">
        <f>('Raw Data'!F839+Bill!$R$2)*Bill!$AF837</f>
        <v>0</v>
      </c>
      <c r="S837" s="48">
        <f>('Raw Data'!G839/100)*Bill!$AG837</f>
        <v>0</v>
      </c>
      <c r="T837" s="38">
        <f>SUM(Bill!$L837:$R837)</f>
        <v>0</v>
      </c>
      <c r="U837" s="53"/>
      <c r="V837" s="50"/>
      <c r="W837" s="38">
        <f>Bill!$U837-Bill!$T837</f>
        <v>0</v>
      </c>
      <c r="Y837" s="37">
        <f>'Raw Data'!D839</f>
        <v>46395</v>
      </c>
      <c r="Z837" s="47">
        <v>0.0</v>
      </c>
      <c r="AA837" s="47"/>
      <c r="AB837" s="47"/>
      <c r="AC837" s="47"/>
      <c r="AD837" s="47"/>
      <c r="AE837" s="47"/>
      <c r="AF837" s="47"/>
      <c r="AG837" s="47"/>
    </row>
    <row r="838" ht="15.75" customHeight="1">
      <c r="A838" s="35">
        <f>Bill!$Y838</f>
        <v>46396</v>
      </c>
      <c r="B838" s="43">
        <f>'Raw Data'!E840+Bill!$L$2</f>
        <v>20</v>
      </c>
      <c r="C838" s="43">
        <f>'Raw Data'!E840+Bill!$M$2</f>
        <v>25</v>
      </c>
      <c r="D838" s="43">
        <f>('Raw Data'!$F840*2)-10</f>
        <v>-10</v>
      </c>
      <c r="E838" s="43">
        <f>'Raw Data'!F840+Bill!$O$2</f>
        <v>20</v>
      </c>
      <c r="F838" s="43">
        <f>'Raw Data'!F840+Bill!$P$2</f>
        <v>25</v>
      </c>
      <c r="G838" s="43">
        <f>'Raw Data'!E840+Bill!$Q$2</f>
        <v>50</v>
      </c>
      <c r="H838" s="43">
        <f>('Raw Data'!F840+Bill!$R$2)</f>
        <v>20</v>
      </c>
      <c r="I838" s="36">
        <f>'Raw Data'!G840/100</f>
        <v>0</v>
      </c>
      <c r="K838" s="37">
        <f>Bill!$Y838</f>
        <v>46396</v>
      </c>
      <c r="L838" s="38">
        <f>Bill!$AA838*('Raw Data'!$E840+$L$2)</f>
        <v>0</v>
      </c>
      <c r="M838" s="38">
        <f>Bill!$AB838*('Raw Data'!$E840+$M$2)</f>
        <v>0</v>
      </c>
      <c r="N838" s="38">
        <f>(('Raw Data'!$F840 * 2)-10)*Bill!$AC838</f>
        <v>0</v>
      </c>
      <c r="O838" s="38">
        <f>('Raw Data'!F840+Bill!$O$2)*Bill!$AD838</f>
        <v>0</v>
      </c>
      <c r="P838" s="38">
        <f>('Raw Data'!F840+Bill!$P$2)*Bill!$AE838</f>
        <v>0</v>
      </c>
      <c r="Q838" s="38">
        <f>Bill!$Z838*('Raw Data'!$E840+$Q$2)</f>
        <v>0</v>
      </c>
      <c r="R838" s="38">
        <f>('Raw Data'!F840+Bill!$R$2)*Bill!$AF838</f>
        <v>0</v>
      </c>
      <c r="S838" s="48">
        <f>('Raw Data'!G840/100)*Bill!$AG838</f>
        <v>0</v>
      </c>
      <c r="T838" s="38">
        <f>SUM(Bill!$L838:$R838)</f>
        <v>0</v>
      </c>
      <c r="U838" s="53"/>
      <c r="V838" s="50"/>
      <c r="W838" s="38">
        <f>Bill!$U838-Bill!$T838</f>
        <v>0</v>
      </c>
      <c r="Y838" s="37">
        <f>'Raw Data'!D840</f>
        <v>46396</v>
      </c>
      <c r="Z838" s="47">
        <v>0.0</v>
      </c>
      <c r="AA838" s="47"/>
      <c r="AB838" s="47"/>
      <c r="AC838" s="47"/>
      <c r="AD838" s="47"/>
      <c r="AE838" s="47"/>
      <c r="AF838" s="47"/>
      <c r="AG838" s="47"/>
    </row>
    <row r="839" ht="15.75" customHeight="1">
      <c r="A839" s="35">
        <f>Bill!$Y839</f>
        <v>46397</v>
      </c>
      <c r="B839" s="43">
        <f>'Raw Data'!E841+Bill!$L$2</f>
        <v>20</v>
      </c>
      <c r="C839" s="43">
        <f>'Raw Data'!E841+Bill!$M$2</f>
        <v>25</v>
      </c>
      <c r="D839" s="43">
        <f>('Raw Data'!$F841*2)-10</f>
        <v>-10</v>
      </c>
      <c r="E839" s="43">
        <f>'Raw Data'!F841+Bill!$O$2</f>
        <v>20</v>
      </c>
      <c r="F839" s="43">
        <f>'Raw Data'!F841+Bill!$P$2</f>
        <v>25</v>
      </c>
      <c r="G839" s="43">
        <f>'Raw Data'!E841+Bill!$Q$2</f>
        <v>50</v>
      </c>
      <c r="H839" s="43">
        <f>('Raw Data'!F841+Bill!$R$2)</f>
        <v>20</v>
      </c>
      <c r="I839" s="36">
        <f>'Raw Data'!G841/100</f>
        <v>0</v>
      </c>
      <c r="K839" s="37">
        <f>Bill!$Y839</f>
        <v>46397</v>
      </c>
      <c r="L839" s="38">
        <f>Bill!$AA839*('Raw Data'!$E841+$L$2)</f>
        <v>0</v>
      </c>
      <c r="M839" s="38">
        <f>Bill!$AB839*('Raw Data'!$E841+$M$2)</f>
        <v>0</v>
      </c>
      <c r="N839" s="38">
        <f>(('Raw Data'!$F841 * 2)-10)*Bill!$AC839</f>
        <v>0</v>
      </c>
      <c r="O839" s="38">
        <f>('Raw Data'!F841+Bill!$O$2)*Bill!$AD839</f>
        <v>0</v>
      </c>
      <c r="P839" s="38">
        <f>('Raw Data'!F841+Bill!$P$2)*Bill!$AE839</f>
        <v>0</v>
      </c>
      <c r="Q839" s="38">
        <f>Bill!$Z839*('Raw Data'!$E841+$Q$2)</f>
        <v>0</v>
      </c>
      <c r="R839" s="38">
        <f>('Raw Data'!F841+Bill!$R$2)*Bill!$AF839</f>
        <v>0</v>
      </c>
      <c r="S839" s="48">
        <f>('Raw Data'!G841/100)*Bill!$AG839</f>
        <v>0</v>
      </c>
      <c r="T839" s="38">
        <f>SUM(Bill!$L839:$R839)</f>
        <v>0</v>
      </c>
      <c r="U839" s="53"/>
      <c r="V839" s="50"/>
      <c r="W839" s="38">
        <f>Bill!$U839-Bill!$T839</f>
        <v>0</v>
      </c>
      <c r="Y839" s="37">
        <f>'Raw Data'!D841</f>
        <v>46397</v>
      </c>
      <c r="Z839" s="47">
        <v>0.0</v>
      </c>
      <c r="AA839" s="47"/>
      <c r="AB839" s="47"/>
      <c r="AC839" s="47"/>
      <c r="AD839" s="47"/>
      <c r="AE839" s="47"/>
      <c r="AF839" s="47"/>
      <c r="AG839" s="47"/>
    </row>
    <row r="840" ht="15.75" customHeight="1">
      <c r="A840" s="35">
        <f>Bill!$Y840</f>
        <v>46398</v>
      </c>
      <c r="B840" s="43">
        <f>'Raw Data'!E842+Bill!$L$2</f>
        <v>20</v>
      </c>
      <c r="C840" s="43">
        <f>'Raw Data'!E842+Bill!$M$2</f>
        <v>25</v>
      </c>
      <c r="D840" s="43">
        <f>('Raw Data'!$F842*2)-10</f>
        <v>-10</v>
      </c>
      <c r="E840" s="43">
        <f>'Raw Data'!F842+Bill!$O$2</f>
        <v>20</v>
      </c>
      <c r="F840" s="43">
        <f>'Raw Data'!F842+Bill!$P$2</f>
        <v>25</v>
      </c>
      <c r="G840" s="43">
        <f>'Raw Data'!E842+Bill!$Q$2</f>
        <v>50</v>
      </c>
      <c r="H840" s="43">
        <f>('Raw Data'!F842+Bill!$R$2)</f>
        <v>20</v>
      </c>
      <c r="I840" s="36">
        <f>'Raw Data'!G842/100</f>
        <v>0</v>
      </c>
      <c r="K840" s="37">
        <f>Bill!$Y840</f>
        <v>46398</v>
      </c>
      <c r="L840" s="38">
        <f>Bill!$AA840*('Raw Data'!$E842+$L$2)</f>
        <v>0</v>
      </c>
      <c r="M840" s="38">
        <f>Bill!$AB840*('Raw Data'!$E842+$M$2)</f>
        <v>0</v>
      </c>
      <c r="N840" s="38">
        <f>(('Raw Data'!$F842 * 2)-10)*Bill!$AC840</f>
        <v>0</v>
      </c>
      <c r="O840" s="38">
        <f>('Raw Data'!F842+Bill!$O$2)*Bill!$AD840</f>
        <v>0</v>
      </c>
      <c r="P840" s="38">
        <f>('Raw Data'!F842+Bill!$P$2)*Bill!$AE840</f>
        <v>0</v>
      </c>
      <c r="Q840" s="38">
        <f>Bill!$Z840*('Raw Data'!$E842+$Q$2)</f>
        <v>0</v>
      </c>
      <c r="R840" s="38">
        <f>('Raw Data'!F842+Bill!$R$2)*Bill!$AF840</f>
        <v>0</v>
      </c>
      <c r="S840" s="48">
        <f>('Raw Data'!G842/100)*Bill!$AG840</f>
        <v>0</v>
      </c>
      <c r="T840" s="38">
        <f>SUM(Bill!$L840:$R840)</f>
        <v>0</v>
      </c>
      <c r="U840" s="53"/>
      <c r="V840" s="50"/>
      <c r="W840" s="38">
        <f>Bill!$U840-Bill!$T840</f>
        <v>0</v>
      </c>
      <c r="Y840" s="37">
        <f>'Raw Data'!D842</f>
        <v>46398</v>
      </c>
      <c r="Z840" s="47">
        <v>0.0</v>
      </c>
      <c r="AA840" s="47"/>
      <c r="AB840" s="47"/>
      <c r="AC840" s="47"/>
      <c r="AD840" s="47"/>
      <c r="AE840" s="47"/>
      <c r="AF840" s="47"/>
      <c r="AG840" s="47"/>
    </row>
    <row r="841" ht="15.75" customHeight="1">
      <c r="A841" s="35">
        <f>Bill!$Y841</f>
        <v>46399</v>
      </c>
      <c r="B841" s="43">
        <f>'Raw Data'!E843+Bill!$L$2</f>
        <v>20</v>
      </c>
      <c r="C841" s="43">
        <f>'Raw Data'!E843+Bill!$M$2</f>
        <v>25</v>
      </c>
      <c r="D841" s="43">
        <f>('Raw Data'!$F843*2)-10</f>
        <v>-10</v>
      </c>
      <c r="E841" s="43">
        <f>'Raw Data'!F843+Bill!$O$2</f>
        <v>20</v>
      </c>
      <c r="F841" s="43">
        <f>'Raw Data'!F843+Bill!$P$2</f>
        <v>25</v>
      </c>
      <c r="G841" s="43">
        <f>'Raw Data'!E843+Bill!$Q$2</f>
        <v>50</v>
      </c>
      <c r="H841" s="43">
        <f>('Raw Data'!F843+Bill!$R$2)</f>
        <v>20</v>
      </c>
      <c r="I841" s="36">
        <f>'Raw Data'!G843/100</f>
        <v>0</v>
      </c>
      <c r="K841" s="37">
        <f>Bill!$Y841</f>
        <v>46399</v>
      </c>
      <c r="L841" s="38">
        <f>Bill!$AA841*('Raw Data'!$E843+$L$2)</f>
        <v>0</v>
      </c>
      <c r="M841" s="38">
        <f>Bill!$AB841*('Raw Data'!$E843+$M$2)</f>
        <v>0</v>
      </c>
      <c r="N841" s="38">
        <f>(('Raw Data'!$F843 * 2)-10)*Bill!$AC841</f>
        <v>0</v>
      </c>
      <c r="O841" s="38">
        <f>('Raw Data'!F843+Bill!$O$2)*Bill!$AD841</f>
        <v>0</v>
      </c>
      <c r="P841" s="38">
        <f>('Raw Data'!F843+Bill!$P$2)*Bill!$AE841</f>
        <v>0</v>
      </c>
      <c r="Q841" s="38">
        <f>Bill!$Z841*('Raw Data'!$E843+$Q$2)</f>
        <v>0</v>
      </c>
      <c r="R841" s="38">
        <f>('Raw Data'!F843+Bill!$R$2)*Bill!$AF841</f>
        <v>0</v>
      </c>
      <c r="S841" s="48">
        <f>('Raw Data'!G843/100)*Bill!$AG841</f>
        <v>0</v>
      </c>
      <c r="T841" s="38">
        <f>SUM(Bill!$L841:$R841)</f>
        <v>0</v>
      </c>
      <c r="U841" s="53"/>
      <c r="V841" s="50"/>
      <c r="W841" s="38">
        <f>Bill!$U841-Bill!$T841</f>
        <v>0</v>
      </c>
      <c r="Y841" s="37">
        <f>'Raw Data'!D843</f>
        <v>46399</v>
      </c>
      <c r="Z841" s="47">
        <v>0.0</v>
      </c>
      <c r="AA841" s="47"/>
      <c r="AB841" s="47"/>
      <c r="AC841" s="47"/>
      <c r="AD841" s="47"/>
      <c r="AE841" s="47"/>
      <c r="AF841" s="47"/>
      <c r="AG841" s="47"/>
    </row>
    <row r="842" ht="15.75" customHeight="1">
      <c r="A842" s="35">
        <f>Bill!$Y842</f>
        <v>46400</v>
      </c>
      <c r="B842" s="43">
        <f>'Raw Data'!E844+Bill!$L$2</f>
        <v>20</v>
      </c>
      <c r="C842" s="43">
        <f>'Raw Data'!E844+Bill!$M$2</f>
        <v>25</v>
      </c>
      <c r="D842" s="43">
        <f>('Raw Data'!$F844*2)-10</f>
        <v>-10</v>
      </c>
      <c r="E842" s="43">
        <f>'Raw Data'!F844+Bill!$O$2</f>
        <v>20</v>
      </c>
      <c r="F842" s="43">
        <f>'Raw Data'!F844+Bill!$P$2</f>
        <v>25</v>
      </c>
      <c r="G842" s="43">
        <f>'Raw Data'!E844+Bill!$Q$2</f>
        <v>50</v>
      </c>
      <c r="H842" s="43">
        <f>('Raw Data'!F844+Bill!$R$2)</f>
        <v>20</v>
      </c>
      <c r="I842" s="36">
        <f>'Raw Data'!G844/100</f>
        <v>0</v>
      </c>
      <c r="K842" s="37">
        <f>Bill!$Y842</f>
        <v>46400</v>
      </c>
      <c r="L842" s="38">
        <f>Bill!$AA842*('Raw Data'!$E844+$L$2)</f>
        <v>0</v>
      </c>
      <c r="M842" s="38">
        <f>Bill!$AB842*('Raw Data'!$E844+$M$2)</f>
        <v>0</v>
      </c>
      <c r="N842" s="38">
        <f>(('Raw Data'!$F844 * 2)-10)*Bill!$AC842</f>
        <v>0</v>
      </c>
      <c r="O842" s="38">
        <f>('Raw Data'!F844+Bill!$O$2)*Bill!$AD842</f>
        <v>0</v>
      </c>
      <c r="P842" s="38">
        <f>('Raw Data'!F844+Bill!$P$2)*Bill!$AE842</f>
        <v>0</v>
      </c>
      <c r="Q842" s="38">
        <f>Bill!$Z842*('Raw Data'!$E844+$Q$2)</f>
        <v>0</v>
      </c>
      <c r="R842" s="38">
        <f>('Raw Data'!F844+Bill!$R$2)*Bill!$AF842</f>
        <v>0</v>
      </c>
      <c r="S842" s="48">
        <f>('Raw Data'!G844/100)*Bill!$AG842</f>
        <v>0</v>
      </c>
      <c r="T842" s="38">
        <f>SUM(Bill!$L842:$R842)</f>
        <v>0</v>
      </c>
      <c r="U842" s="53"/>
      <c r="V842" s="50"/>
      <c r="W842" s="38">
        <f>Bill!$U842-Bill!$T842</f>
        <v>0</v>
      </c>
      <c r="Y842" s="37">
        <f>'Raw Data'!D844</f>
        <v>46400</v>
      </c>
      <c r="Z842" s="47">
        <v>0.0</v>
      </c>
      <c r="AA842" s="47"/>
      <c r="AB842" s="47"/>
      <c r="AC842" s="47"/>
      <c r="AD842" s="47"/>
      <c r="AE842" s="47"/>
      <c r="AF842" s="47"/>
      <c r="AG842" s="47"/>
    </row>
    <row r="843" ht="15.75" customHeight="1">
      <c r="A843" s="35">
        <f>Bill!$Y843</f>
        <v>46401</v>
      </c>
      <c r="B843" s="43">
        <f>'Raw Data'!E845+Bill!$L$2</f>
        <v>20</v>
      </c>
      <c r="C843" s="43">
        <f>'Raw Data'!E845+Bill!$M$2</f>
        <v>25</v>
      </c>
      <c r="D843" s="43">
        <f>('Raw Data'!$F845*2)-10</f>
        <v>-10</v>
      </c>
      <c r="E843" s="43">
        <f>'Raw Data'!F845+Bill!$O$2</f>
        <v>20</v>
      </c>
      <c r="F843" s="43">
        <f>'Raw Data'!F845+Bill!$P$2</f>
        <v>25</v>
      </c>
      <c r="G843" s="43">
        <f>'Raw Data'!E845+Bill!$Q$2</f>
        <v>50</v>
      </c>
      <c r="H843" s="43">
        <f>('Raw Data'!F845+Bill!$R$2)</f>
        <v>20</v>
      </c>
      <c r="I843" s="36">
        <f>'Raw Data'!G845/100</f>
        <v>0</v>
      </c>
      <c r="K843" s="37">
        <f>Bill!$Y843</f>
        <v>46401</v>
      </c>
      <c r="L843" s="38">
        <f>Bill!$AA843*('Raw Data'!$E845+$L$2)</f>
        <v>0</v>
      </c>
      <c r="M843" s="38">
        <f>Bill!$AB843*('Raw Data'!$E845+$M$2)</f>
        <v>0</v>
      </c>
      <c r="N843" s="38">
        <f>(('Raw Data'!$F845 * 2)-10)*Bill!$AC843</f>
        <v>0</v>
      </c>
      <c r="O843" s="38">
        <f>('Raw Data'!F845+Bill!$O$2)*Bill!$AD843</f>
        <v>0</v>
      </c>
      <c r="P843" s="38">
        <f>('Raw Data'!F845+Bill!$P$2)*Bill!$AE843</f>
        <v>0</v>
      </c>
      <c r="Q843" s="38">
        <f>Bill!$Z843*('Raw Data'!$E845+$Q$2)</f>
        <v>0</v>
      </c>
      <c r="R843" s="38">
        <f>('Raw Data'!F845+Bill!$R$2)*Bill!$AF843</f>
        <v>0</v>
      </c>
      <c r="S843" s="48">
        <f>('Raw Data'!G845/100)*Bill!$AG843</f>
        <v>0</v>
      </c>
      <c r="T843" s="38">
        <f>SUM(Bill!$L843:$R843)</f>
        <v>0</v>
      </c>
      <c r="U843" s="53"/>
      <c r="V843" s="50"/>
      <c r="W843" s="38">
        <f>Bill!$U843-Bill!$T843</f>
        <v>0</v>
      </c>
      <c r="Y843" s="37">
        <f>'Raw Data'!D845</f>
        <v>46401</v>
      </c>
      <c r="Z843" s="47">
        <v>0.0</v>
      </c>
      <c r="AA843" s="47"/>
      <c r="AB843" s="47"/>
      <c r="AC843" s="47"/>
      <c r="AD843" s="47"/>
      <c r="AE843" s="47"/>
      <c r="AF843" s="47"/>
      <c r="AG843" s="47"/>
    </row>
    <row r="844" ht="15.75" customHeight="1">
      <c r="A844" s="35">
        <f>Bill!$Y844</f>
        <v>46402</v>
      </c>
      <c r="B844" s="43">
        <f>'Raw Data'!E846+Bill!$L$2</f>
        <v>20</v>
      </c>
      <c r="C844" s="43">
        <f>'Raw Data'!E846+Bill!$M$2</f>
        <v>25</v>
      </c>
      <c r="D844" s="43">
        <f>('Raw Data'!$F846*2)-10</f>
        <v>-10</v>
      </c>
      <c r="E844" s="43">
        <f>'Raw Data'!F846+Bill!$O$2</f>
        <v>20</v>
      </c>
      <c r="F844" s="43">
        <f>'Raw Data'!F846+Bill!$P$2</f>
        <v>25</v>
      </c>
      <c r="G844" s="43">
        <f>'Raw Data'!E846+Bill!$Q$2</f>
        <v>50</v>
      </c>
      <c r="H844" s="43">
        <f>('Raw Data'!F846+Bill!$R$2)</f>
        <v>20</v>
      </c>
      <c r="I844" s="36">
        <f>'Raw Data'!G846/100</f>
        <v>0</v>
      </c>
      <c r="K844" s="37">
        <f>Bill!$Y844</f>
        <v>46402</v>
      </c>
      <c r="L844" s="38">
        <f>Bill!$AA844*('Raw Data'!$E846+$L$2)</f>
        <v>0</v>
      </c>
      <c r="M844" s="38">
        <f>Bill!$AB844*('Raw Data'!$E846+$M$2)</f>
        <v>0</v>
      </c>
      <c r="N844" s="38">
        <f>(('Raw Data'!$F846 * 2)-10)*Bill!$AC844</f>
        <v>0</v>
      </c>
      <c r="O844" s="38">
        <f>('Raw Data'!F846+Bill!$O$2)*Bill!$AD844</f>
        <v>0</v>
      </c>
      <c r="P844" s="38">
        <f>('Raw Data'!F846+Bill!$P$2)*Bill!$AE844</f>
        <v>0</v>
      </c>
      <c r="Q844" s="38">
        <f>Bill!$Z844*('Raw Data'!$E846+$Q$2)</f>
        <v>0</v>
      </c>
      <c r="R844" s="38">
        <f>('Raw Data'!F846+Bill!$R$2)*Bill!$AF844</f>
        <v>0</v>
      </c>
      <c r="S844" s="48">
        <f>('Raw Data'!G846/100)*Bill!$AG844</f>
        <v>0</v>
      </c>
      <c r="T844" s="38">
        <f>SUM(Bill!$L844:$R844)</f>
        <v>0</v>
      </c>
      <c r="U844" s="53"/>
      <c r="V844" s="50"/>
      <c r="W844" s="38">
        <f>Bill!$U844-Bill!$T844</f>
        <v>0</v>
      </c>
      <c r="Y844" s="37">
        <f>'Raw Data'!D846</f>
        <v>46402</v>
      </c>
      <c r="Z844" s="47">
        <v>0.0</v>
      </c>
      <c r="AA844" s="47"/>
      <c r="AB844" s="47"/>
      <c r="AC844" s="47"/>
      <c r="AD844" s="47"/>
      <c r="AE844" s="47"/>
      <c r="AF844" s="47"/>
      <c r="AG844" s="47"/>
    </row>
    <row r="845" ht="15.75" customHeight="1">
      <c r="A845" s="35">
        <f>Bill!$Y845</f>
        <v>46403</v>
      </c>
      <c r="B845" s="43">
        <f>'Raw Data'!E847+Bill!$L$2</f>
        <v>20</v>
      </c>
      <c r="C845" s="43">
        <f>'Raw Data'!E847+Bill!$M$2</f>
        <v>25</v>
      </c>
      <c r="D845" s="43">
        <f>('Raw Data'!$F847*2)-10</f>
        <v>-10</v>
      </c>
      <c r="E845" s="43">
        <f>'Raw Data'!F847+Bill!$O$2</f>
        <v>20</v>
      </c>
      <c r="F845" s="43">
        <f>'Raw Data'!F847+Bill!$P$2</f>
        <v>25</v>
      </c>
      <c r="G845" s="43">
        <f>'Raw Data'!E847+Bill!$Q$2</f>
        <v>50</v>
      </c>
      <c r="H845" s="43">
        <f>('Raw Data'!F847+Bill!$R$2)</f>
        <v>20</v>
      </c>
      <c r="I845" s="36">
        <f>'Raw Data'!G847/100</f>
        <v>0</v>
      </c>
      <c r="K845" s="37">
        <f>Bill!$Y845</f>
        <v>46403</v>
      </c>
      <c r="L845" s="38">
        <f>Bill!$AA845*('Raw Data'!$E847+$L$2)</f>
        <v>0</v>
      </c>
      <c r="M845" s="38">
        <f>Bill!$AB845*('Raw Data'!$E847+$M$2)</f>
        <v>0</v>
      </c>
      <c r="N845" s="38">
        <f>(('Raw Data'!$F847 * 2)-10)*Bill!$AC845</f>
        <v>0</v>
      </c>
      <c r="O845" s="38">
        <f>('Raw Data'!F847+Bill!$O$2)*Bill!$AD845</f>
        <v>0</v>
      </c>
      <c r="P845" s="38">
        <f>('Raw Data'!F847+Bill!$P$2)*Bill!$AE845</f>
        <v>0</v>
      </c>
      <c r="Q845" s="38">
        <f>Bill!$Z845*('Raw Data'!$E847+$Q$2)</f>
        <v>0</v>
      </c>
      <c r="R845" s="38">
        <f>('Raw Data'!F847+Bill!$R$2)*Bill!$AF845</f>
        <v>0</v>
      </c>
      <c r="S845" s="48">
        <f>('Raw Data'!G847/100)*Bill!$AG845</f>
        <v>0</v>
      </c>
      <c r="T845" s="38">
        <f>SUM(Bill!$L845:$R845)</f>
        <v>0</v>
      </c>
      <c r="U845" s="53"/>
      <c r="V845" s="50"/>
      <c r="W845" s="38">
        <f>Bill!$U845-Bill!$T845</f>
        <v>0</v>
      </c>
      <c r="Y845" s="37">
        <f>'Raw Data'!D847</f>
        <v>46403</v>
      </c>
      <c r="Z845" s="47">
        <v>0.0</v>
      </c>
      <c r="AA845" s="47"/>
      <c r="AB845" s="47"/>
      <c r="AC845" s="47"/>
      <c r="AD845" s="47"/>
      <c r="AE845" s="47"/>
      <c r="AF845" s="47"/>
      <c r="AG845" s="47"/>
    </row>
    <row r="846" ht="15.75" customHeight="1">
      <c r="A846" s="35">
        <f>Bill!$Y846</f>
        <v>46404</v>
      </c>
      <c r="B846" s="43">
        <f>'Raw Data'!E848+Bill!$L$2</f>
        <v>20</v>
      </c>
      <c r="C846" s="43">
        <f>'Raw Data'!E848+Bill!$M$2</f>
        <v>25</v>
      </c>
      <c r="D846" s="43">
        <f>('Raw Data'!$F848*2)-10</f>
        <v>-10</v>
      </c>
      <c r="E846" s="43">
        <f>'Raw Data'!F848+Bill!$O$2</f>
        <v>20</v>
      </c>
      <c r="F846" s="43">
        <f>'Raw Data'!F848+Bill!$P$2</f>
        <v>25</v>
      </c>
      <c r="G846" s="43">
        <f>'Raw Data'!E848+Bill!$Q$2</f>
        <v>50</v>
      </c>
      <c r="H846" s="43">
        <f>('Raw Data'!F848+Bill!$R$2)</f>
        <v>20</v>
      </c>
      <c r="I846" s="36">
        <f>'Raw Data'!G848/100</f>
        <v>0</v>
      </c>
      <c r="K846" s="37">
        <f>Bill!$Y846</f>
        <v>46404</v>
      </c>
      <c r="L846" s="38">
        <f>Bill!$AA846*('Raw Data'!$E848+$L$2)</f>
        <v>0</v>
      </c>
      <c r="M846" s="38">
        <f>Bill!$AB846*('Raw Data'!$E848+$M$2)</f>
        <v>0</v>
      </c>
      <c r="N846" s="38">
        <f>(('Raw Data'!$F848 * 2)-10)*Bill!$AC846</f>
        <v>0</v>
      </c>
      <c r="O846" s="38">
        <f>('Raw Data'!F848+Bill!$O$2)*Bill!$AD846</f>
        <v>0</v>
      </c>
      <c r="P846" s="38">
        <f>('Raw Data'!F848+Bill!$P$2)*Bill!$AE846</f>
        <v>0</v>
      </c>
      <c r="Q846" s="38">
        <f>Bill!$Z846*('Raw Data'!$E848+$Q$2)</f>
        <v>0</v>
      </c>
      <c r="R846" s="38">
        <f>('Raw Data'!F848+Bill!$R$2)*Bill!$AF846</f>
        <v>0</v>
      </c>
      <c r="S846" s="48">
        <f>('Raw Data'!G848/100)*Bill!$AG846</f>
        <v>0</v>
      </c>
      <c r="T846" s="38">
        <f>SUM(Bill!$L846:$R846)</f>
        <v>0</v>
      </c>
      <c r="U846" s="53"/>
      <c r="V846" s="50"/>
      <c r="W846" s="38">
        <f>Bill!$U846-Bill!$T846</f>
        <v>0</v>
      </c>
      <c r="Y846" s="37">
        <f>'Raw Data'!D848</f>
        <v>46404</v>
      </c>
      <c r="Z846" s="47">
        <v>0.0</v>
      </c>
      <c r="AA846" s="47"/>
      <c r="AB846" s="47"/>
      <c r="AC846" s="47"/>
      <c r="AD846" s="47"/>
      <c r="AE846" s="47"/>
      <c r="AF846" s="47"/>
      <c r="AG846" s="47"/>
    </row>
    <row r="847" ht="15.75" customHeight="1">
      <c r="A847" s="35">
        <f>Bill!$Y847</f>
        <v>46405</v>
      </c>
      <c r="B847" s="43">
        <f>'Raw Data'!E849+Bill!$L$2</f>
        <v>20</v>
      </c>
      <c r="C847" s="43">
        <f>'Raw Data'!E849+Bill!$M$2</f>
        <v>25</v>
      </c>
      <c r="D847" s="43">
        <f>('Raw Data'!$F849*2)-10</f>
        <v>-10</v>
      </c>
      <c r="E847" s="43">
        <f>'Raw Data'!F849+Bill!$O$2</f>
        <v>20</v>
      </c>
      <c r="F847" s="43">
        <f>'Raw Data'!F849+Bill!$P$2</f>
        <v>25</v>
      </c>
      <c r="G847" s="43">
        <f>'Raw Data'!E849+Bill!$Q$2</f>
        <v>50</v>
      </c>
      <c r="H847" s="43">
        <f>('Raw Data'!F849+Bill!$R$2)</f>
        <v>20</v>
      </c>
      <c r="I847" s="36">
        <f>'Raw Data'!G849/100</f>
        <v>0</v>
      </c>
      <c r="K847" s="37">
        <f>Bill!$Y847</f>
        <v>46405</v>
      </c>
      <c r="L847" s="38">
        <f>Bill!$AA847*('Raw Data'!$E849+$L$2)</f>
        <v>0</v>
      </c>
      <c r="M847" s="38">
        <f>Bill!$AB847*('Raw Data'!$E849+$M$2)</f>
        <v>0</v>
      </c>
      <c r="N847" s="38">
        <f>(('Raw Data'!$F849 * 2)-10)*Bill!$AC847</f>
        <v>0</v>
      </c>
      <c r="O847" s="38">
        <f>('Raw Data'!F849+Bill!$O$2)*Bill!$AD847</f>
        <v>0</v>
      </c>
      <c r="P847" s="38">
        <f>('Raw Data'!F849+Bill!$P$2)*Bill!$AE847</f>
        <v>0</v>
      </c>
      <c r="Q847" s="38">
        <f>Bill!$Z847*('Raw Data'!$E849+$Q$2)</f>
        <v>0</v>
      </c>
      <c r="R847" s="38">
        <f>('Raw Data'!F849+Bill!$R$2)*Bill!$AF847</f>
        <v>0</v>
      </c>
      <c r="S847" s="48">
        <f>('Raw Data'!G849/100)*Bill!$AG847</f>
        <v>0</v>
      </c>
      <c r="T847" s="38">
        <f>SUM(Bill!$L847:$R847)</f>
        <v>0</v>
      </c>
      <c r="U847" s="53"/>
      <c r="V847" s="50"/>
      <c r="W847" s="38">
        <f>Bill!$U847-Bill!$T847</f>
        <v>0</v>
      </c>
      <c r="Y847" s="37">
        <f>'Raw Data'!D849</f>
        <v>46405</v>
      </c>
      <c r="Z847" s="47">
        <v>0.0</v>
      </c>
      <c r="AA847" s="47"/>
      <c r="AB847" s="47"/>
      <c r="AC847" s="47"/>
      <c r="AD847" s="47"/>
      <c r="AE847" s="47"/>
      <c r="AF847" s="47"/>
      <c r="AG847" s="47"/>
    </row>
    <row r="848" ht="15.75" customHeight="1">
      <c r="A848" s="35">
        <f>Bill!$Y848</f>
        <v>46406</v>
      </c>
      <c r="B848" s="43">
        <f>'Raw Data'!E850+Bill!$L$2</f>
        <v>20</v>
      </c>
      <c r="C848" s="43">
        <f>'Raw Data'!E850+Bill!$M$2</f>
        <v>25</v>
      </c>
      <c r="D848" s="43">
        <f>('Raw Data'!$F850*2)-10</f>
        <v>-10</v>
      </c>
      <c r="E848" s="43">
        <f>'Raw Data'!F850+Bill!$O$2</f>
        <v>20</v>
      </c>
      <c r="F848" s="43">
        <f>'Raw Data'!F850+Bill!$P$2</f>
        <v>25</v>
      </c>
      <c r="G848" s="43">
        <f>'Raw Data'!E850+Bill!$Q$2</f>
        <v>50</v>
      </c>
      <c r="H848" s="43">
        <f>('Raw Data'!F850+Bill!$R$2)</f>
        <v>20</v>
      </c>
      <c r="I848" s="36">
        <f>'Raw Data'!G850/100</f>
        <v>0</v>
      </c>
      <c r="K848" s="37">
        <f>Bill!$Y848</f>
        <v>46406</v>
      </c>
      <c r="L848" s="38">
        <f>Bill!$AA848*('Raw Data'!$E850+$L$2)</f>
        <v>0</v>
      </c>
      <c r="M848" s="38">
        <f>Bill!$AB848*('Raw Data'!$E850+$M$2)</f>
        <v>0</v>
      </c>
      <c r="N848" s="38">
        <f>(('Raw Data'!$F850 * 2)-10)*Bill!$AC848</f>
        <v>0</v>
      </c>
      <c r="O848" s="38">
        <f>('Raw Data'!F850+Bill!$O$2)*Bill!$AD848</f>
        <v>0</v>
      </c>
      <c r="P848" s="38">
        <f>('Raw Data'!F850+Bill!$P$2)*Bill!$AE848</f>
        <v>0</v>
      </c>
      <c r="Q848" s="38">
        <f>Bill!$Z848*('Raw Data'!$E850+$Q$2)</f>
        <v>0</v>
      </c>
      <c r="R848" s="38">
        <f>('Raw Data'!F850+Bill!$R$2)*Bill!$AF848</f>
        <v>0</v>
      </c>
      <c r="S848" s="48">
        <f>('Raw Data'!G850/100)*Bill!$AG848</f>
        <v>0</v>
      </c>
      <c r="T848" s="38">
        <f>SUM(Bill!$L848:$R848)</f>
        <v>0</v>
      </c>
      <c r="U848" s="53"/>
      <c r="V848" s="50"/>
      <c r="W848" s="38">
        <f>Bill!$U848-Bill!$T848</f>
        <v>0</v>
      </c>
      <c r="Y848" s="37">
        <f>'Raw Data'!D850</f>
        <v>46406</v>
      </c>
      <c r="Z848" s="47">
        <v>0.0</v>
      </c>
      <c r="AA848" s="47"/>
      <c r="AB848" s="47"/>
      <c r="AC848" s="47"/>
      <c r="AD848" s="47"/>
      <c r="AE848" s="47"/>
      <c r="AF848" s="47"/>
      <c r="AG848" s="47"/>
    </row>
    <row r="849" ht="15.75" customHeight="1">
      <c r="A849" s="35">
        <f>Bill!$Y849</f>
        <v>46407</v>
      </c>
      <c r="B849" s="43">
        <f>'Raw Data'!E851+Bill!$L$2</f>
        <v>20</v>
      </c>
      <c r="C849" s="43">
        <f>'Raw Data'!E851+Bill!$M$2</f>
        <v>25</v>
      </c>
      <c r="D849" s="43">
        <f>('Raw Data'!$F851*2)-10</f>
        <v>-10</v>
      </c>
      <c r="E849" s="43">
        <f>'Raw Data'!F851+Bill!$O$2</f>
        <v>20</v>
      </c>
      <c r="F849" s="43">
        <f>'Raw Data'!F851+Bill!$P$2</f>
        <v>25</v>
      </c>
      <c r="G849" s="43">
        <f>'Raw Data'!E851+Bill!$Q$2</f>
        <v>50</v>
      </c>
      <c r="H849" s="43">
        <f>('Raw Data'!F851+Bill!$R$2)</f>
        <v>20</v>
      </c>
      <c r="I849" s="36">
        <f>'Raw Data'!G851/100</f>
        <v>0</v>
      </c>
      <c r="K849" s="37">
        <f>Bill!$Y849</f>
        <v>46407</v>
      </c>
      <c r="L849" s="38">
        <f>Bill!$AA849*('Raw Data'!$E851+$L$2)</f>
        <v>0</v>
      </c>
      <c r="M849" s="38">
        <f>Bill!$AB849*('Raw Data'!$E851+$M$2)</f>
        <v>0</v>
      </c>
      <c r="N849" s="38">
        <f>(('Raw Data'!$F851 * 2)-10)*Bill!$AC849</f>
        <v>0</v>
      </c>
      <c r="O849" s="38">
        <f>('Raw Data'!F851+Bill!$O$2)*Bill!$AD849</f>
        <v>0</v>
      </c>
      <c r="P849" s="38">
        <f>('Raw Data'!F851+Bill!$P$2)*Bill!$AE849</f>
        <v>0</v>
      </c>
      <c r="Q849" s="38">
        <f>Bill!$Z849*('Raw Data'!$E851+$Q$2)</f>
        <v>0</v>
      </c>
      <c r="R849" s="38">
        <f>('Raw Data'!F851+Bill!$R$2)*Bill!$AF849</f>
        <v>0</v>
      </c>
      <c r="S849" s="48">
        <f>('Raw Data'!G851/100)*Bill!$AG849</f>
        <v>0</v>
      </c>
      <c r="T849" s="38">
        <f>SUM(Bill!$L849:$R849)</f>
        <v>0</v>
      </c>
      <c r="U849" s="53"/>
      <c r="V849" s="50"/>
      <c r="W849" s="38">
        <f>Bill!$U849-Bill!$T849</f>
        <v>0</v>
      </c>
      <c r="Y849" s="37">
        <f>'Raw Data'!D851</f>
        <v>46407</v>
      </c>
      <c r="Z849" s="47">
        <v>0.0</v>
      </c>
      <c r="AA849" s="47"/>
      <c r="AB849" s="47"/>
      <c r="AC849" s="47"/>
      <c r="AD849" s="47"/>
      <c r="AE849" s="47"/>
      <c r="AF849" s="47"/>
      <c r="AG849" s="47"/>
    </row>
    <row r="850" ht="15.75" customHeight="1">
      <c r="A850" s="35">
        <f>Bill!$Y850</f>
        <v>46408</v>
      </c>
      <c r="B850" s="43">
        <f>'Raw Data'!E852+Bill!$L$2</f>
        <v>20</v>
      </c>
      <c r="C850" s="43">
        <f>'Raw Data'!E852+Bill!$M$2</f>
        <v>25</v>
      </c>
      <c r="D850" s="43">
        <f>('Raw Data'!$F852*2)-10</f>
        <v>-10</v>
      </c>
      <c r="E850" s="43">
        <f>'Raw Data'!F852+Bill!$O$2</f>
        <v>20</v>
      </c>
      <c r="F850" s="43">
        <f>'Raw Data'!F852+Bill!$P$2</f>
        <v>25</v>
      </c>
      <c r="G850" s="43">
        <f>'Raw Data'!E852+Bill!$Q$2</f>
        <v>50</v>
      </c>
      <c r="H850" s="43">
        <f>('Raw Data'!F852+Bill!$R$2)</f>
        <v>20</v>
      </c>
      <c r="I850" s="36">
        <f>'Raw Data'!G852/100</f>
        <v>0</v>
      </c>
      <c r="K850" s="37">
        <f>Bill!$Y850</f>
        <v>46408</v>
      </c>
      <c r="L850" s="38">
        <f>Bill!$AA850*('Raw Data'!$E852+$L$2)</f>
        <v>0</v>
      </c>
      <c r="M850" s="38">
        <f>Bill!$AB850*('Raw Data'!$E852+$M$2)</f>
        <v>0</v>
      </c>
      <c r="N850" s="38">
        <f>(('Raw Data'!$F852 * 2)-10)*Bill!$AC850</f>
        <v>0</v>
      </c>
      <c r="O850" s="38">
        <f>('Raw Data'!F852+Bill!$O$2)*Bill!$AD850</f>
        <v>0</v>
      </c>
      <c r="P850" s="38">
        <f>('Raw Data'!F852+Bill!$P$2)*Bill!$AE850</f>
        <v>0</v>
      </c>
      <c r="Q850" s="38">
        <f>Bill!$Z850*('Raw Data'!$E852+$Q$2)</f>
        <v>0</v>
      </c>
      <c r="R850" s="38">
        <f>('Raw Data'!F852+Bill!$R$2)*Bill!$AF850</f>
        <v>0</v>
      </c>
      <c r="S850" s="48">
        <f>('Raw Data'!G852/100)*Bill!$AG850</f>
        <v>0</v>
      </c>
      <c r="T850" s="38">
        <f>SUM(Bill!$L850:$R850)</f>
        <v>0</v>
      </c>
      <c r="U850" s="53"/>
      <c r="V850" s="50"/>
      <c r="W850" s="38">
        <f>Bill!$U850-Bill!$T850</f>
        <v>0</v>
      </c>
      <c r="Y850" s="37">
        <f>'Raw Data'!D852</f>
        <v>46408</v>
      </c>
      <c r="Z850" s="47">
        <v>0.0</v>
      </c>
      <c r="AA850" s="47"/>
      <c r="AB850" s="47"/>
      <c r="AC850" s="47"/>
      <c r="AD850" s="47"/>
      <c r="AE850" s="47"/>
      <c r="AF850" s="47"/>
      <c r="AG850" s="47"/>
    </row>
    <row r="851" ht="15.75" customHeight="1">
      <c r="A851" s="35">
        <f>Bill!$Y851</f>
        <v>46409</v>
      </c>
      <c r="B851" s="43">
        <f>'Raw Data'!E853+Bill!$L$2</f>
        <v>20</v>
      </c>
      <c r="C851" s="43">
        <f>'Raw Data'!E853+Bill!$M$2</f>
        <v>25</v>
      </c>
      <c r="D851" s="43">
        <f>('Raw Data'!$F853*2)-10</f>
        <v>-10</v>
      </c>
      <c r="E851" s="43">
        <f>'Raw Data'!F853+Bill!$O$2</f>
        <v>20</v>
      </c>
      <c r="F851" s="43">
        <f>'Raw Data'!F853+Bill!$P$2</f>
        <v>25</v>
      </c>
      <c r="G851" s="43">
        <f>'Raw Data'!E853+Bill!$Q$2</f>
        <v>50</v>
      </c>
      <c r="H851" s="43">
        <f>('Raw Data'!F853+Bill!$R$2)</f>
        <v>20</v>
      </c>
      <c r="I851" s="36">
        <f>'Raw Data'!G853/100</f>
        <v>0</v>
      </c>
      <c r="K851" s="37">
        <f>Bill!$Y851</f>
        <v>46409</v>
      </c>
      <c r="L851" s="38">
        <f>Bill!$AA851*('Raw Data'!$E853+$L$2)</f>
        <v>0</v>
      </c>
      <c r="M851" s="38">
        <f>Bill!$AB851*('Raw Data'!$E853+$M$2)</f>
        <v>0</v>
      </c>
      <c r="N851" s="38">
        <f>(('Raw Data'!$F853 * 2)-10)*Bill!$AC851</f>
        <v>0</v>
      </c>
      <c r="O851" s="38">
        <f>('Raw Data'!F853+Bill!$O$2)*Bill!$AD851</f>
        <v>0</v>
      </c>
      <c r="P851" s="38">
        <f>('Raw Data'!F853+Bill!$P$2)*Bill!$AE851</f>
        <v>0</v>
      </c>
      <c r="Q851" s="38">
        <f>Bill!$Z851*('Raw Data'!$E853+$Q$2)</f>
        <v>0</v>
      </c>
      <c r="R851" s="38">
        <f>('Raw Data'!F853+Bill!$R$2)*Bill!$AF851</f>
        <v>0</v>
      </c>
      <c r="S851" s="48">
        <f>('Raw Data'!G853/100)*Bill!$AG851</f>
        <v>0</v>
      </c>
      <c r="T851" s="38">
        <f>SUM(Bill!$L851:$R851)</f>
        <v>0</v>
      </c>
      <c r="U851" s="53"/>
      <c r="V851" s="50"/>
      <c r="W851" s="38">
        <f>Bill!$U851-Bill!$T851</f>
        <v>0</v>
      </c>
      <c r="Y851" s="37">
        <f>'Raw Data'!D853</f>
        <v>46409</v>
      </c>
      <c r="Z851" s="47">
        <v>0.0</v>
      </c>
      <c r="AA851" s="47"/>
      <c r="AB851" s="47"/>
      <c r="AC851" s="47"/>
      <c r="AD851" s="47"/>
      <c r="AE851" s="47"/>
      <c r="AF851" s="47"/>
      <c r="AG851" s="47"/>
    </row>
    <row r="852" ht="15.75" customHeight="1">
      <c r="A852" s="35">
        <f>Bill!$Y852</f>
        <v>46410</v>
      </c>
      <c r="B852" s="43">
        <f>'Raw Data'!E854+Bill!$L$2</f>
        <v>20</v>
      </c>
      <c r="C852" s="43">
        <f>'Raw Data'!E854+Bill!$M$2</f>
        <v>25</v>
      </c>
      <c r="D852" s="43">
        <f>('Raw Data'!$F854*2)-10</f>
        <v>-10</v>
      </c>
      <c r="E852" s="43">
        <f>'Raw Data'!F854+Bill!$O$2</f>
        <v>20</v>
      </c>
      <c r="F852" s="43">
        <f>'Raw Data'!F854+Bill!$P$2</f>
        <v>25</v>
      </c>
      <c r="G852" s="43">
        <f>'Raw Data'!E854+Bill!$Q$2</f>
        <v>50</v>
      </c>
      <c r="H852" s="43">
        <f>('Raw Data'!F854+Bill!$R$2)</f>
        <v>20</v>
      </c>
      <c r="I852" s="36">
        <f>'Raw Data'!G854/100</f>
        <v>0</v>
      </c>
      <c r="K852" s="37">
        <f>Bill!$Y852</f>
        <v>46410</v>
      </c>
      <c r="L852" s="38">
        <f>Bill!$AA852*('Raw Data'!$E854+$L$2)</f>
        <v>0</v>
      </c>
      <c r="M852" s="38">
        <f>Bill!$AB852*('Raw Data'!$E854+$M$2)</f>
        <v>0</v>
      </c>
      <c r="N852" s="38">
        <f>(('Raw Data'!$F854 * 2)-10)*Bill!$AC852</f>
        <v>0</v>
      </c>
      <c r="O852" s="38">
        <f>('Raw Data'!F854+Bill!$O$2)*Bill!$AD852</f>
        <v>0</v>
      </c>
      <c r="P852" s="38">
        <f>('Raw Data'!F854+Bill!$P$2)*Bill!$AE852</f>
        <v>0</v>
      </c>
      <c r="Q852" s="38">
        <f>Bill!$Z852*('Raw Data'!$E854+$Q$2)</f>
        <v>0</v>
      </c>
      <c r="R852" s="38">
        <f>('Raw Data'!F854+Bill!$R$2)*Bill!$AF852</f>
        <v>0</v>
      </c>
      <c r="S852" s="48">
        <f>('Raw Data'!G854/100)*Bill!$AG852</f>
        <v>0</v>
      </c>
      <c r="T852" s="38">
        <f>SUM(Bill!$L852:$R852)</f>
        <v>0</v>
      </c>
      <c r="U852" s="53"/>
      <c r="V852" s="50"/>
      <c r="W852" s="38">
        <f>Bill!$U852-Bill!$T852</f>
        <v>0</v>
      </c>
      <c r="Y852" s="37">
        <f>'Raw Data'!D854</f>
        <v>46410</v>
      </c>
      <c r="Z852" s="47">
        <v>0.0</v>
      </c>
      <c r="AA852" s="47"/>
      <c r="AB852" s="47"/>
      <c r="AC852" s="47"/>
      <c r="AD852" s="47"/>
      <c r="AE852" s="47"/>
      <c r="AF852" s="47"/>
      <c r="AG852" s="47"/>
    </row>
    <row r="853" ht="15.75" customHeight="1">
      <c r="A853" s="35">
        <f>Bill!$Y853</f>
        <v>46411</v>
      </c>
      <c r="B853" s="43">
        <f>'Raw Data'!E855+Bill!$L$2</f>
        <v>20</v>
      </c>
      <c r="C853" s="43">
        <f>'Raw Data'!E855+Bill!$M$2</f>
        <v>25</v>
      </c>
      <c r="D853" s="43">
        <f>('Raw Data'!$F855*2)-10</f>
        <v>-10</v>
      </c>
      <c r="E853" s="43">
        <f>'Raw Data'!F855+Bill!$O$2</f>
        <v>20</v>
      </c>
      <c r="F853" s="43">
        <f>'Raw Data'!F855+Bill!$P$2</f>
        <v>25</v>
      </c>
      <c r="G853" s="43">
        <f>'Raw Data'!E855+Bill!$Q$2</f>
        <v>50</v>
      </c>
      <c r="H853" s="43">
        <f>('Raw Data'!F855+Bill!$R$2)</f>
        <v>20</v>
      </c>
      <c r="I853" s="36">
        <f>'Raw Data'!G855/100</f>
        <v>0</v>
      </c>
      <c r="K853" s="37">
        <f>Bill!$Y853</f>
        <v>46411</v>
      </c>
      <c r="L853" s="38">
        <f>Bill!$AA853*('Raw Data'!$E855+$L$2)</f>
        <v>0</v>
      </c>
      <c r="M853" s="38">
        <f>Bill!$AB853*('Raw Data'!$E855+$M$2)</f>
        <v>0</v>
      </c>
      <c r="N853" s="38">
        <f>(('Raw Data'!$F855 * 2)-10)*Bill!$AC853</f>
        <v>0</v>
      </c>
      <c r="O853" s="38">
        <f>('Raw Data'!F855+Bill!$O$2)*Bill!$AD853</f>
        <v>0</v>
      </c>
      <c r="P853" s="38">
        <f>('Raw Data'!F855+Bill!$P$2)*Bill!$AE853</f>
        <v>0</v>
      </c>
      <c r="Q853" s="38">
        <f>Bill!$Z853*('Raw Data'!$E855+$Q$2)</f>
        <v>0</v>
      </c>
      <c r="R853" s="38">
        <f>('Raw Data'!F855+Bill!$R$2)*Bill!$AF853</f>
        <v>0</v>
      </c>
      <c r="S853" s="48">
        <f>('Raw Data'!G855/100)*Bill!$AG853</f>
        <v>0</v>
      </c>
      <c r="T853" s="38">
        <f>SUM(Bill!$L853:$R853)</f>
        <v>0</v>
      </c>
      <c r="U853" s="53"/>
      <c r="V853" s="50"/>
      <c r="W853" s="38">
        <f>Bill!$U853-Bill!$T853</f>
        <v>0</v>
      </c>
      <c r="Y853" s="37">
        <f>'Raw Data'!D855</f>
        <v>46411</v>
      </c>
      <c r="Z853" s="47">
        <v>0.0</v>
      </c>
      <c r="AA853" s="47"/>
      <c r="AB853" s="47"/>
      <c r="AC853" s="47"/>
      <c r="AD853" s="47"/>
      <c r="AE853" s="47"/>
      <c r="AF853" s="47"/>
      <c r="AG853" s="47"/>
    </row>
    <row r="854" ht="15.75" customHeight="1">
      <c r="A854" s="35">
        <f>Bill!$Y854</f>
        <v>46412</v>
      </c>
      <c r="B854" s="43">
        <f>'Raw Data'!E856+Bill!$L$2</f>
        <v>20</v>
      </c>
      <c r="C854" s="43">
        <f>'Raw Data'!E856+Bill!$M$2</f>
        <v>25</v>
      </c>
      <c r="D854" s="43">
        <f>('Raw Data'!$F856*2)-10</f>
        <v>-10</v>
      </c>
      <c r="E854" s="43">
        <f>'Raw Data'!F856+Bill!$O$2</f>
        <v>20</v>
      </c>
      <c r="F854" s="43">
        <f>'Raw Data'!F856+Bill!$P$2</f>
        <v>25</v>
      </c>
      <c r="G854" s="43">
        <f>'Raw Data'!E856+Bill!$Q$2</f>
        <v>50</v>
      </c>
      <c r="H854" s="43">
        <f>('Raw Data'!F856+Bill!$R$2)</f>
        <v>20</v>
      </c>
      <c r="I854" s="36">
        <f>'Raw Data'!G856/100</f>
        <v>0</v>
      </c>
      <c r="K854" s="37">
        <f>Bill!$Y854</f>
        <v>46412</v>
      </c>
      <c r="L854" s="38">
        <f>Bill!$AA854*('Raw Data'!$E856+$L$2)</f>
        <v>0</v>
      </c>
      <c r="M854" s="38">
        <f>Bill!$AB854*('Raw Data'!$E856+$M$2)</f>
        <v>0</v>
      </c>
      <c r="N854" s="38">
        <f>(('Raw Data'!$F856 * 2)-10)*Bill!$AC854</f>
        <v>0</v>
      </c>
      <c r="O854" s="38">
        <f>('Raw Data'!F856+Bill!$O$2)*Bill!$AD854</f>
        <v>0</v>
      </c>
      <c r="P854" s="38">
        <f>('Raw Data'!F856+Bill!$P$2)*Bill!$AE854</f>
        <v>0</v>
      </c>
      <c r="Q854" s="38">
        <f>Bill!$Z854*('Raw Data'!$E856+$Q$2)</f>
        <v>0</v>
      </c>
      <c r="R854" s="38">
        <f>('Raw Data'!F856+Bill!$R$2)*Bill!$AF854</f>
        <v>0</v>
      </c>
      <c r="S854" s="48">
        <f>('Raw Data'!G856/100)*Bill!$AG854</f>
        <v>0</v>
      </c>
      <c r="T854" s="38">
        <f>SUM(Bill!$L854:$R854)</f>
        <v>0</v>
      </c>
      <c r="U854" s="53"/>
      <c r="V854" s="50"/>
      <c r="W854" s="38">
        <f>Bill!$U854-Bill!$T854</f>
        <v>0</v>
      </c>
      <c r="Y854" s="37">
        <f>'Raw Data'!D856</f>
        <v>46412</v>
      </c>
      <c r="Z854" s="47">
        <v>0.0</v>
      </c>
      <c r="AA854" s="47"/>
      <c r="AB854" s="47"/>
      <c r="AC854" s="47"/>
      <c r="AD854" s="47"/>
      <c r="AE854" s="47"/>
      <c r="AF854" s="47"/>
      <c r="AG854" s="47"/>
    </row>
    <row r="855" ht="15.75" customHeight="1">
      <c r="A855" s="35">
        <f>Bill!$Y855</f>
        <v>46413</v>
      </c>
      <c r="B855" s="43">
        <f>'Raw Data'!E857+Bill!$L$2</f>
        <v>20</v>
      </c>
      <c r="C855" s="43">
        <f>'Raw Data'!E857+Bill!$M$2</f>
        <v>25</v>
      </c>
      <c r="D855" s="43">
        <f>('Raw Data'!$F857*2)-10</f>
        <v>-10</v>
      </c>
      <c r="E855" s="43">
        <f>'Raw Data'!F857+Bill!$O$2</f>
        <v>20</v>
      </c>
      <c r="F855" s="43">
        <f>'Raw Data'!F857+Bill!$P$2</f>
        <v>25</v>
      </c>
      <c r="G855" s="43">
        <f>'Raw Data'!E857+Bill!$Q$2</f>
        <v>50</v>
      </c>
      <c r="H855" s="43">
        <f>('Raw Data'!F857+Bill!$R$2)</f>
        <v>20</v>
      </c>
      <c r="I855" s="36">
        <f>'Raw Data'!G857/100</f>
        <v>0</v>
      </c>
      <c r="K855" s="37">
        <f>Bill!$Y855</f>
        <v>46413</v>
      </c>
      <c r="L855" s="38">
        <f>Bill!$AA855*('Raw Data'!$E857+$L$2)</f>
        <v>0</v>
      </c>
      <c r="M855" s="38">
        <f>Bill!$AB855*('Raw Data'!$E857+$M$2)</f>
        <v>0</v>
      </c>
      <c r="N855" s="38">
        <f>(('Raw Data'!$F857 * 2)-10)*Bill!$AC855</f>
        <v>0</v>
      </c>
      <c r="O855" s="38">
        <f>('Raw Data'!F857+Bill!$O$2)*Bill!$AD855</f>
        <v>0</v>
      </c>
      <c r="P855" s="38">
        <f>('Raw Data'!F857+Bill!$P$2)*Bill!$AE855</f>
        <v>0</v>
      </c>
      <c r="Q855" s="38">
        <f>Bill!$Z855*('Raw Data'!$E857+$Q$2)</f>
        <v>0</v>
      </c>
      <c r="R855" s="38">
        <f>('Raw Data'!F857+Bill!$R$2)*Bill!$AF855</f>
        <v>0</v>
      </c>
      <c r="S855" s="48">
        <f>('Raw Data'!G857/100)*Bill!$AG855</f>
        <v>0</v>
      </c>
      <c r="T855" s="38">
        <f>SUM(Bill!$L855:$R855)</f>
        <v>0</v>
      </c>
      <c r="U855" s="53"/>
      <c r="V855" s="50"/>
      <c r="W855" s="38">
        <f>Bill!$U855-Bill!$T855</f>
        <v>0</v>
      </c>
      <c r="Y855" s="37">
        <f>'Raw Data'!D857</f>
        <v>46413</v>
      </c>
      <c r="Z855" s="47">
        <v>0.0</v>
      </c>
      <c r="AA855" s="47"/>
      <c r="AB855" s="47"/>
      <c r="AC855" s="47"/>
      <c r="AD855" s="47"/>
      <c r="AE855" s="47"/>
      <c r="AF855" s="47"/>
      <c r="AG855" s="47"/>
    </row>
    <row r="856" ht="15.75" customHeight="1">
      <c r="A856" s="35">
        <f>Bill!$Y856</f>
        <v>46414</v>
      </c>
      <c r="B856" s="43">
        <f>'Raw Data'!E858+Bill!$L$2</f>
        <v>20</v>
      </c>
      <c r="C856" s="43">
        <f>'Raw Data'!E858+Bill!$M$2</f>
        <v>25</v>
      </c>
      <c r="D856" s="43">
        <f>('Raw Data'!$F858*2)-10</f>
        <v>-10</v>
      </c>
      <c r="E856" s="43">
        <f>'Raw Data'!F858+Bill!$O$2</f>
        <v>20</v>
      </c>
      <c r="F856" s="43">
        <f>'Raw Data'!F858+Bill!$P$2</f>
        <v>25</v>
      </c>
      <c r="G856" s="43">
        <f>'Raw Data'!E858+Bill!$Q$2</f>
        <v>50</v>
      </c>
      <c r="H856" s="43">
        <f>('Raw Data'!F858+Bill!$R$2)</f>
        <v>20</v>
      </c>
      <c r="I856" s="36">
        <f>'Raw Data'!G858/100</f>
        <v>0</v>
      </c>
      <c r="K856" s="37">
        <f>Bill!$Y856</f>
        <v>46414</v>
      </c>
      <c r="L856" s="38">
        <f>Bill!$AA856*('Raw Data'!$E858+$L$2)</f>
        <v>0</v>
      </c>
      <c r="M856" s="38">
        <f>Bill!$AB856*('Raw Data'!$E858+$M$2)</f>
        <v>0</v>
      </c>
      <c r="N856" s="38">
        <f>(('Raw Data'!$F858 * 2)-10)*Bill!$AC856</f>
        <v>0</v>
      </c>
      <c r="O856" s="38">
        <f>('Raw Data'!F858+Bill!$O$2)*Bill!$AD856</f>
        <v>0</v>
      </c>
      <c r="P856" s="38">
        <f>('Raw Data'!F858+Bill!$P$2)*Bill!$AE856</f>
        <v>0</v>
      </c>
      <c r="Q856" s="38">
        <f>Bill!$Z856*('Raw Data'!$E858+$Q$2)</f>
        <v>0</v>
      </c>
      <c r="R856" s="38">
        <f>('Raw Data'!F858+Bill!$R$2)*Bill!$AF856</f>
        <v>0</v>
      </c>
      <c r="S856" s="48">
        <f>('Raw Data'!G858/100)*Bill!$AG856</f>
        <v>0</v>
      </c>
      <c r="T856" s="38">
        <f>SUM(Bill!$L856:$R856)</f>
        <v>0</v>
      </c>
      <c r="U856" s="53"/>
      <c r="V856" s="50"/>
      <c r="W856" s="38">
        <f>Bill!$U856-Bill!$T856</f>
        <v>0</v>
      </c>
      <c r="Y856" s="37">
        <f>'Raw Data'!D858</f>
        <v>46414</v>
      </c>
      <c r="Z856" s="47">
        <v>0.0</v>
      </c>
      <c r="AA856" s="47"/>
      <c r="AB856" s="47"/>
      <c r="AC856" s="47"/>
      <c r="AD856" s="47"/>
      <c r="AE856" s="47"/>
      <c r="AF856" s="47"/>
      <c r="AG856" s="47"/>
    </row>
    <row r="857" ht="15.75" customHeight="1">
      <c r="A857" s="35">
        <f>Bill!$Y857</f>
        <v>46415</v>
      </c>
      <c r="B857" s="43">
        <f>'Raw Data'!E859+Bill!$L$2</f>
        <v>20</v>
      </c>
      <c r="C857" s="43">
        <f>'Raw Data'!E859+Bill!$M$2</f>
        <v>25</v>
      </c>
      <c r="D857" s="43">
        <f>('Raw Data'!$F859*2)-10</f>
        <v>-10</v>
      </c>
      <c r="E857" s="43">
        <f>'Raw Data'!F859+Bill!$O$2</f>
        <v>20</v>
      </c>
      <c r="F857" s="43">
        <f>'Raw Data'!F859+Bill!$P$2</f>
        <v>25</v>
      </c>
      <c r="G857" s="43">
        <f>'Raw Data'!E859+Bill!$Q$2</f>
        <v>50</v>
      </c>
      <c r="H857" s="43">
        <f>('Raw Data'!F859+Bill!$R$2)</f>
        <v>20</v>
      </c>
      <c r="I857" s="36">
        <f>'Raw Data'!G859/100</f>
        <v>0</v>
      </c>
      <c r="K857" s="37">
        <f>Bill!$Y857</f>
        <v>46415</v>
      </c>
      <c r="L857" s="38">
        <f>Bill!$AA857*('Raw Data'!$E859+$L$2)</f>
        <v>0</v>
      </c>
      <c r="M857" s="38">
        <f>Bill!$AB857*('Raw Data'!$E859+$M$2)</f>
        <v>0</v>
      </c>
      <c r="N857" s="38">
        <f>(('Raw Data'!$F859 * 2)-10)*Bill!$AC857</f>
        <v>0</v>
      </c>
      <c r="O857" s="38">
        <f>('Raw Data'!F859+Bill!$O$2)*Bill!$AD857</f>
        <v>0</v>
      </c>
      <c r="P857" s="38">
        <f>('Raw Data'!F859+Bill!$P$2)*Bill!$AE857</f>
        <v>0</v>
      </c>
      <c r="Q857" s="38">
        <f>Bill!$Z857*('Raw Data'!$E859+$Q$2)</f>
        <v>0</v>
      </c>
      <c r="R857" s="38">
        <f>('Raw Data'!F859+Bill!$R$2)*Bill!$AF857</f>
        <v>0</v>
      </c>
      <c r="S857" s="48">
        <f>('Raw Data'!G859/100)*Bill!$AG857</f>
        <v>0</v>
      </c>
      <c r="T857" s="38">
        <f>SUM(Bill!$L857:$R857)</f>
        <v>0</v>
      </c>
      <c r="U857" s="53"/>
      <c r="V857" s="50"/>
      <c r="W857" s="38">
        <f>Bill!$U857-Bill!$T857</f>
        <v>0</v>
      </c>
      <c r="Y857" s="37">
        <f>'Raw Data'!D859</f>
        <v>46415</v>
      </c>
      <c r="Z857" s="47">
        <v>0.0</v>
      </c>
      <c r="AA857" s="47"/>
      <c r="AB857" s="47"/>
      <c r="AC857" s="47"/>
      <c r="AD857" s="47"/>
      <c r="AE857" s="47"/>
      <c r="AF857" s="47"/>
      <c r="AG857" s="47"/>
    </row>
    <row r="858" ht="15.75" customHeight="1">
      <c r="A858" s="35">
        <f>Bill!$Y858</f>
        <v>46416</v>
      </c>
      <c r="B858" s="43">
        <f>'Raw Data'!E860+Bill!$L$2</f>
        <v>20</v>
      </c>
      <c r="C858" s="43">
        <f>'Raw Data'!E860+Bill!$M$2</f>
        <v>25</v>
      </c>
      <c r="D858" s="43">
        <f>('Raw Data'!$F860*2)-10</f>
        <v>-10</v>
      </c>
      <c r="E858" s="43">
        <f>'Raw Data'!F860+Bill!$O$2</f>
        <v>20</v>
      </c>
      <c r="F858" s="43">
        <f>'Raw Data'!F860+Bill!$P$2</f>
        <v>25</v>
      </c>
      <c r="G858" s="43">
        <f>'Raw Data'!E860+Bill!$Q$2</f>
        <v>50</v>
      </c>
      <c r="H858" s="43">
        <f>('Raw Data'!F860+Bill!$R$2)</f>
        <v>20</v>
      </c>
      <c r="I858" s="36">
        <f>'Raw Data'!G860/100</f>
        <v>0</v>
      </c>
      <c r="K858" s="37">
        <f>Bill!$Y858</f>
        <v>46416</v>
      </c>
      <c r="L858" s="38">
        <f>Bill!$AA858*('Raw Data'!$E860+$L$2)</f>
        <v>0</v>
      </c>
      <c r="M858" s="38">
        <f>Bill!$AB858*('Raw Data'!$E860+$M$2)</f>
        <v>0</v>
      </c>
      <c r="N858" s="38">
        <f>(('Raw Data'!$F860 * 2)-10)*Bill!$AC858</f>
        <v>0</v>
      </c>
      <c r="O858" s="38">
        <f>('Raw Data'!F860+Bill!$O$2)*Bill!$AD858</f>
        <v>0</v>
      </c>
      <c r="P858" s="38">
        <f>('Raw Data'!F860+Bill!$P$2)*Bill!$AE858</f>
        <v>0</v>
      </c>
      <c r="Q858" s="38">
        <f>Bill!$Z858*('Raw Data'!$E860+$Q$2)</f>
        <v>0</v>
      </c>
      <c r="R858" s="38">
        <f>('Raw Data'!F860+Bill!$R$2)*Bill!$AF858</f>
        <v>0</v>
      </c>
      <c r="S858" s="48">
        <f>('Raw Data'!G860/100)*Bill!$AG858</f>
        <v>0</v>
      </c>
      <c r="T858" s="38">
        <f>SUM(Bill!$L858:$R858)</f>
        <v>0</v>
      </c>
      <c r="U858" s="53"/>
      <c r="V858" s="50"/>
      <c r="W858" s="38">
        <f>Bill!$U858-Bill!$T858</f>
        <v>0</v>
      </c>
      <c r="Y858" s="37">
        <f>'Raw Data'!D860</f>
        <v>46416</v>
      </c>
      <c r="Z858" s="47">
        <v>0.0</v>
      </c>
      <c r="AA858" s="47"/>
      <c r="AB858" s="47"/>
      <c r="AC858" s="47"/>
      <c r="AD858" s="47"/>
      <c r="AE858" s="47"/>
      <c r="AF858" s="47"/>
      <c r="AG858" s="47"/>
    </row>
    <row r="859" ht="15.75" customHeight="1">
      <c r="A859" s="35">
        <f>Bill!$Y859</f>
        <v>46417</v>
      </c>
      <c r="B859" s="43">
        <f>'Raw Data'!E861+Bill!$L$2</f>
        <v>20</v>
      </c>
      <c r="C859" s="43">
        <f>'Raw Data'!E861+Bill!$M$2</f>
        <v>25</v>
      </c>
      <c r="D859" s="43">
        <f>('Raw Data'!$F861*2)-10</f>
        <v>-10</v>
      </c>
      <c r="E859" s="43">
        <f>'Raw Data'!F861+Bill!$O$2</f>
        <v>20</v>
      </c>
      <c r="F859" s="43">
        <f>'Raw Data'!F861+Bill!$P$2</f>
        <v>25</v>
      </c>
      <c r="G859" s="43">
        <f>'Raw Data'!E861+Bill!$Q$2</f>
        <v>50</v>
      </c>
      <c r="H859" s="43">
        <f>('Raw Data'!F861+Bill!$R$2)</f>
        <v>20</v>
      </c>
      <c r="I859" s="36">
        <f>'Raw Data'!G861/100</f>
        <v>0</v>
      </c>
      <c r="K859" s="37">
        <f>Bill!$Y859</f>
        <v>46417</v>
      </c>
      <c r="L859" s="38">
        <f>Bill!$AA859*('Raw Data'!$E861+$L$2)</f>
        <v>0</v>
      </c>
      <c r="M859" s="38">
        <f>Bill!$AB859*('Raw Data'!$E861+$M$2)</f>
        <v>0</v>
      </c>
      <c r="N859" s="38">
        <f>(('Raw Data'!$F861 * 2)-10)*Bill!$AC859</f>
        <v>0</v>
      </c>
      <c r="O859" s="38">
        <f>('Raw Data'!F861+Bill!$O$2)*Bill!$AD859</f>
        <v>0</v>
      </c>
      <c r="P859" s="38">
        <f>('Raw Data'!F861+Bill!$P$2)*Bill!$AE859</f>
        <v>0</v>
      </c>
      <c r="Q859" s="38">
        <f>Bill!$Z859*('Raw Data'!$E861+$Q$2)</f>
        <v>0</v>
      </c>
      <c r="R859" s="38">
        <f>('Raw Data'!F861+Bill!$R$2)*Bill!$AF859</f>
        <v>0</v>
      </c>
      <c r="S859" s="48">
        <f>('Raw Data'!G861/100)*Bill!$AG859</f>
        <v>0</v>
      </c>
      <c r="T859" s="38">
        <f>SUM(Bill!$L859:$R859)</f>
        <v>0</v>
      </c>
      <c r="U859" s="53"/>
      <c r="V859" s="50"/>
      <c r="W859" s="38">
        <f>Bill!$U859-Bill!$T859</f>
        <v>0</v>
      </c>
      <c r="Y859" s="37">
        <f>'Raw Data'!D861</f>
        <v>46417</v>
      </c>
      <c r="Z859" s="47">
        <v>0.0</v>
      </c>
      <c r="AA859" s="47"/>
      <c r="AB859" s="47"/>
      <c r="AC859" s="47"/>
      <c r="AD859" s="47"/>
      <c r="AE859" s="47"/>
      <c r="AF859" s="47"/>
      <c r="AG859" s="47"/>
    </row>
    <row r="860" ht="15.75" customHeight="1">
      <c r="A860" s="35">
        <f>Bill!$Y860</f>
        <v>46418</v>
      </c>
      <c r="B860" s="43">
        <f>'Raw Data'!E862+Bill!$L$2</f>
        <v>20</v>
      </c>
      <c r="C860" s="43">
        <f>'Raw Data'!E862+Bill!$M$2</f>
        <v>25</v>
      </c>
      <c r="D860" s="43">
        <f>('Raw Data'!$F862*2)-10</f>
        <v>-10</v>
      </c>
      <c r="E860" s="43">
        <f>'Raw Data'!F862+Bill!$O$2</f>
        <v>20</v>
      </c>
      <c r="F860" s="43">
        <f>'Raw Data'!F862+Bill!$P$2</f>
        <v>25</v>
      </c>
      <c r="G860" s="43">
        <f>'Raw Data'!E862+Bill!$Q$2</f>
        <v>50</v>
      </c>
      <c r="H860" s="43">
        <f>('Raw Data'!F862+Bill!$R$2)</f>
        <v>20</v>
      </c>
      <c r="I860" s="36">
        <f>'Raw Data'!G862/100</f>
        <v>0</v>
      </c>
      <c r="K860" s="37">
        <f>Bill!$Y860</f>
        <v>46418</v>
      </c>
      <c r="L860" s="38">
        <f>Bill!$AA860*('Raw Data'!$E862+$L$2)</f>
        <v>0</v>
      </c>
      <c r="M860" s="38">
        <f>Bill!$AB860*('Raw Data'!$E862+$M$2)</f>
        <v>0</v>
      </c>
      <c r="N860" s="38">
        <f>(('Raw Data'!$F862 * 2)-10)*Bill!$AC860</f>
        <v>0</v>
      </c>
      <c r="O860" s="38">
        <f>('Raw Data'!F862+Bill!$O$2)*Bill!$AD860</f>
        <v>0</v>
      </c>
      <c r="P860" s="38">
        <f>('Raw Data'!F862+Bill!$P$2)*Bill!$AE860</f>
        <v>0</v>
      </c>
      <c r="Q860" s="38">
        <f>Bill!$Z860*('Raw Data'!$E862+$Q$2)</f>
        <v>0</v>
      </c>
      <c r="R860" s="38">
        <f>('Raw Data'!F862+Bill!$R$2)*Bill!$AF860</f>
        <v>0</v>
      </c>
      <c r="S860" s="48">
        <f>('Raw Data'!G862/100)*Bill!$AG860</f>
        <v>0</v>
      </c>
      <c r="T860" s="38">
        <f>SUM(Bill!$L860:$R860)</f>
        <v>0</v>
      </c>
      <c r="U860" s="53"/>
      <c r="V860" s="50"/>
      <c r="W860" s="38">
        <f>Bill!$U860-Bill!$T860</f>
        <v>0</v>
      </c>
      <c r="Y860" s="37">
        <f>'Raw Data'!D862</f>
        <v>46418</v>
      </c>
      <c r="Z860" s="47">
        <v>0.0</v>
      </c>
      <c r="AA860" s="47"/>
      <c r="AB860" s="47"/>
      <c r="AC860" s="47"/>
      <c r="AD860" s="47"/>
      <c r="AE860" s="47"/>
      <c r="AF860" s="47"/>
      <c r="AG860" s="47"/>
    </row>
    <row r="861" ht="15.75" customHeight="1">
      <c r="A861" s="35">
        <f>Bill!$Y861</f>
        <v>46419</v>
      </c>
      <c r="B861" s="43">
        <f>'Raw Data'!E863+Bill!$L$2</f>
        <v>20</v>
      </c>
      <c r="C861" s="43">
        <f>'Raw Data'!E863+Bill!$M$2</f>
        <v>25</v>
      </c>
      <c r="D861" s="43">
        <f>('Raw Data'!$F863*2)-10</f>
        <v>-10</v>
      </c>
      <c r="E861" s="43">
        <f>'Raw Data'!F863+Bill!$O$2</f>
        <v>20</v>
      </c>
      <c r="F861" s="43">
        <f>'Raw Data'!F863+Bill!$P$2</f>
        <v>25</v>
      </c>
      <c r="G861" s="43">
        <f>'Raw Data'!E863+Bill!$Q$2</f>
        <v>50</v>
      </c>
      <c r="H861" s="43">
        <f>('Raw Data'!F863+Bill!$R$2)</f>
        <v>20</v>
      </c>
      <c r="I861" s="36">
        <f>'Raw Data'!G863/100</f>
        <v>0</v>
      </c>
      <c r="K861" s="37">
        <f>Bill!$Y861</f>
        <v>46419</v>
      </c>
      <c r="L861" s="38">
        <f>Bill!$AA861*('Raw Data'!$E863+$L$2)</f>
        <v>0</v>
      </c>
      <c r="M861" s="38">
        <f>Bill!$AB861*('Raw Data'!$E863+$M$2)</f>
        <v>0</v>
      </c>
      <c r="N861" s="38">
        <f>(('Raw Data'!$F863 * 2)-10)*Bill!$AC861</f>
        <v>0</v>
      </c>
      <c r="O861" s="38">
        <f>('Raw Data'!F863+Bill!$O$2)*Bill!$AD861</f>
        <v>0</v>
      </c>
      <c r="P861" s="38">
        <f>('Raw Data'!F863+Bill!$P$2)*Bill!$AE861</f>
        <v>0</v>
      </c>
      <c r="Q861" s="38">
        <f>Bill!$Z861*('Raw Data'!$E863+$Q$2)</f>
        <v>0</v>
      </c>
      <c r="R861" s="38">
        <f>('Raw Data'!F863+Bill!$R$2)*Bill!$AF861</f>
        <v>0</v>
      </c>
      <c r="S861" s="48">
        <f>('Raw Data'!G863/100)*Bill!$AG861</f>
        <v>0</v>
      </c>
      <c r="T861" s="38">
        <f>SUM(Bill!$L861:$R861)</f>
        <v>0</v>
      </c>
      <c r="U861" s="53"/>
      <c r="V861" s="50"/>
      <c r="W861" s="38">
        <f>Bill!$U861-Bill!$T861</f>
        <v>0</v>
      </c>
      <c r="Y861" s="37">
        <f>'Raw Data'!D863</f>
        <v>46419</v>
      </c>
      <c r="Z861" s="47">
        <v>0.0</v>
      </c>
      <c r="AA861" s="47"/>
      <c r="AB861" s="47"/>
      <c r="AC861" s="47"/>
      <c r="AD861" s="47"/>
      <c r="AE861" s="47"/>
      <c r="AF861" s="47"/>
      <c r="AG861" s="47"/>
    </row>
    <row r="862" ht="15.75" customHeight="1">
      <c r="A862" s="35">
        <f>Bill!$Y862</f>
        <v>46420</v>
      </c>
      <c r="B862" s="43">
        <f>'Raw Data'!E864+Bill!$L$2</f>
        <v>20</v>
      </c>
      <c r="C862" s="43">
        <f>'Raw Data'!E864+Bill!$M$2</f>
        <v>25</v>
      </c>
      <c r="D862" s="43">
        <f>('Raw Data'!$F864*2)-10</f>
        <v>-10</v>
      </c>
      <c r="E862" s="43">
        <f>'Raw Data'!F864+Bill!$O$2</f>
        <v>20</v>
      </c>
      <c r="F862" s="43">
        <f>'Raw Data'!F864+Bill!$P$2</f>
        <v>25</v>
      </c>
      <c r="G862" s="43">
        <f>'Raw Data'!E864+Bill!$Q$2</f>
        <v>50</v>
      </c>
      <c r="H862" s="43">
        <f>('Raw Data'!F864+Bill!$R$2)</f>
        <v>20</v>
      </c>
      <c r="I862" s="36">
        <f>'Raw Data'!G864/100</f>
        <v>0</v>
      </c>
      <c r="K862" s="37">
        <f>Bill!$Y862</f>
        <v>46420</v>
      </c>
      <c r="L862" s="38">
        <f>Bill!$AA862*('Raw Data'!$E864+$L$2)</f>
        <v>0</v>
      </c>
      <c r="M862" s="38">
        <f>Bill!$AB862*('Raw Data'!$E864+$M$2)</f>
        <v>0</v>
      </c>
      <c r="N862" s="38">
        <f>(('Raw Data'!$F864 * 2)-10)*Bill!$AC862</f>
        <v>0</v>
      </c>
      <c r="O862" s="38">
        <f>('Raw Data'!F864+Bill!$O$2)*Bill!$AD862</f>
        <v>0</v>
      </c>
      <c r="P862" s="38">
        <f>('Raw Data'!F864+Bill!$P$2)*Bill!$AE862</f>
        <v>0</v>
      </c>
      <c r="Q862" s="38">
        <f>Bill!$Z862*('Raw Data'!$E864+$Q$2)</f>
        <v>0</v>
      </c>
      <c r="R862" s="38">
        <f>('Raw Data'!F864+Bill!$R$2)*Bill!$AF862</f>
        <v>0</v>
      </c>
      <c r="S862" s="48">
        <f>('Raw Data'!G864/100)*Bill!$AG862</f>
        <v>0</v>
      </c>
      <c r="T862" s="38">
        <f>SUM(Bill!$L862:$R862)</f>
        <v>0</v>
      </c>
      <c r="U862" s="53"/>
      <c r="V862" s="50"/>
      <c r="W862" s="38">
        <f>Bill!$U862-Bill!$T862</f>
        <v>0</v>
      </c>
      <c r="Y862" s="37">
        <f>'Raw Data'!D864</f>
        <v>46420</v>
      </c>
      <c r="Z862" s="47">
        <v>0.0</v>
      </c>
      <c r="AA862" s="47"/>
      <c r="AB862" s="47"/>
      <c r="AC862" s="47"/>
      <c r="AD862" s="47"/>
      <c r="AE862" s="47"/>
      <c r="AF862" s="47"/>
      <c r="AG862" s="47"/>
    </row>
    <row r="863" ht="15.75" customHeight="1">
      <c r="A863" s="35">
        <f>Bill!$Y863</f>
        <v>46421</v>
      </c>
      <c r="B863" s="43">
        <f>'Raw Data'!E865+Bill!$L$2</f>
        <v>20</v>
      </c>
      <c r="C863" s="43">
        <f>'Raw Data'!E865+Bill!$M$2</f>
        <v>25</v>
      </c>
      <c r="D863" s="43">
        <f>('Raw Data'!$F865*2)-10</f>
        <v>-10</v>
      </c>
      <c r="E863" s="43">
        <f>'Raw Data'!F865+Bill!$O$2</f>
        <v>20</v>
      </c>
      <c r="F863" s="43">
        <f>'Raw Data'!F865+Bill!$P$2</f>
        <v>25</v>
      </c>
      <c r="G863" s="43">
        <f>'Raw Data'!E865+Bill!$Q$2</f>
        <v>50</v>
      </c>
      <c r="H863" s="43">
        <f>('Raw Data'!F865+Bill!$R$2)</f>
        <v>20</v>
      </c>
      <c r="I863" s="36">
        <f>'Raw Data'!G865/100</f>
        <v>0</v>
      </c>
      <c r="K863" s="37">
        <f>Bill!$Y863</f>
        <v>46421</v>
      </c>
      <c r="L863" s="38">
        <f>Bill!$AA863*('Raw Data'!$E865+$L$2)</f>
        <v>0</v>
      </c>
      <c r="M863" s="38">
        <f>Bill!$AB863*('Raw Data'!$E865+$M$2)</f>
        <v>0</v>
      </c>
      <c r="N863" s="38">
        <f>(('Raw Data'!$F865 * 2)-10)*Bill!$AC863</f>
        <v>0</v>
      </c>
      <c r="O863" s="38">
        <f>('Raw Data'!F865+Bill!$O$2)*Bill!$AD863</f>
        <v>0</v>
      </c>
      <c r="P863" s="38">
        <f>('Raw Data'!F865+Bill!$P$2)*Bill!$AE863</f>
        <v>0</v>
      </c>
      <c r="Q863" s="38">
        <f>Bill!$Z863*('Raw Data'!$E865+$Q$2)</f>
        <v>0</v>
      </c>
      <c r="R863" s="38">
        <f>('Raw Data'!F865+Bill!$R$2)*Bill!$AF863</f>
        <v>0</v>
      </c>
      <c r="S863" s="48">
        <f>('Raw Data'!G865/100)*Bill!$AG863</f>
        <v>0</v>
      </c>
      <c r="T863" s="38">
        <f>SUM(Bill!$L863:$R863)</f>
        <v>0</v>
      </c>
      <c r="U863" s="53"/>
      <c r="V863" s="50"/>
      <c r="W863" s="38">
        <f>Bill!$U863-Bill!$T863</f>
        <v>0</v>
      </c>
      <c r="Y863" s="37">
        <f>'Raw Data'!D865</f>
        <v>46421</v>
      </c>
      <c r="Z863" s="47">
        <v>0.0</v>
      </c>
      <c r="AA863" s="47"/>
      <c r="AB863" s="47"/>
      <c r="AC863" s="47"/>
      <c r="AD863" s="47"/>
      <c r="AE863" s="47"/>
      <c r="AF863" s="47"/>
      <c r="AG863" s="47"/>
    </row>
    <row r="864" ht="15.75" customHeight="1">
      <c r="A864" s="35">
        <f>Bill!$Y864</f>
        <v>46422</v>
      </c>
      <c r="B864" s="43">
        <f>'Raw Data'!E866+Bill!$L$2</f>
        <v>20</v>
      </c>
      <c r="C864" s="43">
        <f>'Raw Data'!E866+Bill!$M$2</f>
        <v>25</v>
      </c>
      <c r="D864" s="43">
        <f>('Raw Data'!$F866*2)-10</f>
        <v>-10</v>
      </c>
      <c r="E864" s="43">
        <f>'Raw Data'!F866+Bill!$O$2</f>
        <v>20</v>
      </c>
      <c r="F864" s="43">
        <f>'Raw Data'!F866+Bill!$P$2</f>
        <v>25</v>
      </c>
      <c r="G864" s="43">
        <f>'Raw Data'!E866+Bill!$Q$2</f>
        <v>50</v>
      </c>
      <c r="H864" s="43">
        <f>('Raw Data'!F866+Bill!$R$2)</f>
        <v>20</v>
      </c>
      <c r="I864" s="36">
        <f>'Raw Data'!G866/100</f>
        <v>0</v>
      </c>
      <c r="K864" s="37">
        <f>Bill!$Y864</f>
        <v>46422</v>
      </c>
      <c r="L864" s="38">
        <f>Bill!$AA864*('Raw Data'!$E866+$L$2)</f>
        <v>0</v>
      </c>
      <c r="M864" s="38">
        <f>Bill!$AB864*('Raw Data'!$E866+$M$2)</f>
        <v>0</v>
      </c>
      <c r="N864" s="38">
        <f>(('Raw Data'!$F866 * 2)-10)*Bill!$AC864</f>
        <v>0</v>
      </c>
      <c r="O864" s="38">
        <f>('Raw Data'!F866+Bill!$O$2)*Bill!$AD864</f>
        <v>0</v>
      </c>
      <c r="P864" s="38">
        <f>('Raw Data'!F866+Bill!$P$2)*Bill!$AE864</f>
        <v>0</v>
      </c>
      <c r="Q864" s="38">
        <f>Bill!$Z864*('Raw Data'!$E866+$Q$2)</f>
        <v>0</v>
      </c>
      <c r="R864" s="38">
        <f>('Raw Data'!F866+Bill!$R$2)*Bill!$AF864</f>
        <v>0</v>
      </c>
      <c r="S864" s="48">
        <f>('Raw Data'!G866/100)*Bill!$AG864</f>
        <v>0</v>
      </c>
      <c r="T864" s="38">
        <f>SUM(Bill!$L864:$R864)</f>
        <v>0</v>
      </c>
      <c r="U864" s="53"/>
      <c r="V864" s="50"/>
      <c r="W864" s="38">
        <f>Bill!$U864-Bill!$T864</f>
        <v>0</v>
      </c>
      <c r="Y864" s="37">
        <f>'Raw Data'!D866</f>
        <v>46422</v>
      </c>
      <c r="Z864" s="47">
        <v>0.0</v>
      </c>
      <c r="AA864" s="47"/>
      <c r="AB864" s="47"/>
      <c r="AC864" s="47"/>
      <c r="AD864" s="47"/>
      <c r="AE864" s="47"/>
      <c r="AF864" s="47"/>
      <c r="AG864" s="47"/>
    </row>
    <row r="865" ht="15.75" customHeight="1">
      <c r="A865" s="35">
        <f>Bill!$Y865</f>
        <v>46423</v>
      </c>
      <c r="B865" s="43">
        <f>'Raw Data'!E867+Bill!$L$2</f>
        <v>20</v>
      </c>
      <c r="C865" s="43">
        <f>'Raw Data'!E867+Bill!$M$2</f>
        <v>25</v>
      </c>
      <c r="D865" s="43">
        <f>('Raw Data'!$F867*2)-10</f>
        <v>-10</v>
      </c>
      <c r="E865" s="43">
        <f>'Raw Data'!F867+Bill!$O$2</f>
        <v>20</v>
      </c>
      <c r="F865" s="43">
        <f>'Raw Data'!F867+Bill!$P$2</f>
        <v>25</v>
      </c>
      <c r="G865" s="43">
        <f>'Raw Data'!E867+Bill!$Q$2</f>
        <v>50</v>
      </c>
      <c r="H865" s="43">
        <f>('Raw Data'!F867+Bill!$R$2)</f>
        <v>20</v>
      </c>
      <c r="I865" s="36">
        <f>'Raw Data'!G867/100</f>
        <v>0</v>
      </c>
      <c r="K865" s="37">
        <f>Bill!$Y865</f>
        <v>46423</v>
      </c>
      <c r="L865" s="38">
        <f>Bill!$AA865*('Raw Data'!$E867+$L$2)</f>
        <v>0</v>
      </c>
      <c r="M865" s="38">
        <f>Bill!$AB865*('Raw Data'!$E867+$M$2)</f>
        <v>0</v>
      </c>
      <c r="N865" s="38">
        <f>(('Raw Data'!$F867 * 2)-10)*Bill!$AC865</f>
        <v>0</v>
      </c>
      <c r="O865" s="38">
        <f>('Raw Data'!F867+Bill!$O$2)*Bill!$AD865</f>
        <v>0</v>
      </c>
      <c r="P865" s="38">
        <f>('Raw Data'!F867+Bill!$P$2)*Bill!$AE865</f>
        <v>0</v>
      </c>
      <c r="Q865" s="38">
        <f>Bill!$Z865*('Raw Data'!$E867+$Q$2)</f>
        <v>0</v>
      </c>
      <c r="R865" s="38">
        <f>('Raw Data'!F867+Bill!$R$2)*Bill!$AF865</f>
        <v>0</v>
      </c>
      <c r="S865" s="48">
        <f>('Raw Data'!G867/100)*Bill!$AG865</f>
        <v>0</v>
      </c>
      <c r="T865" s="38">
        <f>SUM(Bill!$L865:$R865)</f>
        <v>0</v>
      </c>
      <c r="U865" s="53"/>
      <c r="V865" s="50"/>
      <c r="W865" s="38">
        <f>Bill!$U865-Bill!$T865</f>
        <v>0</v>
      </c>
      <c r="Y865" s="37">
        <f>'Raw Data'!D867</f>
        <v>46423</v>
      </c>
      <c r="Z865" s="47">
        <v>0.0</v>
      </c>
      <c r="AA865" s="47"/>
      <c r="AB865" s="47"/>
      <c r="AC865" s="47"/>
      <c r="AD865" s="47"/>
      <c r="AE865" s="47"/>
      <c r="AF865" s="47"/>
      <c r="AG865" s="47"/>
    </row>
    <row r="866" ht="15.75" customHeight="1">
      <c r="A866" s="35">
        <f>Bill!$Y866</f>
        <v>46424</v>
      </c>
      <c r="B866" s="43">
        <f>'Raw Data'!E868+Bill!$L$2</f>
        <v>20</v>
      </c>
      <c r="C866" s="43">
        <f>'Raw Data'!E868+Bill!$M$2</f>
        <v>25</v>
      </c>
      <c r="D866" s="43">
        <f>('Raw Data'!$F868*2)-10</f>
        <v>-10</v>
      </c>
      <c r="E866" s="43">
        <f>'Raw Data'!F868+Bill!$O$2</f>
        <v>20</v>
      </c>
      <c r="F866" s="43">
        <f>'Raw Data'!F868+Bill!$P$2</f>
        <v>25</v>
      </c>
      <c r="G866" s="43">
        <f>'Raw Data'!E868+Bill!$Q$2</f>
        <v>50</v>
      </c>
      <c r="H866" s="43">
        <f>('Raw Data'!F868+Bill!$R$2)</f>
        <v>20</v>
      </c>
      <c r="I866" s="36">
        <f>'Raw Data'!G868/100</f>
        <v>0</v>
      </c>
      <c r="K866" s="37">
        <f>Bill!$Y866</f>
        <v>46424</v>
      </c>
      <c r="L866" s="38">
        <f>Bill!$AA866*('Raw Data'!$E868+$L$2)</f>
        <v>0</v>
      </c>
      <c r="M866" s="38">
        <f>Bill!$AB866*('Raw Data'!$E868+$M$2)</f>
        <v>0</v>
      </c>
      <c r="N866" s="38">
        <f>(('Raw Data'!$F868 * 2)-10)*Bill!$AC866</f>
        <v>0</v>
      </c>
      <c r="O866" s="38">
        <f>('Raw Data'!F868+Bill!$O$2)*Bill!$AD866</f>
        <v>0</v>
      </c>
      <c r="P866" s="38">
        <f>('Raw Data'!F868+Bill!$P$2)*Bill!$AE866</f>
        <v>0</v>
      </c>
      <c r="Q866" s="38">
        <f>Bill!$Z866*('Raw Data'!$E868+$Q$2)</f>
        <v>0</v>
      </c>
      <c r="R866" s="38">
        <f>('Raw Data'!F868+Bill!$R$2)*Bill!$AF866</f>
        <v>0</v>
      </c>
      <c r="S866" s="48">
        <f>('Raw Data'!G868/100)*Bill!$AG866</f>
        <v>0</v>
      </c>
      <c r="T866" s="38">
        <f>SUM(Bill!$L866:$R866)</f>
        <v>0</v>
      </c>
      <c r="U866" s="53"/>
      <c r="V866" s="50"/>
      <c r="W866" s="38">
        <f>Bill!$U866-Bill!$T866</f>
        <v>0</v>
      </c>
      <c r="Y866" s="37">
        <f>'Raw Data'!D868</f>
        <v>46424</v>
      </c>
      <c r="Z866" s="47">
        <v>0.0</v>
      </c>
      <c r="AA866" s="47"/>
      <c r="AB866" s="47"/>
      <c r="AC866" s="47"/>
      <c r="AD866" s="47"/>
      <c r="AE866" s="47"/>
      <c r="AF866" s="47"/>
      <c r="AG866" s="47"/>
    </row>
    <row r="867" ht="15.75" customHeight="1">
      <c r="A867" s="35">
        <f>Bill!$Y867</f>
        <v>46425</v>
      </c>
      <c r="B867" s="43">
        <f>'Raw Data'!E869+Bill!$L$2</f>
        <v>20</v>
      </c>
      <c r="C867" s="43">
        <f>'Raw Data'!E869+Bill!$M$2</f>
        <v>25</v>
      </c>
      <c r="D867" s="43">
        <f>('Raw Data'!$F869*2)-10</f>
        <v>-10</v>
      </c>
      <c r="E867" s="43">
        <f>'Raw Data'!F869+Bill!$O$2</f>
        <v>20</v>
      </c>
      <c r="F867" s="43">
        <f>'Raw Data'!F869+Bill!$P$2</f>
        <v>25</v>
      </c>
      <c r="G867" s="43">
        <f>'Raw Data'!E869+Bill!$Q$2</f>
        <v>50</v>
      </c>
      <c r="H867" s="43">
        <f>('Raw Data'!F869+Bill!$R$2)</f>
        <v>20</v>
      </c>
      <c r="I867" s="36">
        <f>'Raw Data'!G869/100</f>
        <v>0</v>
      </c>
      <c r="K867" s="37">
        <f>Bill!$Y867</f>
        <v>46425</v>
      </c>
      <c r="L867" s="38">
        <f>Bill!$AA867*('Raw Data'!$E869+$L$2)</f>
        <v>0</v>
      </c>
      <c r="M867" s="38">
        <f>Bill!$AB867*('Raw Data'!$E869+$M$2)</f>
        <v>0</v>
      </c>
      <c r="N867" s="38">
        <f>(('Raw Data'!$F869 * 2)-10)*Bill!$AC867</f>
        <v>0</v>
      </c>
      <c r="O867" s="38">
        <f>('Raw Data'!F869+Bill!$O$2)*Bill!$AD867</f>
        <v>0</v>
      </c>
      <c r="P867" s="38">
        <f>('Raw Data'!F869+Bill!$P$2)*Bill!$AE867</f>
        <v>0</v>
      </c>
      <c r="Q867" s="38">
        <f>Bill!$Z867*('Raw Data'!$E869+$Q$2)</f>
        <v>0</v>
      </c>
      <c r="R867" s="38">
        <f>('Raw Data'!F869+Bill!$R$2)*Bill!$AF867</f>
        <v>0</v>
      </c>
      <c r="S867" s="48">
        <f>('Raw Data'!G869/100)*Bill!$AG867</f>
        <v>0</v>
      </c>
      <c r="T867" s="38">
        <f>SUM(Bill!$L867:$R867)</f>
        <v>0</v>
      </c>
      <c r="U867" s="53"/>
      <c r="V867" s="50"/>
      <c r="W867" s="38">
        <f>Bill!$U867-Bill!$T867</f>
        <v>0</v>
      </c>
      <c r="Y867" s="37">
        <f>'Raw Data'!D869</f>
        <v>46425</v>
      </c>
      <c r="Z867" s="47">
        <v>0.0</v>
      </c>
      <c r="AA867" s="47"/>
      <c r="AB867" s="47"/>
      <c r="AC867" s="47"/>
      <c r="AD867" s="47"/>
      <c r="AE867" s="47"/>
      <c r="AF867" s="47"/>
      <c r="AG867" s="47"/>
    </row>
    <row r="868" ht="15.75" customHeight="1">
      <c r="A868" s="35">
        <f>Bill!$Y868</f>
        <v>46426</v>
      </c>
      <c r="B868" s="43">
        <f>'Raw Data'!E870+Bill!$L$2</f>
        <v>20</v>
      </c>
      <c r="C868" s="43">
        <f>'Raw Data'!E870+Bill!$M$2</f>
        <v>25</v>
      </c>
      <c r="D868" s="43">
        <f>('Raw Data'!$F870*2)-10</f>
        <v>-10</v>
      </c>
      <c r="E868" s="43">
        <f>'Raw Data'!F870+Bill!$O$2</f>
        <v>20</v>
      </c>
      <c r="F868" s="43">
        <f>'Raw Data'!F870+Bill!$P$2</f>
        <v>25</v>
      </c>
      <c r="G868" s="43">
        <f>'Raw Data'!E870+Bill!$Q$2</f>
        <v>50</v>
      </c>
      <c r="H868" s="43">
        <f>('Raw Data'!F870+Bill!$R$2)</f>
        <v>20</v>
      </c>
      <c r="I868" s="36">
        <f>'Raw Data'!G870/100</f>
        <v>0</v>
      </c>
      <c r="K868" s="37">
        <f>Bill!$Y868</f>
        <v>46426</v>
      </c>
      <c r="L868" s="38">
        <f>Bill!$AA868*('Raw Data'!$E870+$L$2)</f>
        <v>0</v>
      </c>
      <c r="M868" s="38">
        <f>Bill!$AB868*('Raw Data'!$E870+$M$2)</f>
        <v>0</v>
      </c>
      <c r="N868" s="38">
        <f>(('Raw Data'!$F870 * 2)-10)*Bill!$AC868</f>
        <v>0</v>
      </c>
      <c r="O868" s="38">
        <f>('Raw Data'!F870+Bill!$O$2)*Bill!$AD868</f>
        <v>0</v>
      </c>
      <c r="P868" s="38">
        <f>('Raw Data'!F870+Bill!$P$2)*Bill!$AE868</f>
        <v>0</v>
      </c>
      <c r="Q868" s="38">
        <f>Bill!$Z868*('Raw Data'!$E870+$Q$2)</f>
        <v>0</v>
      </c>
      <c r="R868" s="38">
        <f>('Raw Data'!F870+Bill!$R$2)*Bill!$AF868</f>
        <v>0</v>
      </c>
      <c r="S868" s="48">
        <f>('Raw Data'!G870/100)*Bill!$AG868</f>
        <v>0</v>
      </c>
      <c r="T868" s="38">
        <f>SUM(Bill!$L868:$R868)</f>
        <v>0</v>
      </c>
      <c r="U868" s="53"/>
      <c r="V868" s="50"/>
      <c r="W868" s="38">
        <f>Bill!$U868-Bill!$T868</f>
        <v>0</v>
      </c>
      <c r="Y868" s="37">
        <f>'Raw Data'!D870</f>
        <v>46426</v>
      </c>
      <c r="Z868" s="47">
        <v>0.0</v>
      </c>
      <c r="AA868" s="47"/>
      <c r="AB868" s="47"/>
      <c r="AC868" s="47"/>
      <c r="AD868" s="47"/>
      <c r="AE868" s="47"/>
      <c r="AF868" s="47"/>
      <c r="AG868" s="47"/>
    </row>
    <row r="869" ht="15.75" customHeight="1">
      <c r="A869" s="35">
        <f>Bill!$Y869</f>
        <v>46427</v>
      </c>
      <c r="B869" s="43">
        <f>'Raw Data'!E871+Bill!$L$2</f>
        <v>20</v>
      </c>
      <c r="C869" s="43">
        <f>'Raw Data'!E871+Bill!$M$2</f>
        <v>25</v>
      </c>
      <c r="D869" s="43">
        <f>('Raw Data'!$F871*2)-10</f>
        <v>-10</v>
      </c>
      <c r="E869" s="43">
        <f>'Raw Data'!F871+Bill!$O$2</f>
        <v>20</v>
      </c>
      <c r="F869" s="43">
        <f>'Raw Data'!F871+Bill!$P$2</f>
        <v>25</v>
      </c>
      <c r="G869" s="43">
        <f>'Raw Data'!E871+Bill!$Q$2</f>
        <v>50</v>
      </c>
      <c r="H869" s="43">
        <f>('Raw Data'!F871+Bill!$R$2)</f>
        <v>20</v>
      </c>
      <c r="I869" s="36">
        <f>'Raw Data'!G871/100</f>
        <v>0</v>
      </c>
      <c r="K869" s="37">
        <f>Bill!$Y869</f>
        <v>46427</v>
      </c>
      <c r="L869" s="38">
        <f>Bill!$AA869*('Raw Data'!$E871+$L$2)</f>
        <v>0</v>
      </c>
      <c r="M869" s="38">
        <f>Bill!$AB869*('Raw Data'!$E871+$M$2)</f>
        <v>0</v>
      </c>
      <c r="N869" s="38">
        <f>(('Raw Data'!$F871 * 2)-10)*Bill!$AC869</f>
        <v>0</v>
      </c>
      <c r="O869" s="38">
        <f>('Raw Data'!F871+Bill!$O$2)*Bill!$AD869</f>
        <v>0</v>
      </c>
      <c r="P869" s="38">
        <f>('Raw Data'!F871+Bill!$P$2)*Bill!$AE869</f>
        <v>0</v>
      </c>
      <c r="Q869" s="38">
        <f>Bill!$Z869*('Raw Data'!$E871+$Q$2)</f>
        <v>0</v>
      </c>
      <c r="R869" s="38">
        <f>('Raw Data'!F871+Bill!$R$2)*Bill!$AF869</f>
        <v>0</v>
      </c>
      <c r="S869" s="48">
        <f>('Raw Data'!G871/100)*Bill!$AG869</f>
        <v>0</v>
      </c>
      <c r="T869" s="38">
        <f>SUM(Bill!$L869:$R869)</f>
        <v>0</v>
      </c>
      <c r="U869" s="53"/>
      <c r="V869" s="50"/>
      <c r="W869" s="38">
        <f>Bill!$U869-Bill!$T869</f>
        <v>0</v>
      </c>
      <c r="Y869" s="37">
        <f>'Raw Data'!D871</f>
        <v>46427</v>
      </c>
      <c r="Z869" s="47">
        <v>0.0</v>
      </c>
      <c r="AA869" s="47"/>
      <c r="AB869" s="47"/>
      <c r="AC869" s="47"/>
      <c r="AD869" s="47"/>
      <c r="AE869" s="47"/>
      <c r="AF869" s="47"/>
      <c r="AG869" s="47"/>
    </row>
    <row r="870" ht="15.75" customHeight="1">
      <c r="A870" s="35">
        <f>Bill!$Y870</f>
        <v>46428</v>
      </c>
      <c r="B870" s="43">
        <f>'Raw Data'!E872+Bill!$L$2</f>
        <v>20</v>
      </c>
      <c r="C870" s="43">
        <f>'Raw Data'!E872+Bill!$M$2</f>
        <v>25</v>
      </c>
      <c r="D870" s="43">
        <f>('Raw Data'!$F872*2)-10</f>
        <v>-10</v>
      </c>
      <c r="E870" s="43">
        <f>'Raw Data'!F872+Bill!$O$2</f>
        <v>20</v>
      </c>
      <c r="F870" s="43">
        <f>'Raw Data'!F872+Bill!$P$2</f>
        <v>25</v>
      </c>
      <c r="G870" s="43">
        <f>'Raw Data'!E872+Bill!$Q$2</f>
        <v>50</v>
      </c>
      <c r="H870" s="43">
        <f>('Raw Data'!F872+Bill!$R$2)</f>
        <v>20</v>
      </c>
      <c r="I870" s="36">
        <f>'Raw Data'!G872/100</f>
        <v>0</v>
      </c>
      <c r="K870" s="37">
        <f>Bill!$Y870</f>
        <v>46428</v>
      </c>
      <c r="L870" s="38">
        <f>Bill!$AA870*('Raw Data'!$E872+$L$2)</f>
        <v>0</v>
      </c>
      <c r="M870" s="38">
        <f>Bill!$AB870*('Raw Data'!$E872+$M$2)</f>
        <v>0</v>
      </c>
      <c r="N870" s="38">
        <f>(('Raw Data'!$F872 * 2)-10)*Bill!$AC870</f>
        <v>0</v>
      </c>
      <c r="O870" s="38">
        <f>('Raw Data'!F872+Bill!$O$2)*Bill!$AD870</f>
        <v>0</v>
      </c>
      <c r="P870" s="38">
        <f>('Raw Data'!F872+Bill!$P$2)*Bill!$AE870</f>
        <v>0</v>
      </c>
      <c r="Q870" s="38">
        <f>Bill!$Z870*('Raw Data'!$E872+$Q$2)</f>
        <v>0</v>
      </c>
      <c r="R870" s="38">
        <f>('Raw Data'!F872+Bill!$R$2)*Bill!$AF870</f>
        <v>0</v>
      </c>
      <c r="S870" s="48">
        <f>('Raw Data'!G872/100)*Bill!$AG870</f>
        <v>0</v>
      </c>
      <c r="T870" s="38">
        <f>SUM(Bill!$L870:$R870)</f>
        <v>0</v>
      </c>
      <c r="U870" s="53"/>
      <c r="V870" s="50"/>
      <c r="W870" s="38">
        <f>Bill!$U870-Bill!$T870</f>
        <v>0</v>
      </c>
      <c r="Y870" s="37">
        <f>'Raw Data'!D872</f>
        <v>46428</v>
      </c>
      <c r="Z870" s="47">
        <v>0.0</v>
      </c>
      <c r="AA870" s="47"/>
      <c r="AB870" s="47"/>
      <c r="AC870" s="47"/>
      <c r="AD870" s="47"/>
      <c r="AE870" s="47"/>
      <c r="AF870" s="47"/>
      <c r="AG870" s="47"/>
    </row>
    <row r="871" ht="15.75" customHeight="1">
      <c r="A871" s="35">
        <f>Bill!$Y871</f>
        <v>46429</v>
      </c>
      <c r="B871" s="43">
        <f>'Raw Data'!E873+Bill!$L$2</f>
        <v>20</v>
      </c>
      <c r="C871" s="43">
        <f>'Raw Data'!E873+Bill!$M$2</f>
        <v>25</v>
      </c>
      <c r="D871" s="43">
        <f>('Raw Data'!$F873*2)-10</f>
        <v>-10</v>
      </c>
      <c r="E871" s="43">
        <f>'Raw Data'!F873+Bill!$O$2</f>
        <v>20</v>
      </c>
      <c r="F871" s="43">
        <f>'Raw Data'!F873+Bill!$P$2</f>
        <v>25</v>
      </c>
      <c r="G871" s="43">
        <f>'Raw Data'!E873+Bill!$Q$2</f>
        <v>50</v>
      </c>
      <c r="H871" s="43">
        <f>('Raw Data'!F873+Bill!$R$2)</f>
        <v>20</v>
      </c>
      <c r="I871" s="36">
        <f>'Raw Data'!G873/100</f>
        <v>0</v>
      </c>
      <c r="K871" s="37">
        <f>Bill!$Y871</f>
        <v>46429</v>
      </c>
      <c r="L871" s="38">
        <f>Bill!$AA871*('Raw Data'!$E873+$L$2)</f>
        <v>0</v>
      </c>
      <c r="M871" s="38">
        <f>Bill!$AB871*('Raw Data'!$E873+$M$2)</f>
        <v>0</v>
      </c>
      <c r="N871" s="38">
        <f>(('Raw Data'!$F873 * 2)-10)*Bill!$AC871</f>
        <v>0</v>
      </c>
      <c r="O871" s="38">
        <f>('Raw Data'!F873+Bill!$O$2)*Bill!$AD871</f>
        <v>0</v>
      </c>
      <c r="P871" s="38">
        <f>('Raw Data'!F873+Bill!$P$2)*Bill!$AE871</f>
        <v>0</v>
      </c>
      <c r="Q871" s="38">
        <f>Bill!$Z871*('Raw Data'!$E873+$Q$2)</f>
        <v>0</v>
      </c>
      <c r="R871" s="38">
        <f>('Raw Data'!F873+Bill!$R$2)*Bill!$AF871</f>
        <v>0</v>
      </c>
      <c r="S871" s="48">
        <f>('Raw Data'!G873/100)*Bill!$AG871</f>
        <v>0</v>
      </c>
      <c r="T871" s="38">
        <f>SUM(Bill!$L871:$R871)</f>
        <v>0</v>
      </c>
      <c r="U871" s="53"/>
      <c r="V871" s="50"/>
      <c r="W871" s="38">
        <f>Bill!$U871-Bill!$T871</f>
        <v>0</v>
      </c>
      <c r="Y871" s="37">
        <f>'Raw Data'!D873</f>
        <v>46429</v>
      </c>
      <c r="Z871" s="47">
        <v>0.0</v>
      </c>
      <c r="AA871" s="47"/>
      <c r="AB871" s="47"/>
      <c r="AC871" s="47"/>
      <c r="AD871" s="47"/>
      <c r="AE871" s="47"/>
      <c r="AF871" s="47"/>
      <c r="AG871" s="47"/>
    </row>
    <row r="872" ht="15.75" customHeight="1">
      <c r="A872" s="35">
        <f>Bill!$Y872</f>
        <v>46430</v>
      </c>
      <c r="B872" s="43">
        <f>'Raw Data'!E874+Bill!$L$2</f>
        <v>20</v>
      </c>
      <c r="C872" s="43">
        <f>'Raw Data'!E874+Bill!$M$2</f>
        <v>25</v>
      </c>
      <c r="D872" s="43">
        <f>('Raw Data'!$F874*2)-10</f>
        <v>-10</v>
      </c>
      <c r="E872" s="43">
        <f>'Raw Data'!F874+Bill!$O$2</f>
        <v>20</v>
      </c>
      <c r="F872" s="43">
        <f>'Raw Data'!F874+Bill!$P$2</f>
        <v>25</v>
      </c>
      <c r="G872" s="43">
        <f>'Raw Data'!E874+Bill!$Q$2</f>
        <v>50</v>
      </c>
      <c r="H872" s="43">
        <f>('Raw Data'!F874+Bill!$R$2)</f>
        <v>20</v>
      </c>
      <c r="I872" s="36">
        <f>'Raw Data'!G874/100</f>
        <v>0</v>
      </c>
      <c r="K872" s="37">
        <f>Bill!$Y872</f>
        <v>46430</v>
      </c>
      <c r="L872" s="38">
        <f>Bill!$AA872*('Raw Data'!$E874+$L$2)</f>
        <v>0</v>
      </c>
      <c r="M872" s="38">
        <f>Bill!$AB872*('Raw Data'!$E874+$M$2)</f>
        <v>0</v>
      </c>
      <c r="N872" s="38">
        <f>(('Raw Data'!$F874 * 2)-10)*Bill!$AC872</f>
        <v>0</v>
      </c>
      <c r="O872" s="38">
        <f>('Raw Data'!F874+Bill!$O$2)*Bill!$AD872</f>
        <v>0</v>
      </c>
      <c r="P872" s="38">
        <f>('Raw Data'!F874+Bill!$P$2)*Bill!$AE872</f>
        <v>0</v>
      </c>
      <c r="Q872" s="38">
        <f>Bill!$Z872*('Raw Data'!$E874+$Q$2)</f>
        <v>0</v>
      </c>
      <c r="R872" s="38">
        <f>('Raw Data'!F874+Bill!$R$2)*Bill!$AF872</f>
        <v>0</v>
      </c>
      <c r="S872" s="48">
        <f>('Raw Data'!G874/100)*Bill!$AG872</f>
        <v>0</v>
      </c>
      <c r="T872" s="38">
        <f>SUM(Bill!$L872:$R872)</f>
        <v>0</v>
      </c>
      <c r="U872" s="53"/>
      <c r="V872" s="50"/>
      <c r="W872" s="38">
        <f>Bill!$U872-Bill!$T872</f>
        <v>0</v>
      </c>
      <c r="Y872" s="37">
        <f>'Raw Data'!D874</f>
        <v>46430</v>
      </c>
      <c r="Z872" s="47">
        <v>0.0</v>
      </c>
      <c r="AA872" s="47"/>
      <c r="AB872" s="47"/>
      <c r="AC872" s="47"/>
      <c r="AD872" s="47"/>
      <c r="AE872" s="47"/>
      <c r="AF872" s="47"/>
      <c r="AG872" s="47"/>
    </row>
    <row r="873" ht="15.75" customHeight="1">
      <c r="A873" s="35">
        <f>Bill!$Y873</f>
        <v>46431</v>
      </c>
      <c r="B873" s="43">
        <f>'Raw Data'!E875+Bill!$L$2</f>
        <v>20</v>
      </c>
      <c r="C873" s="43">
        <f>'Raw Data'!E875+Bill!$M$2</f>
        <v>25</v>
      </c>
      <c r="D873" s="43">
        <f>('Raw Data'!$F875*2)-10</f>
        <v>-10</v>
      </c>
      <c r="E873" s="43">
        <f>'Raw Data'!F875+Bill!$O$2</f>
        <v>20</v>
      </c>
      <c r="F873" s="43">
        <f>'Raw Data'!F875+Bill!$P$2</f>
        <v>25</v>
      </c>
      <c r="G873" s="43">
        <f>'Raw Data'!E875+Bill!$Q$2</f>
        <v>50</v>
      </c>
      <c r="H873" s="43">
        <f>('Raw Data'!F875+Bill!$R$2)</f>
        <v>20</v>
      </c>
      <c r="I873" s="36">
        <f>'Raw Data'!G875/100</f>
        <v>0</v>
      </c>
      <c r="K873" s="37">
        <f>Bill!$Y873</f>
        <v>46431</v>
      </c>
      <c r="L873" s="38">
        <f>Bill!$AA873*('Raw Data'!$E875+$L$2)</f>
        <v>0</v>
      </c>
      <c r="M873" s="38">
        <f>Bill!$AB873*('Raw Data'!$E875+$M$2)</f>
        <v>0</v>
      </c>
      <c r="N873" s="38">
        <f>(('Raw Data'!$F875 * 2)-10)*Bill!$AC873</f>
        <v>0</v>
      </c>
      <c r="O873" s="38">
        <f>('Raw Data'!F875+Bill!$O$2)*Bill!$AD873</f>
        <v>0</v>
      </c>
      <c r="P873" s="38">
        <f>('Raw Data'!F875+Bill!$P$2)*Bill!$AE873</f>
        <v>0</v>
      </c>
      <c r="Q873" s="38">
        <f>Bill!$Z873*('Raw Data'!$E875+$Q$2)</f>
        <v>0</v>
      </c>
      <c r="R873" s="38">
        <f>('Raw Data'!F875+Bill!$R$2)*Bill!$AF873</f>
        <v>0</v>
      </c>
      <c r="S873" s="48">
        <f>('Raw Data'!G875/100)*Bill!$AG873</f>
        <v>0</v>
      </c>
      <c r="T873" s="38">
        <f>SUM(Bill!$L873:$R873)</f>
        <v>0</v>
      </c>
      <c r="U873" s="53"/>
      <c r="V873" s="50"/>
      <c r="W873" s="38">
        <f>Bill!$U873-Bill!$T873</f>
        <v>0</v>
      </c>
      <c r="Y873" s="37">
        <f>'Raw Data'!D875</f>
        <v>46431</v>
      </c>
      <c r="Z873" s="47">
        <v>0.0</v>
      </c>
      <c r="AA873" s="47"/>
      <c r="AB873" s="47"/>
      <c r="AC873" s="47"/>
      <c r="AD873" s="47"/>
      <c r="AE873" s="47"/>
      <c r="AF873" s="47"/>
      <c r="AG873" s="47"/>
    </row>
    <row r="874" ht="15.75" customHeight="1">
      <c r="A874" s="35">
        <f>Bill!$Y874</f>
        <v>46432</v>
      </c>
      <c r="B874" s="43">
        <f>'Raw Data'!E876+Bill!$L$2</f>
        <v>20</v>
      </c>
      <c r="C874" s="43">
        <f>'Raw Data'!E876+Bill!$M$2</f>
        <v>25</v>
      </c>
      <c r="D874" s="43">
        <f>('Raw Data'!$F876*2)-10</f>
        <v>-10</v>
      </c>
      <c r="E874" s="43">
        <f>'Raw Data'!F876+Bill!$O$2</f>
        <v>20</v>
      </c>
      <c r="F874" s="43">
        <f>'Raw Data'!F876+Bill!$P$2</f>
        <v>25</v>
      </c>
      <c r="G874" s="43">
        <f>'Raw Data'!E876+Bill!$Q$2</f>
        <v>50</v>
      </c>
      <c r="H874" s="43">
        <f>('Raw Data'!F876+Bill!$R$2)</f>
        <v>20</v>
      </c>
      <c r="I874" s="36">
        <f>'Raw Data'!G876/100</f>
        <v>0</v>
      </c>
      <c r="K874" s="37">
        <f>Bill!$Y874</f>
        <v>46432</v>
      </c>
      <c r="L874" s="38">
        <f>Bill!$AA874*('Raw Data'!$E876+$L$2)</f>
        <v>0</v>
      </c>
      <c r="M874" s="38">
        <f>Bill!$AB874*('Raw Data'!$E876+$M$2)</f>
        <v>0</v>
      </c>
      <c r="N874" s="38">
        <f>(('Raw Data'!$F876 * 2)-10)*Bill!$AC874</f>
        <v>0</v>
      </c>
      <c r="O874" s="38">
        <f>('Raw Data'!F876+Bill!$O$2)*Bill!$AD874</f>
        <v>0</v>
      </c>
      <c r="P874" s="38">
        <f>('Raw Data'!F876+Bill!$P$2)*Bill!$AE874</f>
        <v>0</v>
      </c>
      <c r="Q874" s="38">
        <f>Bill!$Z874*('Raw Data'!$E876+$Q$2)</f>
        <v>0</v>
      </c>
      <c r="R874" s="38">
        <f>('Raw Data'!F876+Bill!$R$2)*Bill!$AF874</f>
        <v>0</v>
      </c>
      <c r="S874" s="48">
        <f>('Raw Data'!G876/100)*Bill!$AG874</f>
        <v>0</v>
      </c>
      <c r="T874" s="38">
        <f>SUM(Bill!$L874:$R874)</f>
        <v>0</v>
      </c>
      <c r="U874" s="53"/>
      <c r="V874" s="50"/>
      <c r="W874" s="38">
        <f>Bill!$U874-Bill!$T874</f>
        <v>0</v>
      </c>
      <c r="Y874" s="37">
        <f>'Raw Data'!D876</f>
        <v>46432</v>
      </c>
      <c r="Z874" s="47">
        <v>0.0</v>
      </c>
      <c r="AA874" s="47"/>
      <c r="AB874" s="47"/>
      <c r="AC874" s="47"/>
      <c r="AD874" s="47"/>
      <c r="AE874" s="47"/>
      <c r="AF874" s="47"/>
      <c r="AG874" s="47"/>
    </row>
    <row r="875" ht="15.75" customHeight="1">
      <c r="A875" s="35">
        <f>Bill!$Y875</f>
        <v>46433</v>
      </c>
      <c r="B875" s="43">
        <f>'Raw Data'!E877+Bill!$L$2</f>
        <v>20</v>
      </c>
      <c r="C875" s="43">
        <f>'Raw Data'!E877+Bill!$M$2</f>
        <v>25</v>
      </c>
      <c r="D875" s="43">
        <f>('Raw Data'!$F877*2)-10</f>
        <v>-10</v>
      </c>
      <c r="E875" s="43">
        <f>'Raw Data'!F877+Bill!$O$2</f>
        <v>20</v>
      </c>
      <c r="F875" s="43">
        <f>'Raw Data'!F877+Bill!$P$2</f>
        <v>25</v>
      </c>
      <c r="G875" s="43">
        <f>'Raw Data'!E877+Bill!$Q$2</f>
        <v>50</v>
      </c>
      <c r="H875" s="43">
        <f>('Raw Data'!F877+Bill!$R$2)</f>
        <v>20</v>
      </c>
      <c r="I875" s="36">
        <f>'Raw Data'!G877/100</f>
        <v>0</v>
      </c>
      <c r="K875" s="37">
        <f>Bill!$Y875</f>
        <v>46433</v>
      </c>
      <c r="L875" s="38">
        <f>Bill!$AA875*('Raw Data'!$E877+$L$2)</f>
        <v>0</v>
      </c>
      <c r="M875" s="38">
        <f>Bill!$AB875*('Raw Data'!$E877+$M$2)</f>
        <v>0</v>
      </c>
      <c r="N875" s="38">
        <f>(('Raw Data'!$F877 * 2)-10)*Bill!$AC875</f>
        <v>0</v>
      </c>
      <c r="O875" s="38">
        <f>('Raw Data'!F877+Bill!$O$2)*Bill!$AD875</f>
        <v>0</v>
      </c>
      <c r="P875" s="38">
        <f>('Raw Data'!F877+Bill!$P$2)*Bill!$AE875</f>
        <v>0</v>
      </c>
      <c r="Q875" s="38">
        <f>Bill!$Z875*('Raw Data'!$E877+$Q$2)</f>
        <v>0</v>
      </c>
      <c r="R875" s="38">
        <f>('Raw Data'!F877+Bill!$R$2)*Bill!$AF875</f>
        <v>0</v>
      </c>
      <c r="S875" s="48">
        <f>('Raw Data'!G877/100)*Bill!$AG875</f>
        <v>0</v>
      </c>
      <c r="T875" s="38">
        <f>SUM(Bill!$L875:$R875)</f>
        <v>0</v>
      </c>
      <c r="U875" s="53"/>
      <c r="V875" s="50"/>
      <c r="W875" s="38">
        <f>Bill!$U875-Bill!$T875</f>
        <v>0</v>
      </c>
      <c r="Y875" s="37">
        <f>'Raw Data'!D877</f>
        <v>46433</v>
      </c>
      <c r="Z875" s="47">
        <v>0.0</v>
      </c>
      <c r="AA875" s="47"/>
      <c r="AB875" s="47"/>
      <c r="AC875" s="47"/>
      <c r="AD875" s="47"/>
      <c r="AE875" s="47"/>
      <c r="AF875" s="47"/>
      <c r="AG875" s="47"/>
    </row>
    <row r="876" ht="15.75" customHeight="1">
      <c r="A876" s="35">
        <f>Bill!$Y876</f>
        <v>46434</v>
      </c>
      <c r="B876" s="43">
        <f>'Raw Data'!E878+Bill!$L$2</f>
        <v>20</v>
      </c>
      <c r="C876" s="43">
        <f>'Raw Data'!E878+Bill!$M$2</f>
        <v>25</v>
      </c>
      <c r="D876" s="43">
        <f>('Raw Data'!$F878*2)-10</f>
        <v>-10</v>
      </c>
      <c r="E876" s="43">
        <f>'Raw Data'!F878+Bill!$O$2</f>
        <v>20</v>
      </c>
      <c r="F876" s="43">
        <f>'Raw Data'!F878+Bill!$P$2</f>
        <v>25</v>
      </c>
      <c r="G876" s="43">
        <f>'Raw Data'!E878+Bill!$Q$2</f>
        <v>50</v>
      </c>
      <c r="H876" s="43">
        <f>('Raw Data'!F878+Bill!$R$2)</f>
        <v>20</v>
      </c>
      <c r="I876" s="36">
        <f>'Raw Data'!G878/100</f>
        <v>0</v>
      </c>
      <c r="K876" s="37">
        <f>Bill!$Y876</f>
        <v>46434</v>
      </c>
      <c r="L876" s="38">
        <f>Bill!$AA876*('Raw Data'!$E878+$L$2)</f>
        <v>0</v>
      </c>
      <c r="M876" s="38">
        <f>Bill!$AB876*('Raw Data'!$E878+$M$2)</f>
        <v>0</v>
      </c>
      <c r="N876" s="38">
        <f>(('Raw Data'!$F878 * 2)-10)*Bill!$AC876</f>
        <v>0</v>
      </c>
      <c r="O876" s="38">
        <f>('Raw Data'!F878+Bill!$O$2)*Bill!$AD876</f>
        <v>0</v>
      </c>
      <c r="P876" s="38">
        <f>('Raw Data'!F878+Bill!$P$2)*Bill!$AE876</f>
        <v>0</v>
      </c>
      <c r="Q876" s="38">
        <f>Bill!$Z876*('Raw Data'!$E878+$Q$2)</f>
        <v>0</v>
      </c>
      <c r="R876" s="38">
        <f>('Raw Data'!F878+Bill!$R$2)*Bill!$AF876</f>
        <v>0</v>
      </c>
      <c r="S876" s="48">
        <f>('Raw Data'!G878/100)*Bill!$AG876</f>
        <v>0</v>
      </c>
      <c r="T876" s="38">
        <f>SUM(Bill!$L876:$R876)</f>
        <v>0</v>
      </c>
      <c r="U876" s="53"/>
      <c r="V876" s="50"/>
      <c r="W876" s="38">
        <f>Bill!$U876-Bill!$T876</f>
        <v>0</v>
      </c>
      <c r="Y876" s="37">
        <f>'Raw Data'!D878</f>
        <v>46434</v>
      </c>
      <c r="Z876" s="47">
        <v>0.0</v>
      </c>
      <c r="AA876" s="47"/>
      <c r="AB876" s="47"/>
      <c r="AC876" s="47"/>
      <c r="AD876" s="47"/>
      <c r="AE876" s="47"/>
      <c r="AF876" s="47"/>
      <c r="AG876" s="47"/>
    </row>
    <row r="877" ht="15.75" customHeight="1">
      <c r="A877" s="35">
        <f>Bill!$Y877</f>
        <v>46435</v>
      </c>
      <c r="B877" s="43">
        <f>'Raw Data'!E879+Bill!$L$2</f>
        <v>20</v>
      </c>
      <c r="C877" s="43">
        <f>'Raw Data'!E879+Bill!$M$2</f>
        <v>25</v>
      </c>
      <c r="D877" s="43">
        <f>('Raw Data'!$F879*2)-10</f>
        <v>-10</v>
      </c>
      <c r="E877" s="43">
        <f>'Raw Data'!F879+Bill!$O$2</f>
        <v>20</v>
      </c>
      <c r="F877" s="43">
        <f>'Raw Data'!F879+Bill!$P$2</f>
        <v>25</v>
      </c>
      <c r="G877" s="43">
        <f>'Raw Data'!E879+Bill!$Q$2</f>
        <v>50</v>
      </c>
      <c r="H877" s="43">
        <f>('Raw Data'!F879+Bill!$R$2)</f>
        <v>20</v>
      </c>
      <c r="I877" s="36">
        <f>'Raw Data'!G879/100</f>
        <v>0</v>
      </c>
      <c r="K877" s="37">
        <f>Bill!$Y877</f>
        <v>46435</v>
      </c>
      <c r="L877" s="38">
        <f>Bill!$AA877*('Raw Data'!$E879+$L$2)</f>
        <v>0</v>
      </c>
      <c r="M877" s="38">
        <f>Bill!$AB877*('Raw Data'!$E879+$M$2)</f>
        <v>0</v>
      </c>
      <c r="N877" s="38">
        <f>(('Raw Data'!$F879 * 2)-10)*Bill!$AC877</f>
        <v>0</v>
      </c>
      <c r="O877" s="38">
        <f>('Raw Data'!F879+Bill!$O$2)*Bill!$AD877</f>
        <v>0</v>
      </c>
      <c r="P877" s="38">
        <f>('Raw Data'!F879+Bill!$P$2)*Bill!$AE877</f>
        <v>0</v>
      </c>
      <c r="Q877" s="38">
        <f>Bill!$Z877*('Raw Data'!$E879+$Q$2)</f>
        <v>0</v>
      </c>
      <c r="R877" s="38">
        <f>('Raw Data'!F879+Bill!$R$2)*Bill!$AF877</f>
        <v>0</v>
      </c>
      <c r="S877" s="48">
        <f>('Raw Data'!G879/100)*Bill!$AG877</f>
        <v>0</v>
      </c>
      <c r="T877" s="38">
        <f>SUM(Bill!$L877:$R877)</f>
        <v>0</v>
      </c>
      <c r="U877" s="53"/>
      <c r="V877" s="50"/>
      <c r="W877" s="38">
        <f>Bill!$U877-Bill!$T877</f>
        <v>0</v>
      </c>
      <c r="Y877" s="37">
        <f>'Raw Data'!D879</f>
        <v>46435</v>
      </c>
      <c r="Z877" s="47">
        <v>0.0</v>
      </c>
      <c r="AA877" s="47"/>
      <c r="AB877" s="47"/>
      <c r="AC877" s="47"/>
      <c r="AD877" s="47"/>
      <c r="AE877" s="47"/>
      <c r="AF877" s="47"/>
      <c r="AG877" s="47"/>
    </row>
    <row r="878" ht="15.75" customHeight="1">
      <c r="A878" s="35">
        <f>Bill!$Y878</f>
        <v>46436</v>
      </c>
      <c r="B878" s="43">
        <f>'Raw Data'!E880+Bill!$L$2</f>
        <v>20</v>
      </c>
      <c r="C878" s="43">
        <f>'Raw Data'!E880+Bill!$M$2</f>
        <v>25</v>
      </c>
      <c r="D878" s="43">
        <f>('Raw Data'!$F880*2)-10</f>
        <v>-10</v>
      </c>
      <c r="E878" s="43">
        <f>'Raw Data'!F880+Bill!$O$2</f>
        <v>20</v>
      </c>
      <c r="F878" s="43">
        <f>'Raw Data'!F880+Bill!$P$2</f>
        <v>25</v>
      </c>
      <c r="G878" s="43">
        <f>'Raw Data'!E880+Bill!$Q$2</f>
        <v>50</v>
      </c>
      <c r="H878" s="43">
        <f>('Raw Data'!F880+Bill!$R$2)</f>
        <v>20</v>
      </c>
      <c r="I878" s="36">
        <f>'Raw Data'!G880/100</f>
        <v>0</v>
      </c>
      <c r="K878" s="37">
        <f>Bill!$Y878</f>
        <v>46436</v>
      </c>
      <c r="L878" s="38">
        <f>Bill!$AA878*('Raw Data'!$E880+$L$2)</f>
        <v>0</v>
      </c>
      <c r="M878" s="38">
        <f>Bill!$AB878*('Raw Data'!$E880+$M$2)</f>
        <v>0</v>
      </c>
      <c r="N878" s="38">
        <f>(('Raw Data'!$F880 * 2)-10)*Bill!$AC878</f>
        <v>0</v>
      </c>
      <c r="O878" s="38">
        <f>('Raw Data'!F880+Bill!$O$2)*Bill!$AD878</f>
        <v>0</v>
      </c>
      <c r="P878" s="38">
        <f>('Raw Data'!F880+Bill!$P$2)*Bill!$AE878</f>
        <v>0</v>
      </c>
      <c r="Q878" s="38">
        <f>Bill!$Z878*('Raw Data'!$E880+$Q$2)</f>
        <v>0</v>
      </c>
      <c r="R878" s="38">
        <f>('Raw Data'!F880+Bill!$R$2)*Bill!$AF878</f>
        <v>0</v>
      </c>
      <c r="S878" s="48">
        <f>('Raw Data'!G880/100)*Bill!$AG878</f>
        <v>0</v>
      </c>
      <c r="T878" s="38">
        <f>SUM(Bill!$L878:$R878)</f>
        <v>0</v>
      </c>
      <c r="U878" s="53"/>
      <c r="V878" s="50"/>
      <c r="W878" s="38">
        <f>Bill!$U878-Bill!$T878</f>
        <v>0</v>
      </c>
      <c r="Y878" s="37">
        <f>'Raw Data'!D880</f>
        <v>46436</v>
      </c>
      <c r="Z878" s="47">
        <v>0.0</v>
      </c>
      <c r="AA878" s="47"/>
      <c r="AB878" s="47"/>
      <c r="AC878" s="47"/>
      <c r="AD878" s="47"/>
      <c r="AE878" s="47"/>
      <c r="AF878" s="47"/>
      <c r="AG878" s="47"/>
    </row>
    <row r="879" ht="15.75" customHeight="1">
      <c r="A879" s="35">
        <f>Bill!$Y879</f>
        <v>46437</v>
      </c>
      <c r="B879" s="43">
        <f>'Raw Data'!E881+Bill!$L$2</f>
        <v>20</v>
      </c>
      <c r="C879" s="43">
        <f>'Raw Data'!E881+Bill!$M$2</f>
        <v>25</v>
      </c>
      <c r="D879" s="43">
        <f>('Raw Data'!$F881*2)-10</f>
        <v>-10</v>
      </c>
      <c r="E879" s="43">
        <f>'Raw Data'!F881+Bill!$O$2</f>
        <v>20</v>
      </c>
      <c r="F879" s="43">
        <f>'Raw Data'!F881+Bill!$P$2</f>
        <v>25</v>
      </c>
      <c r="G879" s="43">
        <f>'Raw Data'!E881+Bill!$Q$2</f>
        <v>50</v>
      </c>
      <c r="H879" s="43">
        <f>('Raw Data'!F881+Bill!$R$2)</f>
        <v>20</v>
      </c>
      <c r="I879" s="36">
        <f>'Raw Data'!G881/100</f>
        <v>0</v>
      </c>
      <c r="K879" s="37">
        <f>Bill!$Y879</f>
        <v>46437</v>
      </c>
      <c r="L879" s="38">
        <f>Bill!$AA879*('Raw Data'!$E881+$L$2)</f>
        <v>0</v>
      </c>
      <c r="M879" s="38">
        <f>Bill!$AB879*('Raw Data'!$E881+$M$2)</f>
        <v>0</v>
      </c>
      <c r="N879" s="38">
        <f>(('Raw Data'!$F881 * 2)-10)*Bill!$AC879</f>
        <v>0</v>
      </c>
      <c r="O879" s="38">
        <f>('Raw Data'!F881+Bill!$O$2)*Bill!$AD879</f>
        <v>0</v>
      </c>
      <c r="P879" s="38">
        <f>('Raw Data'!F881+Bill!$P$2)*Bill!$AE879</f>
        <v>0</v>
      </c>
      <c r="Q879" s="38">
        <f>Bill!$Z879*('Raw Data'!$E881+$Q$2)</f>
        <v>0</v>
      </c>
      <c r="R879" s="38">
        <f>('Raw Data'!F881+Bill!$R$2)*Bill!$AF879</f>
        <v>0</v>
      </c>
      <c r="S879" s="48">
        <f>('Raw Data'!G881/100)*Bill!$AG879</f>
        <v>0</v>
      </c>
      <c r="T879" s="38">
        <f>SUM(Bill!$L879:$R879)</f>
        <v>0</v>
      </c>
      <c r="U879" s="53"/>
      <c r="V879" s="50"/>
      <c r="W879" s="38">
        <f>Bill!$U879-Bill!$T879</f>
        <v>0</v>
      </c>
      <c r="Y879" s="37">
        <f>'Raw Data'!D881</f>
        <v>46437</v>
      </c>
      <c r="Z879" s="47">
        <v>0.0</v>
      </c>
      <c r="AA879" s="47"/>
      <c r="AB879" s="47"/>
      <c r="AC879" s="47"/>
      <c r="AD879" s="47"/>
      <c r="AE879" s="47"/>
      <c r="AF879" s="47"/>
      <c r="AG879" s="47"/>
    </row>
    <row r="880" ht="15.75" customHeight="1">
      <c r="A880" s="35">
        <f>Bill!$Y880</f>
        <v>46438</v>
      </c>
      <c r="B880" s="43">
        <f>'Raw Data'!E882+Bill!$L$2</f>
        <v>20</v>
      </c>
      <c r="C880" s="43">
        <f>'Raw Data'!E882+Bill!$M$2</f>
        <v>25</v>
      </c>
      <c r="D880" s="43">
        <f>('Raw Data'!$F882*2)-10</f>
        <v>-10</v>
      </c>
      <c r="E880" s="43">
        <f>'Raw Data'!F882+Bill!$O$2</f>
        <v>20</v>
      </c>
      <c r="F880" s="43">
        <f>'Raw Data'!F882+Bill!$P$2</f>
        <v>25</v>
      </c>
      <c r="G880" s="43">
        <f>'Raw Data'!E882+Bill!$Q$2</f>
        <v>50</v>
      </c>
      <c r="H880" s="43">
        <f>('Raw Data'!F882+Bill!$R$2)</f>
        <v>20</v>
      </c>
      <c r="I880" s="36">
        <f>'Raw Data'!G882/100</f>
        <v>0</v>
      </c>
      <c r="K880" s="37">
        <f>Bill!$Y880</f>
        <v>46438</v>
      </c>
      <c r="L880" s="38">
        <f>Bill!$AA880*('Raw Data'!$E882+$L$2)</f>
        <v>0</v>
      </c>
      <c r="M880" s="38">
        <f>Bill!$AB880*('Raw Data'!$E882+$M$2)</f>
        <v>0</v>
      </c>
      <c r="N880" s="38">
        <f>(('Raw Data'!$F882 * 2)-10)*Bill!$AC880</f>
        <v>0</v>
      </c>
      <c r="O880" s="38">
        <f>('Raw Data'!F882+Bill!$O$2)*Bill!$AD880</f>
        <v>0</v>
      </c>
      <c r="P880" s="38">
        <f>('Raw Data'!F882+Bill!$P$2)*Bill!$AE880</f>
        <v>0</v>
      </c>
      <c r="Q880" s="38">
        <f>Bill!$Z880*('Raw Data'!$E882+$Q$2)</f>
        <v>0</v>
      </c>
      <c r="R880" s="38">
        <f>('Raw Data'!F882+Bill!$R$2)*Bill!$AF880</f>
        <v>0</v>
      </c>
      <c r="S880" s="48">
        <f>('Raw Data'!G882/100)*Bill!$AG880</f>
        <v>0</v>
      </c>
      <c r="T880" s="38">
        <f>SUM(Bill!$L880:$R880)</f>
        <v>0</v>
      </c>
      <c r="U880" s="53"/>
      <c r="V880" s="50"/>
      <c r="W880" s="38">
        <f>Bill!$U880-Bill!$T880</f>
        <v>0</v>
      </c>
      <c r="Y880" s="37">
        <f>'Raw Data'!D882</f>
        <v>46438</v>
      </c>
      <c r="Z880" s="47">
        <v>0.0</v>
      </c>
      <c r="AA880" s="47"/>
      <c r="AB880" s="47"/>
      <c r="AC880" s="47"/>
      <c r="AD880" s="47"/>
      <c r="AE880" s="47"/>
      <c r="AF880" s="47"/>
      <c r="AG880" s="47"/>
    </row>
    <row r="881" ht="15.75" customHeight="1">
      <c r="A881" s="35">
        <f>Bill!$Y881</f>
        <v>46439</v>
      </c>
      <c r="B881" s="43">
        <f>'Raw Data'!E883+Bill!$L$2</f>
        <v>20</v>
      </c>
      <c r="C881" s="43">
        <f>'Raw Data'!E883+Bill!$M$2</f>
        <v>25</v>
      </c>
      <c r="D881" s="43">
        <f>('Raw Data'!$F883*2)-10</f>
        <v>-10</v>
      </c>
      <c r="E881" s="43">
        <f>'Raw Data'!F883+Bill!$O$2</f>
        <v>20</v>
      </c>
      <c r="F881" s="43">
        <f>'Raw Data'!F883+Bill!$P$2</f>
        <v>25</v>
      </c>
      <c r="G881" s="43">
        <f>'Raw Data'!E883+Bill!$Q$2</f>
        <v>50</v>
      </c>
      <c r="H881" s="43">
        <f>('Raw Data'!F883+Bill!$R$2)</f>
        <v>20</v>
      </c>
      <c r="I881" s="36">
        <f>'Raw Data'!G883/100</f>
        <v>0</v>
      </c>
      <c r="K881" s="37">
        <f>Bill!$Y881</f>
        <v>46439</v>
      </c>
      <c r="L881" s="38">
        <f>Bill!$AA881*('Raw Data'!$E883+$L$2)</f>
        <v>0</v>
      </c>
      <c r="M881" s="38">
        <f>Bill!$AB881*('Raw Data'!$E883+$M$2)</f>
        <v>0</v>
      </c>
      <c r="N881" s="38">
        <f>(('Raw Data'!$F883 * 2)-10)*Bill!$AC881</f>
        <v>0</v>
      </c>
      <c r="O881" s="38">
        <f>('Raw Data'!F883+Bill!$O$2)*Bill!$AD881</f>
        <v>0</v>
      </c>
      <c r="P881" s="38">
        <f>('Raw Data'!F883+Bill!$P$2)*Bill!$AE881</f>
        <v>0</v>
      </c>
      <c r="Q881" s="38">
        <f>Bill!$Z881*('Raw Data'!$E883+$Q$2)</f>
        <v>0</v>
      </c>
      <c r="R881" s="38">
        <f>('Raw Data'!F883+Bill!$R$2)*Bill!$AF881</f>
        <v>0</v>
      </c>
      <c r="S881" s="48">
        <f>('Raw Data'!G883/100)*Bill!$AG881</f>
        <v>0</v>
      </c>
      <c r="T881" s="38">
        <f>SUM(Bill!$L881:$R881)</f>
        <v>0</v>
      </c>
      <c r="U881" s="53"/>
      <c r="V881" s="50"/>
      <c r="W881" s="38">
        <f>Bill!$U881-Bill!$T881</f>
        <v>0</v>
      </c>
      <c r="Y881" s="37">
        <f>'Raw Data'!D883</f>
        <v>46439</v>
      </c>
      <c r="Z881" s="47">
        <v>0.0</v>
      </c>
      <c r="AA881" s="47"/>
      <c r="AB881" s="47"/>
      <c r="AC881" s="47"/>
      <c r="AD881" s="47"/>
      <c r="AE881" s="47"/>
      <c r="AF881" s="47"/>
      <c r="AG881" s="47"/>
    </row>
    <row r="882" ht="15.75" customHeight="1">
      <c r="A882" s="35">
        <f>Bill!$Y882</f>
        <v>46440</v>
      </c>
      <c r="B882" s="43">
        <f>'Raw Data'!E884+Bill!$L$2</f>
        <v>20</v>
      </c>
      <c r="C882" s="43">
        <f>'Raw Data'!E884+Bill!$M$2</f>
        <v>25</v>
      </c>
      <c r="D882" s="43">
        <f>('Raw Data'!$F884*2)-10</f>
        <v>-10</v>
      </c>
      <c r="E882" s="43">
        <f>'Raw Data'!F884+Bill!$O$2</f>
        <v>20</v>
      </c>
      <c r="F882" s="43">
        <f>'Raw Data'!F884+Bill!$P$2</f>
        <v>25</v>
      </c>
      <c r="G882" s="43">
        <f>'Raw Data'!E884+Bill!$Q$2</f>
        <v>50</v>
      </c>
      <c r="H882" s="43">
        <f>('Raw Data'!F884+Bill!$R$2)</f>
        <v>20</v>
      </c>
      <c r="I882" s="36">
        <f>'Raw Data'!G884/100</f>
        <v>0</v>
      </c>
      <c r="K882" s="37">
        <f>Bill!$Y882</f>
        <v>46440</v>
      </c>
      <c r="L882" s="38">
        <f>Bill!$AA882*('Raw Data'!$E884+$L$2)</f>
        <v>0</v>
      </c>
      <c r="M882" s="38">
        <f>Bill!$AB882*('Raw Data'!$E884+$M$2)</f>
        <v>0</v>
      </c>
      <c r="N882" s="38">
        <f>(('Raw Data'!$F884 * 2)-10)*Bill!$AC882</f>
        <v>0</v>
      </c>
      <c r="O882" s="38">
        <f>('Raw Data'!F884+Bill!$O$2)*Bill!$AD882</f>
        <v>0</v>
      </c>
      <c r="P882" s="38">
        <f>('Raw Data'!F884+Bill!$P$2)*Bill!$AE882</f>
        <v>0</v>
      </c>
      <c r="Q882" s="38">
        <f>Bill!$Z882*('Raw Data'!$E884+$Q$2)</f>
        <v>0</v>
      </c>
      <c r="R882" s="38">
        <f>('Raw Data'!F884+Bill!$R$2)*Bill!$AF882</f>
        <v>0</v>
      </c>
      <c r="S882" s="48">
        <f>('Raw Data'!G884/100)*Bill!$AG882</f>
        <v>0</v>
      </c>
      <c r="T882" s="38">
        <f>SUM(Bill!$L882:$R882)</f>
        <v>0</v>
      </c>
      <c r="U882" s="53"/>
      <c r="V882" s="50"/>
      <c r="W882" s="38">
        <f>Bill!$U882-Bill!$T882</f>
        <v>0</v>
      </c>
      <c r="Y882" s="37">
        <f>'Raw Data'!D884</f>
        <v>46440</v>
      </c>
      <c r="Z882" s="47">
        <v>0.0</v>
      </c>
      <c r="AA882" s="47"/>
      <c r="AB882" s="47"/>
      <c r="AC882" s="47"/>
      <c r="AD882" s="47"/>
      <c r="AE882" s="47"/>
      <c r="AF882" s="47"/>
      <c r="AG882" s="47"/>
    </row>
    <row r="883" ht="15.75" customHeight="1">
      <c r="A883" s="35">
        <f>Bill!$Y883</f>
        <v>46441</v>
      </c>
      <c r="B883" s="43">
        <f>'Raw Data'!E885+Bill!$L$2</f>
        <v>20</v>
      </c>
      <c r="C883" s="43">
        <f>'Raw Data'!E885+Bill!$M$2</f>
        <v>25</v>
      </c>
      <c r="D883" s="43">
        <f>('Raw Data'!$F885*2)-10</f>
        <v>-10</v>
      </c>
      <c r="E883" s="43">
        <f>'Raw Data'!F885+Bill!$O$2</f>
        <v>20</v>
      </c>
      <c r="F883" s="43">
        <f>'Raw Data'!F885+Bill!$P$2</f>
        <v>25</v>
      </c>
      <c r="G883" s="43">
        <f>'Raw Data'!E885+Bill!$Q$2</f>
        <v>50</v>
      </c>
      <c r="H883" s="43">
        <f>('Raw Data'!F885+Bill!$R$2)</f>
        <v>20</v>
      </c>
      <c r="I883" s="36">
        <f>'Raw Data'!G885/100</f>
        <v>0</v>
      </c>
      <c r="K883" s="37">
        <f>Bill!$Y883</f>
        <v>46441</v>
      </c>
      <c r="L883" s="38">
        <f>Bill!$AA883*('Raw Data'!$E885+$L$2)</f>
        <v>0</v>
      </c>
      <c r="M883" s="38">
        <f>Bill!$AB883*('Raw Data'!$E885+$M$2)</f>
        <v>0</v>
      </c>
      <c r="N883" s="38">
        <f>(('Raw Data'!$F885 * 2)-10)*Bill!$AC883</f>
        <v>0</v>
      </c>
      <c r="O883" s="38">
        <f>('Raw Data'!F885+Bill!$O$2)*Bill!$AD883</f>
        <v>0</v>
      </c>
      <c r="P883" s="38">
        <f>('Raw Data'!F885+Bill!$P$2)*Bill!$AE883</f>
        <v>0</v>
      </c>
      <c r="Q883" s="38">
        <f>Bill!$Z883*('Raw Data'!$E885+$Q$2)</f>
        <v>0</v>
      </c>
      <c r="R883" s="38">
        <f>('Raw Data'!F885+Bill!$R$2)*Bill!$AF883</f>
        <v>0</v>
      </c>
      <c r="S883" s="48">
        <f>('Raw Data'!G885/100)*Bill!$AG883</f>
        <v>0</v>
      </c>
      <c r="T883" s="38">
        <f>SUM(Bill!$L883:$R883)</f>
        <v>0</v>
      </c>
      <c r="U883" s="53"/>
      <c r="V883" s="50"/>
      <c r="W883" s="38">
        <f>Bill!$U883-Bill!$T883</f>
        <v>0</v>
      </c>
      <c r="Y883" s="37">
        <f>'Raw Data'!D885</f>
        <v>46441</v>
      </c>
      <c r="Z883" s="47">
        <v>0.0</v>
      </c>
      <c r="AA883" s="47"/>
      <c r="AB883" s="47"/>
      <c r="AC883" s="47"/>
      <c r="AD883" s="47"/>
      <c r="AE883" s="47"/>
      <c r="AF883" s="47"/>
      <c r="AG883" s="47"/>
    </row>
    <row r="884" ht="15.75" customHeight="1">
      <c r="A884" s="35">
        <f>Bill!$Y884</f>
        <v>46442</v>
      </c>
      <c r="B884" s="43">
        <f>'Raw Data'!E886+Bill!$L$2</f>
        <v>20</v>
      </c>
      <c r="C884" s="43">
        <f>'Raw Data'!E886+Bill!$M$2</f>
        <v>25</v>
      </c>
      <c r="D884" s="43">
        <f>('Raw Data'!$F886*2)-10</f>
        <v>-10</v>
      </c>
      <c r="E884" s="43">
        <f>'Raw Data'!F886+Bill!$O$2</f>
        <v>20</v>
      </c>
      <c r="F884" s="43">
        <f>'Raw Data'!F886+Bill!$P$2</f>
        <v>25</v>
      </c>
      <c r="G884" s="43">
        <f>'Raw Data'!E886+Bill!$Q$2</f>
        <v>50</v>
      </c>
      <c r="H884" s="43">
        <f>('Raw Data'!F886+Bill!$R$2)</f>
        <v>20</v>
      </c>
      <c r="I884" s="36">
        <f>'Raw Data'!G886/100</f>
        <v>0</v>
      </c>
      <c r="K884" s="37">
        <f>Bill!$Y884</f>
        <v>46442</v>
      </c>
      <c r="L884" s="38">
        <f>Bill!$AA884*('Raw Data'!$E886+$L$2)</f>
        <v>0</v>
      </c>
      <c r="M884" s="38">
        <f>Bill!$AB884*('Raw Data'!$E886+$M$2)</f>
        <v>0</v>
      </c>
      <c r="N884" s="38">
        <f>(('Raw Data'!$F886 * 2)-10)*Bill!$AC884</f>
        <v>0</v>
      </c>
      <c r="O884" s="38">
        <f>('Raw Data'!F886+Bill!$O$2)*Bill!$AD884</f>
        <v>0</v>
      </c>
      <c r="P884" s="38">
        <f>('Raw Data'!F886+Bill!$P$2)*Bill!$AE884</f>
        <v>0</v>
      </c>
      <c r="Q884" s="38">
        <f>Bill!$Z884*('Raw Data'!$E886+$Q$2)</f>
        <v>0</v>
      </c>
      <c r="R884" s="38">
        <f>('Raw Data'!F886+Bill!$R$2)*Bill!$AF884</f>
        <v>0</v>
      </c>
      <c r="S884" s="48">
        <f>('Raw Data'!G886/100)*Bill!$AG884</f>
        <v>0</v>
      </c>
      <c r="T884" s="38">
        <f>SUM(Bill!$L884:$R884)</f>
        <v>0</v>
      </c>
      <c r="U884" s="53"/>
      <c r="V884" s="50"/>
      <c r="W884" s="38">
        <f>Bill!$U884-Bill!$T884</f>
        <v>0</v>
      </c>
      <c r="Y884" s="37">
        <f>'Raw Data'!D886</f>
        <v>46442</v>
      </c>
      <c r="Z884" s="47">
        <v>0.0</v>
      </c>
      <c r="AA884" s="47"/>
      <c r="AB884" s="47"/>
      <c r="AC884" s="47"/>
      <c r="AD884" s="47"/>
      <c r="AE884" s="47"/>
      <c r="AF884" s="47"/>
      <c r="AG884" s="47"/>
    </row>
    <row r="885" ht="15.75" customHeight="1">
      <c r="A885" s="35">
        <f>Bill!$Y885</f>
        <v>46443</v>
      </c>
      <c r="B885" s="43">
        <f>'Raw Data'!E887+Bill!$L$2</f>
        <v>20</v>
      </c>
      <c r="C885" s="43">
        <f>'Raw Data'!E887+Bill!$M$2</f>
        <v>25</v>
      </c>
      <c r="D885" s="43">
        <f>('Raw Data'!$F887*2)-10</f>
        <v>-10</v>
      </c>
      <c r="E885" s="43">
        <f>'Raw Data'!F887+Bill!$O$2</f>
        <v>20</v>
      </c>
      <c r="F885" s="43">
        <f>'Raw Data'!F887+Bill!$P$2</f>
        <v>25</v>
      </c>
      <c r="G885" s="43">
        <f>'Raw Data'!E887+Bill!$Q$2</f>
        <v>50</v>
      </c>
      <c r="H885" s="43">
        <f>('Raw Data'!F887+Bill!$R$2)</f>
        <v>20</v>
      </c>
      <c r="I885" s="36">
        <f>'Raw Data'!G887/100</f>
        <v>0</v>
      </c>
      <c r="K885" s="37">
        <f>Bill!$Y885</f>
        <v>46443</v>
      </c>
      <c r="L885" s="38">
        <f>Bill!$AA885*('Raw Data'!$E887+$L$2)</f>
        <v>0</v>
      </c>
      <c r="M885" s="38">
        <f>Bill!$AB885*('Raw Data'!$E887+$M$2)</f>
        <v>0</v>
      </c>
      <c r="N885" s="38">
        <f>(('Raw Data'!$F887 * 2)-10)*Bill!$AC885</f>
        <v>0</v>
      </c>
      <c r="O885" s="38">
        <f>('Raw Data'!F887+Bill!$O$2)*Bill!$AD885</f>
        <v>0</v>
      </c>
      <c r="P885" s="38">
        <f>('Raw Data'!F887+Bill!$P$2)*Bill!$AE885</f>
        <v>0</v>
      </c>
      <c r="Q885" s="38">
        <f>Bill!$Z885*('Raw Data'!$E887+$Q$2)</f>
        <v>0</v>
      </c>
      <c r="R885" s="38">
        <f>('Raw Data'!F887+Bill!$R$2)*Bill!$AF885</f>
        <v>0</v>
      </c>
      <c r="S885" s="48">
        <f>('Raw Data'!G887/100)*Bill!$AG885</f>
        <v>0</v>
      </c>
      <c r="T885" s="38">
        <f>SUM(Bill!$L885:$R885)</f>
        <v>0</v>
      </c>
      <c r="U885" s="53"/>
      <c r="V885" s="50"/>
      <c r="W885" s="38">
        <f>Bill!$U885-Bill!$T885</f>
        <v>0</v>
      </c>
      <c r="Y885" s="37">
        <f>'Raw Data'!D887</f>
        <v>46443</v>
      </c>
      <c r="Z885" s="47">
        <v>0.0</v>
      </c>
      <c r="AA885" s="47"/>
      <c r="AB885" s="47"/>
      <c r="AC885" s="47"/>
      <c r="AD885" s="47"/>
      <c r="AE885" s="47"/>
      <c r="AF885" s="47"/>
      <c r="AG885" s="47"/>
    </row>
    <row r="886" ht="15.75" customHeight="1">
      <c r="A886" s="35">
        <f>Bill!$Y886</f>
        <v>46444</v>
      </c>
      <c r="B886" s="43">
        <f>'Raw Data'!E888+Bill!$L$2</f>
        <v>20</v>
      </c>
      <c r="C886" s="43">
        <f>'Raw Data'!E888+Bill!$M$2</f>
        <v>25</v>
      </c>
      <c r="D886" s="43">
        <f>('Raw Data'!$F888*2)-10</f>
        <v>-10</v>
      </c>
      <c r="E886" s="43">
        <f>'Raw Data'!F888+Bill!$O$2</f>
        <v>20</v>
      </c>
      <c r="F886" s="43">
        <f>'Raw Data'!F888+Bill!$P$2</f>
        <v>25</v>
      </c>
      <c r="G886" s="43">
        <f>'Raw Data'!E888+Bill!$Q$2</f>
        <v>50</v>
      </c>
      <c r="H886" s="43">
        <f>('Raw Data'!F888+Bill!$R$2)</f>
        <v>20</v>
      </c>
      <c r="I886" s="36">
        <f>'Raw Data'!G888/100</f>
        <v>0</v>
      </c>
      <c r="K886" s="37">
        <f>Bill!$Y886</f>
        <v>46444</v>
      </c>
      <c r="L886" s="38">
        <f>Bill!$AA886*('Raw Data'!$E888+$L$2)</f>
        <v>0</v>
      </c>
      <c r="M886" s="38">
        <f>Bill!$AB886*('Raw Data'!$E888+$M$2)</f>
        <v>0</v>
      </c>
      <c r="N886" s="38">
        <f>(('Raw Data'!$F888 * 2)-10)*Bill!$AC886</f>
        <v>0</v>
      </c>
      <c r="O886" s="38">
        <f>('Raw Data'!F888+Bill!$O$2)*Bill!$AD886</f>
        <v>0</v>
      </c>
      <c r="P886" s="38">
        <f>('Raw Data'!F888+Bill!$P$2)*Bill!$AE886</f>
        <v>0</v>
      </c>
      <c r="Q886" s="38">
        <f>Bill!$Z886*('Raw Data'!$E888+$Q$2)</f>
        <v>0</v>
      </c>
      <c r="R886" s="38">
        <f>('Raw Data'!F888+Bill!$R$2)*Bill!$AF886</f>
        <v>0</v>
      </c>
      <c r="S886" s="48">
        <f>('Raw Data'!G888/100)*Bill!$AG886</f>
        <v>0</v>
      </c>
      <c r="T886" s="38">
        <f>SUM(Bill!$L886:$R886)</f>
        <v>0</v>
      </c>
      <c r="U886" s="53"/>
      <c r="V886" s="50"/>
      <c r="W886" s="38">
        <f>Bill!$U886-Bill!$T886</f>
        <v>0</v>
      </c>
      <c r="Y886" s="37">
        <f>'Raw Data'!D888</f>
        <v>46444</v>
      </c>
      <c r="Z886" s="47">
        <v>0.0</v>
      </c>
      <c r="AA886" s="47"/>
      <c r="AB886" s="47"/>
      <c r="AC886" s="47"/>
      <c r="AD886" s="47"/>
      <c r="AE886" s="47"/>
      <c r="AF886" s="47"/>
      <c r="AG886" s="47"/>
    </row>
    <row r="887" ht="15.75" customHeight="1">
      <c r="A887" s="35">
        <f>Bill!$Y887</f>
        <v>46445</v>
      </c>
      <c r="B887" s="43">
        <f>'Raw Data'!E889+Bill!$L$2</f>
        <v>20</v>
      </c>
      <c r="C887" s="43">
        <f>'Raw Data'!E889+Bill!$M$2</f>
        <v>25</v>
      </c>
      <c r="D887" s="43">
        <f>('Raw Data'!$F889*2)-10</f>
        <v>-10</v>
      </c>
      <c r="E887" s="43">
        <f>'Raw Data'!F889+Bill!$O$2</f>
        <v>20</v>
      </c>
      <c r="F887" s="43">
        <f>'Raw Data'!F889+Bill!$P$2</f>
        <v>25</v>
      </c>
      <c r="G887" s="43">
        <f>'Raw Data'!E889+Bill!$Q$2</f>
        <v>50</v>
      </c>
      <c r="H887" s="43">
        <f>('Raw Data'!F889+Bill!$R$2)</f>
        <v>20</v>
      </c>
      <c r="I887" s="36">
        <f>'Raw Data'!G889/100</f>
        <v>0</v>
      </c>
      <c r="K887" s="37">
        <f>Bill!$Y887</f>
        <v>46445</v>
      </c>
      <c r="L887" s="38">
        <f>Bill!$AA887*('Raw Data'!$E889+$L$2)</f>
        <v>0</v>
      </c>
      <c r="M887" s="38">
        <f>Bill!$AB887*('Raw Data'!$E889+$M$2)</f>
        <v>0</v>
      </c>
      <c r="N887" s="38">
        <f>(('Raw Data'!$F889 * 2)-10)*Bill!$AC887</f>
        <v>0</v>
      </c>
      <c r="O887" s="38">
        <f>('Raw Data'!F889+Bill!$O$2)*Bill!$AD887</f>
        <v>0</v>
      </c>
      <c r="P887" s="38">
        <f>('Raw Data'!F889+Bill!$P$2)*Bill!$AE887</f>
        <v>0</v>
      </c>
      <c r="Q887" s="38">
        <f>Bill!$Z887*('Raw Data'!$E889+$Q$2)</f>
        <v>0</v>
      </c>
      <c r="R887" s="38">
        <f>('Raw Data'!F889+Bill!$R$2)*Bill!$AF887</f>
        <v>0</v>
      </c>
      <c r="S887" s="48">
        <f>('Raw Data'!G889/100)*Bill!$AG887</f>
        <v>0</v>
      </c>
      <c r="T887" s="38">
        <f>SUM(Bill!$L887:$R887)</f>
        <v>0</v>
      </c>
      <c r="U887" s="53"/>
      <c r="V887" s="50"/>
      <c r="W887" s="38">
        <f>Bill!$U887-Bill!$T887</f>
        <v>0</v>
      </c>
      <c r="Y887" s="37">
        <f>'Raw Data'!D889</f>
        <v>46445</v>
      </c>
      <c r="Z887" s="47">
        <v>0.0</v>
      </c>
      <c r="AA887" s="47"/>
      <c r="AB887" s="47"/>
      <c r="AC887" s="47"/>
      <c r="AD887" s="47"/>
      <c r="AE887" s="47"/>
      <c r="AF887" s="47"/>
      <c r="AG887" s="47"/>
    </row>
    <row r="888" ht="15.75" customHeight="1">
      <c r="A888" s="35">
        <f>Bill!$Y888</f>
        <v>46446</v>
      </c>
      <c r="B888" s="43">
        <f>'Raw Data'!E890+Bill!$L$2</f>
        <v>20</v>
      </c>
      <c r="C888" s="43">
        <f>'Raw Data'!E890+Bill!$M$2</f>
        <v>25</v>
      </c>
      <c r="D888" s="43">
        <f>('Raw Data'!$F890*2)-10</f>
        <v>-10</v>
      </c>
      <c r="E888" s="43">
        <f>'Raw Data'!F890+Bill!$O$2</f>
        <v>20</v>
      </c>
      <c r="F888" s="43">
        <f>'Raw Data'!F890+Bill!$P$2</f>
        <v>25</v>
      </c>
      <c r="G888" s="43">
        <f>'Raw Data'!E890+Bill!$Q$2</f>
        <v>50</v>
      </c>
      <c r="H888" s="43">
        <f>('Raw Data'!F890+Bill!$R$2)</f>
        <v>20</v>
      </c>
      <c r="I888" s="36">
        <f>'Raw Data'!G890/100</f>
        <v>0</v>
      </c>
      <c r="K888" s="37">
        <f>Bill!$Y888</f>
        <v>46446</v>
      </c>
      <c r="L888" s="38">
        <f>Bill!$AA888*('Raw Data'!$E890+$L$2)</f>
        <v>0</v>
      </c>
      <c r="M888" s="38">
        <f>Bill!$AB888*('Raw Data'!$E890+$M$2)</f>
        <v>0</v>
      </c>
      <c r="N888" s="38">
        <f>(('Raw Data'!$F890 * 2)-10)*Bill!$AC888</f>
        <v>0</v>
      </c>
      <c r="O888" s="38">
        <f>('Raw Data'!F890+Bill!$O$2)*Bill!$AD888</f>
        <v>0</v>
      </c>
      <c r="P888" s="38">
        <f>('Raw Data'!F890+Bill!$P$2)*Bill!$AE888</f>
        <v>0</v>
      </c>
      <c r="Q888" s="38">
        <f>Bill!$Z888*('Raw Data'!$E890+$Q$2)</f>
        <v>0</v>
      </c>
      <c r="R888" s="38">
        <f>('Raw Data'!F890+Bill!$R$2)*Bill!$AF888</f>
        <v>0</v>
      </c>
      <c r="S888" s="48">
        <f>('Raw Data'!G890/100)*Bill!$AG888</f>
        <v>0</v>
      </c>
      <c r="T888" s="38">
        <f>SUM(Bill!$L888:$R888)</f>
        <v>0</v>
      </c>
      <c r="U888" s="53"/>
      <c r="V888" s="50"/>
      <c r="W888" s="38">
        <f>Bill!$U888-Bill!$T888</f>
        <v>0</v>
      </c>
      <c r="Y888" s="37">
        <f>'Raw Data'!D890</f>
        <v>46446</v>
      </c>
      <c r="Z888" s="47">
        <v>0.0</v>
      </c>
      <c r="AA888" s="47"/>
      <c r="AB888" s="47"/>
      <c r="AC888" s="47"/>
      <c r="AD888" s="47"/>
      <c r="AE888" s="47"/>
      <c r="AF888" s="47"/>
      <c r="AG888" s="47"/>
    </row>
    <row r="889" ht="15.75" customHeight="1">
      <c r="A889" s="35">
        <f>Bill!$Y889</f>
        <v>46447</v>
      </c>
      <c r="B889" s="43">
        <f>'Raw Data'!E891+Bill!$L$2</f>
        <v>20</v>
      </c>
      <c r="C889" s="43">
        <f>'Raw Data'!E891+Bill!$M$2</f>
        <v>25</v>
      </c>
      <c r="D889" s="43">
        <f>('Raw Data'!$F891*2)-10</f>
        <v>-10</v>
      </c>
      <c r="E889" s="43">
        <f>'Raw Data'!F891+Bill!$O$2</f>
        <v>20</v>
      </c>
      <c r="F889" s="43">
        <f>'Raw Data'!F891+Bill!$P$2</f>
        <v>25</v>
      </c>
      <c r="G889" s="43">
        <f>'Raw Data'!E891+Bill!$Q$2</f>
        <v>50</v>
      </c>
      <c r="H889" s="43">
        <f>('Raw Data'!F891+Bill!$R$2)</f>
        <v>20</v>
      </c>
      <c r="I889" s="36">
        <f>'Raw Data'!G891/100</f>
        <v>0</v>
      </c>
      <c r="K889" s="37">
        <f>Bill!$Y889</f>
        <v>46447</v>
      </c>
      <c r="L889" s="38">
        <f>Bill!$AA889*('Raw Data'!$E891+$L$2)</f>
        <v>0</v>
      </c>
      <c r="M889" s="38">
        <f>Bill!$AB889*('Raw Data'!$E891+$M$2)</f>
        <v>0</v>
      </c>
      <c r="N889" s="38">
        <f>(('Raw Data'!$F891 * 2)-10)*Bill!$AC889</f>
        <v>0</v>
      </c>
      <c r="O889" s="38">
        <f>('Raw Data'!F891+Bill!$O$2)*Bill!$AD889</f>
        <v>0</v>
      </c>
      <c r="P889" s="38">
        <f>('Raw Data'!F891+Bill!$P$2)*Bill!$AE889</f>
        <v>0</v>
      </c>
      <c r="Q889" s="38">
        <f>Bill!$Z889*('Raw Data'!$E891+$Q$2)</f>
        <v>0</v>
      </c>
      <c r="R889" s="38">
        <f>('Raw Data'!F891+Bill!$R$2)*Bill!$AF889</f>
        <v>0</v>
      </c>
      <c r="S889" s="48">
        <f>('Raw Data'!G891/100)*Bill!$AG889</f>
        <v>0</v>
      </c>
      <c r="T889" s="38">
        <f>SUM(Bill!$L889:$R889)</f>
        <v>0</v>
      </c>
      <c r="U889" s="53"/>
      <c r="V889" s="50"/>
      <c r="W889" s="38">
        <f>Bill!$U889-Bill!$T889</f>
        <v>0</v>
      </c>
      <c r="Y889" s="37">
        <f>'Raw Data'!D891</f>
        <v>46447</v>
      </c>
      <c r="Z889" s="47">
        <v>0.0</v>
      </c>
      <c r="AA889" s="47"/>
      <c r="AB889" s="47"/>
      <c r="AC889" s="47"/>
      <c r="AD889" s="47"/>
      <c r="AE889" s="47"/>
      <c r="AF889" s="47"/>
      <c r="AG889" s="47"/>
    </row>
    <row r="890" ht="15.75" customHeight="1">
      <c r="A890" s="35">
        <f>Bill!$Y890</f>
        <v>46448</v>
      </c>
      <c r="B890" s="43">
        <f>'Raw Data'!E892+Bill!$L$2</f>
        <v>20</v>
      </c>
      <c r="C890" s="43">
        <f>'Raw Data'!E892+Bill!$M$2</f>
        <v>25</v>
      </c>
      <c r="D890" s="43">
        <f>('Raw Data'!$F892*2)-10</f>
        <v>-10</v>
      </c>
      <c r="E890" s="43">
        <f>'Raw Data'!F892+Bill!$O$2</f>
        <v>20</v>
      </c>
      <c r="F890" s="43">
        <f>'Raw Data'!F892+Bill!$P$2</f>
        <v>25</v>
      </c>
      <c r="G890" s="43">
        <f>'Raw Data'!E892+Bill!$Q$2</f>
        <v>50</v>
      </c>
      <c r="H890" s="43">
        <f>('Raw Data'!F892+Bill!$R$2)</f>
        <v>20</v>
      </c>
      <c r="I890" s="36">
        <f>'Raw Data'!G892/100</f>
        <v>0</v>
      </c>
      <c r="K890" s="37">
        <f>Bill!$Y890</f>
        <v>46448</v>
      </c>
      <c r="L890" s="38">
        <f>Bill!$AA890*('Raw Data'!$E892+$L$2)</f>
        <v>0</v>
      </c>
      <c r="M890" s="38">
        <f>Bill!$AB890*('Raw Data'!$E892+$M$2)</f>
        <v>0</v>
      </c>
      <c r="N890" s="38">
        <f>(('Raw Data'!$F892 * 2)-10)*Bill!$AC890</f>
        <v>0</v>
      </c>
      <c r="O890" s="38">
        <f>('Raw Data'!F892+Bill!$O$2)*Bill!$AD890</f>
        <v>0</v>
      </c>
      <c r="P890" s="38">
        <f>('Raw Data'!F892+Bill!$P$2)*Bill!$AE890</f>
        <v>0</v>
      </c>
      <c r="Q890" s="38">
        <f>Bill!$Z890*('Raw Data'!$E892+$Q$2)</f>
        <v>0</v>
      </c>
      <c r="R890" s="38">
        <f>('Raw Data'!F892+Bill!$R$2)*Bill!$AF890</f>
        <v>0</v>
      </c>
      <c r="S890" s="48">
        <f>('Raw Data'!G892/100)*Bill!$AG890</f>
        <v>0</v>
      </c>
      <c r="T890" s="38">
        <f>SUM(Bill!$L890:$R890)</f>
        <v>0</v>
      </c>
      <c r="U890" s="53"/>
      <c r="V890" s="50"/>
      <c r="W890" s="38">
        <f>Bill!$U890-Bill!$T890</f>
        <v>0</v>
      </c>
      <c r="Y890" s="37">
        <f>'Raw Data'!D892</f>
        <v>46448</v>
      </c>
      <c r="Z890" s="47">
        <v>0.0</v>
      </c>
      <c r="AA890" s="47"/>
      <c r="AB890" s="47"/>
      <c r="AC890" s="47"/>
      <c r="AD890" s="47"/>
      <c r="AE890" s="47"/>
      <c r="AF890" s="47"/>
      <c r="AG890" s="47"/>
    </row>
    <row r="891" ht="15.75" customHeight="1">
      <c r="A891" s="35">
        <f>Bill!$Y891</f>
        <v>46449</v>
      </c>
      <c r="B891" s="43">
        <f>'Raw Data'!E893+Bill!$L$2</f>
        <v>20</v>
      </c>
      <c r="C891" s="43">
        <f>'Raw Data'!E893+Bill!$M$2</f>
        <v>25</v>
      </c>
      <c r="D891" s="43">
        <f>('Raw Data'!$F893*2)-10</f>
        <v>-10</v>
      </c>
      <c r="E891" s="43">
        <f>'Raw Data'!F893+Bill!$O$2</f>
        <v>20</v>
      </c>
      <c r="F891" s="43">
        <f>'Raw Data'!F893+Bill!$P$2</f>
        <v>25</v>
      </c>
      <c r="G891" s="43">
        <f>'Raw Data'!E893+Bill!$Q$2</f>
        <v>50</v>
      </c>
      <c r="H891" s="43">
        <f>('Raw Data'!F893+Bill!$R$2)</f>
        <v>20</v>
      </c>
      <c r="I891" s="36">
        <f>'Raw Data'!G893/100</f>
        <v>0</v>
      </c>
      <c r="K891" s="37">
        <f>Bill!$Y891</f>
        <v>46449</v>
      </c>
      <c r="L891" s="38">
        <f>Bill!$AA891*('Raw Data'!$E893+$L$2)</f>
        <v>0</v>
      </c>
      <c r="M891" s="38">
        <f>Bill!$AB891*('Raw Data'!$E893+$M$2)</f>
        <v>0</v>
      </c>
      <c r="N891" s="38">
        <f>(('Raw Data'!$F893 * 2)-10)*Bill!$AC891</f>
        <v>0</v>
      </c>
      <c r="O891" s="38">
        <f>('Raw Data'!F893+Bill!$O$2)*Bill!$AD891</f>
        <v>0</v>
      </c>
      <c r="P891" s="38">
        <f>('Raw Data'!F893+Bill!$P$2)*Bill!$AE891</f>
        <v>0</v>
      </c>
      <c r="Q891" s="38">
        <f>Bill!$Z891*('Raw Data'!$E893+$Q$2)</f>
        <v>0</v>
      </c>
      <c r="R891" s="38">
        <f>('Raw Data'!F893+Bill!$R$2)*Bill!$AF891</f>
        <v>0</v>
      </c>
      <c r="S891" s="48">
        <f>('Raw Data'!G893/100)*Bill!$AG891</f>
        <v>0</v>
      </c>
      <c r="T891" s="38">
        <f>SUM(Bill!$L891:$R891)</f>
        <v>0</v>
      </c>
      <c r="U891" s="53"/>
      <c r="V891" s="50"/>
      <c r="W891" s="38">
        <f>Bill!$U891-Bill!$T891</f>
        <v>0</v>
      </c>
      <c r="Y891" s="37">
        <f>'Raw Data'!D893</f>
        <v>46449</v>
      </c>
      <c r="Z891" s="47">
        <v>0.0</v>
      </c>
      <c r="AA891" s="47"/>
      <c r="AB891" s="47"/>
      <c r="AC891" s="47"/>
      <c r="AD891" s="47"/>
      <c r="AE891" s="47"/>
      <c r="AF891" s="47"/>
      <c r="AG891" s="47"/>
    </row>
    <row r="892" ht="15.75" customHeight="1">
      <c r="A892" s="35">
        <f>Bill!$Y892</f>
        <v>46450</v>
      </c>
      <c r="B892" s="43">
        <f>'Raw Data'!E894+Bill!$L$2</f>
        <v>20</v>
      </c>
      <c r="C892" s="43">
        <f>'Raw Data'!E894+Bill!$M$2</f>
        <v>25</v>
      </c>
      <c r="D892" s="43">
        <f>('Raw Data'!$F894*2)-10</f>
        <v>-10</v>
      </c>
      <c r="E892" s="43">
        <f>'Raw Data'!F894+Bill!$O$2</f>
        <v>20</v>
      </c>
      <c r="F892" s="43">
        <f>'Raw Data'!F894+Bill!$P$2</f>
        <v>25</v>
      </c>
      <c r="G892" s="43">
        <f>'Raw Data'!E894+Bill!$Q$2</f>
        <v>50</v>
      </c>
      <c r="H892" s="43">
        <f>('Raw Data'!F894+Bill!$R$2)</f>
        <v>20</v>
      </c>
      <c r="I892" s="36">
        <f>'Raw Data'!G894/100</f>
        <v>0</v>
      </c>
      <c r="K892" s="37">
        <f>Bill!$Y892</f>
        <v>46450</v>
      </c>
      <c r="L892" s="38">
        <f>Bill!$AA892*('Raw Data'!$E894+$L$2)</f>
        <v>0</v>
      </c>
      <c r="M892" s="38">
        <f>Bill!$AB892*('Raw Data'!$E894+$M$2)</f>
        <v>0</v>
      </c>
      <c r="N892" s="38">
        <f>(('Raw Data'!$F894 * 2)-10)*Bill!$AC892</f>
        <v>0</v>
      </c>
      <c r="O892" s="38">
        <f>('Raw Data'!F894+Bill!$O$2)*Bill!$AD892</f>
        <v>0</v>
      </c>
      <c r="P892" s="38">
        <f>('Raw Data'!F894+Bill!$P$2)*Bill!$AE892</f>
        <v>0</v>
      </c>
      <c r="Q892" s="38">
        <f>Bill!$Z892*('Raw Data'!$E894+$Q$2)</f>
        <v>0</v>
      </c>
      <c r="R892" s="38">
        <f>('Raw Data'!F894+Bill!$R$2)*Bill!$AF892</f>
        <v>0</v>
      </c>
      <c r="S892" s="48">
        <f>('Raw Data'!G894/100)*Bill!$AG892</f>
        <v>0</v>
      </c>
      <c r="T892" s="38">
        <f>SUM(Bill!$L892:$R892)</f>
        <v>0</v>
      </c>
      <c r="U892" s="53"/>
      <c r="V892" s="50"/>
      <c r="W892" s="38">
        <f>Bill!$U892-Bill!$T892</f>
        <v>0</v>
      </c>
      <c r="Y892" s="37">
        <f>'Raw Data'!D894</f>
        <v>46450</v>
      </c>
      <c r="Z892" s="47">
        <v>0.0</v>
      </c>
      <c r="AA892" s="47"/>
      <c r="AB892" s="47"/>
      <c r="AC892" s="47"/>
      <c r="AD892" s="47"/>
      <c r="AE892" s="47"/>
      <c r="AF892" s="47"/>
      <c r="AG892" s="47"/>
    </row>
    <row r="893" ht="15.75" customHeight="1">
      <c r="A893" s="35">
        <f>Bill!$Y893</f>
        <v>46451</v>
      </c>
      <c r="B893" s="43">
        <f>'Raw Data'!E895+Bill!$L$2</f>
        <v>20</v>
      </c>
      <c r="C893" s="43">
        <f>'Raw Data'!E895+Bill!$M$2</f>
        <v>25</v>
      </c>
      <c r="D893" s="43">
        <f>('Raw Data'!$F895*2)-10</f>
        <v>-10</v>
      </c>
      <c r="E893" s="43">
        <f>'Raw Data'!F895+Bill!$O$2</f>
        <v>20</v>
      </c>
      <c r="F893" s="43">
        <f>'Raw Data'!F895+Bill!$P$2</f>
        <v>25</v>
      </c>
      <c r="G893" s="43">
        <f>'Raw Data'!E895+Bill!$Q$2</f>
        <v>50</v>
      </c>
      <c r="H893" s="43">
        <f>('Raw Data'!F895+Bill!$R$2)</f>
        <v>20</v>
      </c>
      <c r="I893" s="36">
        <f>'Raw Data'!G895/100</f>
        <v>0</v>
      </c>
      <c r="K893" s="37">
        <f>Bill!$Y893</f>
        <v>46451</v>
      </c>
      <c r="L893" s="38">
        <f>Bill!$AA893*('Raw Data'!$E895+$L$2)</f>
        <v>0</v>
      </c>
      <c r="M893" s="38">
        <f>Bill!$AB893*('Raw Data'!$E895+$M$2)</f>
        <v>0</v>
      </c>
      <c r="N893" s="38">
        <f>(('Raw Data'!$F895 * 2)-10)*Bill!$AC893</f>
        <v>0</v>
      </c>
      <c r="O893" s="38">
        <f>('Raw Data'!F895+Bill!$O$2)*Bill!$AD893</f>
        <v>0</v>
      </c>
      <c r="P893" s="38">
        <f>('Raw Data'!F895+Bill!$P$2)*Bill!$AE893</f>
        <v>0</v>
      </c>
      <c r="Q893" s="38">
        <f>Bill!$Z893*('Raw Data'!$E895+$Q$2)</f>
        <v>0</v>
      </c>
      <c r="R893" s="38">
        <f>('Raw Data'!F895+Bill!$R$2)*Bill!$AF893</f>
        <v>0</v>
      </c>
      <c r="S893" s="48">
        <f>('Raw Data'!G895/100)*Bill!$AG893</f>
        <v>0</v>
      </c>
      <c r="T893" s="38">
        <f>SUM(Bill!$L893:$R893)</f>
        <v>0</v>
      </c>
      <c r="U893" s="53"/>
      <c r="V893" s="50"/>
      <c r="W893" s="38">
        <f>Bill!$U893-Bill!$T893</f>
        <v>0</v>
      </c>
      <c r="Y893" s="37">
        <f>'Raw Data'!D895</f>
        <v>46451</v>
      </c>
      <c r="Z893" s="47">
        <v>0.0</v>
      </c>
      <c r="AA893" s="47"/>
      <c r="AB893" s="47"/>
      <c r="AC893" s="47"/>
      <c r="AD893" s="47"/>
      <c r="AE893" s="47"/>
      <c r="AF893" s="47"/>
      <c r="AG893" s="47"/>
    </row>
    <row r="894" ht="15.75" customHeight="1">
      <c r="A894" s="35">
        <f>Bill!$Y894</f>
        <v>46452</v>
      </c>
      <c r="B894" s="43">
        <f>'Raw Data'!E896+Bill!$L$2</f>
        <v>20</v>
      </c>
      <c r="C894" s="43">
        <f>'Raw Data'!E896+Bill!$M$2</f>
        <v>25</v>
      </c>
      <c r="D894" s="43">
        <f>('Raw Data'!$F896*2)-10</f>
        <v>-10</v>
      </c>
      <c r="E894" s="43">
        <f>'Raw Data'!F896+Bill!$O$2</f>
        <v>20</v>
      </c>
      <c r="F894" s="43">
        <f>'Raw Data'!F896+Bill!$P$2</f>
        <v>25</v>
      </c>
      <c r="G894" s="43">
        <f>'Raw Data'!E896+Bill!$Q$2</f>
        <v>50</v>
      </c>
      <c r="H894" s="43">
        <f>('Raw Data'!F896+Bill!$R$2)</f>
        <v>20</v>
      </c>
      <c r="I894" s="36">
        <f>'Raw Data'!G896/100</f>
        <v>0</v>
      </c>
      <c r="K894" s="37">
        <f>Bill!$Y894</f>
        <v>46452</v>
      </c>
      <c r="L894" s="38">
        <f>Bill!$AA894*('Raw Data'!$E896+$L$2)</f>
        <v>0</v>
      </c>
      <c r="M894" s="38">
        <f>Bill!$AB894*('Raw Data'!$E896+$M$2)</f>
        <v>0</v>
      </c>
      <c r="N894" s="38">
        <f>(('Raw Data'!$F896 * 2)-10)*Bill!$AC894</f>
        <v>0</v>
      </c>
      <c r="O894" s="38">
        <f>('Raw Data'!F896+Bill!$O$2)*Bill!$AD894</f>
        <v>0</v>
      </c>
      <c r="P894" s="38">
        <f>('Raw Data'!F896+Bill!$P$2)*Bill!$AE894</f>
        <v>0</v>
      </c>
      <c r="Q894" s="38">
        <f>Bill!$Z894*('Raw Data'!$E896+$Q$2)</f>
        <v>0</v>
      </c>
      <c r="R894" s="38">
        <f>('Raw Data'!F896+Bill!$R$2)*Bill!$AF894</f>
        <v>0</v>
      </c>
      <c r="S894" s="48">
        <f>('Raw Data'!G896/100)*Bill!$AG894</f>
        <v>0</v>
      </c>
      <c r="T894" s="38">
        <f>SUM(Bill!$L894:$R894)</f>
        <v>0</v>
      </c>
      <c r="U894" s="53"/>
      <c r="V894" s="50"/>
      <c r="W894" s="38">
        <f>Bill!$U894-Bill!$T894</f>
        <v>0</v>
      </c>
      <c r="Y894" s="37">
        <f>'Raw Data'!D896</f>
        <v>46452</v>
      </c>
      <c r="Z894" s="47">
        <v>0.0</v>
      </c>
      <c r="AA894" s="47"/>
      <c r="AB894" s="47"/>
      <c r="AC894" s="47"/>
      <c r="AD894" s="47"/>
      <c r="AE894" s="47"/>
      <c r="AF894" s="47"/>
      <c r="AG894" s="47"/>
    </row>
    <row r="895" ht="15.75" customHeight="1">
      <c r="A895" s="35">
        <f>Bill!$Y895</f>
        <v>46453</v>
      </c>
      <c r="B895" s="43">
        <f>'Raw Data'!E897+Bill!$L$2</f>
        <v>20</v>
      </c>
      <c r="C895" s="43">
        <f>'Raw Data'!E897+Bill!$M$2</f>
        <v>25</v>
      </c>
      <c r="D895" s="43">
        <f>('Raw Data'!$F897*2)-10</f>
        <v>-10</v>
      </c>
      <c r="E895" s="43">
        <f>'Raw Data'!F897+Bill!$O$2</f>
        <v>20</v>
      </c>
      <c r="F895" s="43">
        <f>'Raw Data'!F897+Bill!$P$2</f>
        <v>25</v>
      </c>
      <c r="G895" s="43">
        <f>'Raw Data'!E897+Bill!$Q$2</f>
        <v>50</v>
      </c>
      <c r="H895" s="43">
        <f>('Raw Data'!F897+Bill!$R$2)</f>
        <v>20</v>
      </c>
      <c r="I895" s="36">
        <f>'Raw Data'!G897/100</f>
        <v>0</v>
      </c>
      <c r="K895" s="37">
        <f>Bill!$Y895</f>
        <v>46453</v>
      </c>
      <c r="L895" s="38">
        <f>Bill!$AA895*('Raw Data'!$E897+$L$2)</f>
        <v>0</v>
      </c>
      <c r="M895" s="38">
        <f>Bill!$AB895*('Raw Data'!$E897+$M$2)</f>
        <v>0</v>
      </c>
      <c r="N895" s="38">
        <f>(('Raw Data'!$F897 * 2)-10)*Bill!$AC895</f>
        <v>0</v>
      </c>
      <c r="O895" s="38">
        <f>('Raw Data'!F897+Bill!$O$2)*Bill!$AD895</f>
        <v>0</v>
      </c>
      <c r="P895" s="38">
        <f>('Raw Data'!F897+Bill!$P$2)*Bill!$AE895</f>
        <v>0</v>
      </c>
      <c r="Q895" s="38">
        <f>Bill!$Z895*('Raw Data'!$E897+$Q$2)</f>
        <v>0</v>
      </c>
      <c r="R895" s="38">
        <f>('Raw Data'!F897+Bill!$R$2)*Bill!$AF895</f>
        <v>0</v>
      </c>
      <c r="S895" s="48">
        <f>('Raw Data'!G897/100)*Bill!$AG895</f>
        <v>0</v>
      </c>
      <c r="T895" s="38">
        <f>SUM(Bill!$L895:$R895)</f>
        <v>0</v>
      </c>
      <c r="U895" s="53"/>
      <c r="V895" s="50"/>
      <c r="W895" s="38">
        <f>Bill!$U895-Bill!$T895</f>
        <v>0</v>
      </c>
      <c r="Y895" s="37">
        <f>'Raw Data'!D897</f>
        <v>46453</v>
      </c>
      <c r="Z895" s="47">
        <v>0.0</v>
      </c>
      <c r="AA895" s="47"/>
      <c r="AB895" s="47"/>
      <c r="AC895" s="47"/>
      <c r="AD895" s="47"/>
      <c r="AE895" s="47"/>
      <c r="AF895" s="47"/>
      <c r="AG895" s="47"/>
    </row>
    <row r="896" ht="15.75" customHeight="1">
      <c r="A896" s="35">
        <f>Bill!$Y896</f>
        <v>46454</v>
      </c>
      <c r="B896" s="43">
        <f>'Raw Data'!E898+Bill!$L$2</f>
        <v>20</v>
      </c>
      <c r="C896" s="43">
        <f>'Raw Data'!E898+Bill!$M$2</f>
        <v>25</v>
      </c>
      <c r="D896" s="43">
        <f>('Raw Data'!$F898*2)-10</f>
        <v>-10</v>
      </c>
      <c r="E896" s="43">
        <f>'Raw Data'!F898+Bill!$O$2</f>
        <v>20</v>
      </c>
      <c r="F896" s="43">
        <f>'Raw Data'!F898+Bill!$P$2</f>
        <v>25</v>
      </c>
      <c r="G896" s="43">
        <f>'Raw Data'!E898+Bill!$Q$2</f>
        <v>50</v>
      </c>
      <c r="H896" s="43">
        <f>('Raw Data'!F898+Bill!$R$2)</f>
        <v>20</v>
      </c>
      <c r="I896" s="36">
        <f>'Raw Data'!G898/100</f>
        <v>0</v>
      </c>
      <c r="K896" s="37">
        <f>Bill!$Y896</f>
        <v>46454</v>
      </c>
      <c r="L896" s="38">
        <f>Bill!$AA896*('Raw Data'!$E898+$L$2)</f>
        <v>0</v>
      </c>
      <c r="M896" s="38">
        <f>Bill!$AB896*('Raw Data'!$E898+$M$2)</f>
        <v>0</v>
      </c>
      <c r="N896" s="38">
        <f>(('Raw Data'!$F898 * 2)-10)*Bill!$AC896</f>
        <v>0</v>
      </c>
      <c r="O896" s="38">
        <f>('Raw Data'!F898+Bill!$O$2)*Bill!$AD896</f>
        <v>0</v>
      </c>
      <c r="P896" s="38">
        <f>('Raw Data'!F898+Bill!$P$2)*Bill!$AE896</f>
        <v>0</v>
      </c>
      <c r="Q896" s="38">
        <f>Bill!$Z896*('Raw Data'!$E898+$Q$2)</f>
        <v>0</v>
      </c>
      <c r="R896" s="38">
        <f>('Raw Data'!F898+Bill!$R$2)*Bill!$AF896</f>
        <v>0</v>
      </c>
      <c r="S896" s="48">
        <f>('Raw Data'!G898/100)*Bill!$AG896</f>
        <v>0</v>
      </c>
      <c r="T896" s="38">
        <f>SUM(Bill!$L896:$R896)</f>
        <v>0</v>
      </c>
      <c r="U896" s="53"/>
      <c r="V896" s="50"/>
      <c r="W896" s="38">
        <f>Bill!$U896-Bill!$T896</f>
        <v>0</v>
      </c>
      <c r="Y896" s="37">
        <f>'Raw Data'!D898</f>
        <v>46454</v>
      </c>
      <c r="Z896" s="47">
        <v>0.0</v>
      </c>
      <c r="AA896" s="47"/>
      <c r="AB896" s="47"/>
      <c r="AC896" s="47"/>
      <c r="AD896" s="47"/>
      <c r="AE896" s="47"/>
      <c r="AF896" s="47"/>
      <c r="AG896" s="47"/>
    </row>
    <row r="897" ht="15.75" customHeight="1">
      <c r="A897" s="35">
        <f>Bill!$Y897</f>
        <v>46455</v>
      </c>
      <c r="B897" s="43">
        <f>'Raw Data'!E899+Bill!$L$2</f>
        <v>20</v>
      </c>
      <c r="C897" s="43">
        <f>'Raw Data'!E899+Bill!$M$2</f>
        <v>25</v>
      </c>
      <c r="D897" s="43">
        <f>('Raw Data'!$F899*2)-10</f>
        <v>-10</v>
      </c>
      <c r="E897" s="43">
        <f>'Raw Data'!F899+Bill!$O$2</f>
        <v>20</v>
      </c>
      <c r="F897" s="43">
        <f>'Raw Data'!F899+Bill!$P$2</f>
        <v>25</v>
      </c>
      <c r="G897" s="43">
        <f>'Raw Data'!E899+Bill!$Q$2</f>
        <v>50</v>
      </c>
      <c r="H897" s="43">
        <f>('Raw Data'!F899+Bill!$R$2)</f>
        <v>20</v>
      </c>
      <c r="I897" s="36">
        <f>'Raw Data'!G899/100</f>
        <v>0</v>
      </c>
      <c r="K897" s="37">
        <f>Bill!$Y897</f>
        <v>46455</v>
      </c>
      <c r="L897" s="38">
        <f>Bill!$AA897*('Raw Data'!$E899+$L$2)</f>
        <v>0</v>
      </c>
      <c r="M897" s="38">
        <f>Bill!$AB897*('Raw Data'!$E899+$M$2)</f>
        <v>0</v>
      </c>
      <c r="N897" s="38">
        <f>(('Raw Data'!$F899 * 2)-10)*Bill!$AC897</f>
        <v>0</v>
      </c>
      <c r="O897" s="38">
        <f>('Raw Data'!F899+Bill!$O$2)*Bill!$AD897</f>
        <v>0</v>
      </c>
      <c r="P897" s="38">
        <f>('Raw Data'!F899+Bill!$P$2)*Bill!$AE897</f>
        <v>0</v>
      </c>
      <c r="Q897" s="38">
        <f>Bill!$Z897*('Raw Data'!$E899+$Q$2)</f>
        <v>0</v>
      </c>
      <c r="R897" s="38">
        <f>('Raw Data'!F899+Bill!$R$2)*Bill!$AF897</f>
        <v>0</v>
      </c>
      <c r="S897" s="48">
        <f>('Raw Data'!G899/100)*Bill!$AG897</f>
        <v>0</v>
      </c>
      <c r="T897" s="38">
        <f>SUM(Bill!$L897:$R897)</f>
        <v>0</v>
      </c>
      <c r="U897" s="53"/>
      <c r="V897" s="50"/>
      <c r="W897" s="38">
        <f>Bill!$U897-Bill!$T897</f>
        <v>0</v>
      </c>
      <c r="Y897" s="37">
        <f>'Raw Data'!D899</f>
        <v>46455</v>
      </c>
      <c r="Z897" s="47">
        <v>0.0</v>
      </c>
      <c r="AA897" s="47"/>
      <c r="AB897" s="47"/>
      <c r="AC897" s="47"/>
      <c r="AD897" s="47"/>
      <c r="AE897" s="47"/>
      <c r="AF897" s="47"/>
      <c r="AG897" s="47"/>
    </row>
    <row r="898" ht="15.75" customHeight="1">
      <c r="A898" s="35">
        <f>Bill!$Y898</f>
        <v>46456</v>
      </c>
      <c r="B898" s="43">
        <f>'Raw Data'!E900+Bill!$L$2</f>
        <v>20</v>
      </c>
      <c r="C898" s="43">
        <f>'Raw Data'!E900+Bill!$M$2</f>
        <v>25</v>
      </c>
      <c r="D898" s="43">
        <f>('Raw Data'!$F900*2)-10</f>
        <v>-10</v>
      </c>
      <c r="E898" s="43">
        <f>'Raw Data'!F900+Bill!$O$2</f>
        <v>20</v>
      </c>
      <c r="F898" s="43">
        <f>'Raw Data'!F900+Bill!$P$2</f>
        <v>25</v>
      </c>
      <c r="G898" s="43">
        <f>'Raw Data'!E900+Bill!$Q$2</f>
        <v>50</v>
      </c>
      <c r="H898" s="43">
        <f>('Raw Data'!F900+Bill!$R$2)</f>
        <v>20</v>
      </c>
      <c r="I898" s="36">
        <f>'Raw Data'!G900/100</f>
        <v>0</v>
      </c>
      <c r="K898" s="37">
        <f>Bill!$Y898</f>
        <v>46456</v>
      </c>
      <c r="L898" s="38">
        <f>Bill!$AA898*('Raw Data'!$E900+$L$2)</f>
        <v>0</v>
      </c>
      <c r="M898" s="38">
        <f>Bill!$AB898*('Raw Data'!$E900+$M$2)</f>
        <v>0</v>
      </c>
      <c r="N898" s="38">
        <f>(('Raw Data'!$F900 * 2)-10)*Bill!$AC898</f>
        <v>0</v>
      </c>
      <c r="O898" s="38">
        <f>('Raw Data'!F900+Bill!$O$2)*Bill!$AD898</f>
        <v>0</v>
      </c>
      <c r="P898" s="38">
        <f>('Raw Data'!F900+Bill!$P$2)*Bill!$AE898</f>
        <v>0</v>
      </c>
      <c r="Q898" s="38">
        <f>Bill!$Z898*('Raw Data'!$E900+$Q$2)</f>
        <v>0</v>
      </c>
      <c r="R898" s="38">
        <f>('Raw Data'!F900+Bill!$R$2)*Bill!$AF898</f>
        <v>0</v>
      </c>
      <c r="S898" s="48">
        <f>('Raw Data'!G900/100)*Bill!$AG898</f>
        <v>0</v>
      </c>
      <c r="T898" s="38">
        <f>SUM(Bill!$L898:$R898)</f>
        <v>0</v>
      </c>
      <c r="U898" s="53"/>
      <c r="V898" s="50"/>
      <c r="W898" s="38">
        <f>Bill!$U898-Bill!$T898</f>
        <v>0</v>
      </c>
      <c r="Y898" s="37">
        <f>'Raw Data'!D900</f>
        <v>46456</v>
      </c>
      <c r="Z898" s="47">
        <v>0.0</v>
      </c>
      <c r="AA898" s="47"/>
      <c r="AB898" s="47"/>
      <c r="AC898" s="47"/>
      <c r="AD898" s="47"/>
      <c r="AE898" s="47"/>
      <c r="AF898" s="47"/>
      <c r="AG898" s="47"/>
    </row>
    <row r="899" ht="15.75" customHeight="1">
      <c r="A899" s="35">
        <f>Bill!$Y899</f>
        <v>46457</v>
      </c>
      <c r="B899" s="43">
        <f>'Raw Data'!E901+Bill!$L$2</f>
        <v>20</v>
      </c>
      <c r="C899" s="43">
        <f>'Raw Data'!E901+Bill!$M$2</f>
        <v>25</v>
      </c>
      <c r="D899" s="43">
        <f>('Raw Data'!$F901*2)-10</f>
        <v>-10</v>
      </c>
      <c r="E899" s="43">
        <f>'Raw Data'!F901+Bill!$O$2</f>
        <v>20</v>
      </c>
      <c r="F899" s="43">
        <f>'Raw Data'!F901+Bill!$P$2</f>
        <v>25</v>
      </c>
      <c r="G899" s="43">
        <f>'Raw Data'!E901+Bill!$Q$2</f>
        <v>50</v>
      </c>
      <c r="H899" s="43">
        <f>('Raw Data'!F901+Bill!$R$2)</f>
        <v>20</v>
      </c>
      <c r="I899" s="36">
        <f>'Raw Data'!G901/100</f>
        <v>0</v>
      </c>
      <c r="K899" s="37">
        <f>Bill!$Y899</f>
        <v>46457</v>
      </c>
      <c r="L899" s="38">
        <f>Bill!$AA899*('Raw Data'!$E901+$L$2)</f>
        <v>0</v>
      </c>
      <c r="M899" s="38">
        <f>Bill!$AB899*('Raw Data'!$E901+$M$2)</f>
        <v>0</v>
      </c>
      <c r="N899" s="38">
        <f>(('Raw Data'!$F901 * 2)-10)*Bill!$AC899</f>
        <v>0</v>
      </c>
      <c r="O899" s="38">
        <f>('Raw Data'!F901+Bill!$O$2)*Bill!$AD899</f>
        <v>0</v>
      </c>
      <c r="P899" s="38">
        <f>('Raw Data'!F901+Bill!$P$2)*Bill!$AE899</f>
        <v>0</v>
      </c>
      <c r="Q899" s="38">
        <f>Bill!$Z899*('Raw Data'!$E901+$Q$2)</f>
        <v>0</v>
      </c>
      <c r="R899" s="38">
        <f>('Raw Data'!F901+Bill!$R$2)*Bill!$AF899</f>
        <v>0</v>
      </c>
      <c r="S899" s="48">
        <f>('Raw Data'!G901/100)*Bill!$AG899</f>
        <v>0</v>
      </c>
      <c r="T899" s="38">
        <f>SUM(Bill!$L899:$R899)</f>
        <v>0</v>
      </c>
      <c r="U899" s="53"/>
      <c r="V899" s="50"/>
      <c r="W899" s="38">
        <f>Bill!$U899-Bill!$T899</f>
        <v>0</v>
      </c>
      <c r="Y899" s="37">
        <f>'Raw Data'!D901</f>
        <v>46457</v>
      </c>
      <c r="Z899" s="47">
        <v>0.0</v>
      </c>
      <c r="AA899" s="47"/>
      <c r="AB899" s="47"/>
      <c r="AC899" s="47"/>
      <c r="AD899" s="47"/>
      <c r="AE899" s="47"/>
      <c r="AF899" s="47"/>
      <c r="AG899" s="47"/>
    </row>
    <row r="900" ht="15.75" customHeight="1">
      <c r="A900" s="35">
        <f>Bill!$Y900</f>
        <v>46458</v>
      </c>
      <c r="B900" s="43">
        <f>'Raw Data'!E902+Bill!$L$2</f>
        <v>20</v>
      </c>
      <c r="C900" s="43">
        <f>'Raw Data'!E902+Bill!$M$2</f>
        <v>25</v>
      </c>
      <c r="D900" s="43">
        <f>('Raw Data'!$F902*2)-10</f>
        <v>-10</v>
      </c>
      <c r="E900" s="43">
        <f>'Raw Data'!F902+Bill!$O$2</f>
        <v>20</v>
      </c>
      <c r="F900" s="43">
        <f>'Raw Data'!F902+Bill!$P$2</f>
        <v>25</v>
      </c>
      <c r="G900" s="43">
        <f>'Raw Data'!E902+Bill!$Q$2</f>
        <v>50</v>
      </c>
      <c r="H900" s="43">
        <f>('Raw Data'!F902+Bill!$R$2)</f>
        <v>20</v>
      </c>
      <c r="I900" s="36">
        <f>'Raw Data'!G902/100</f>
        <v>0</v>
      </c>
      <c r="K900" s="37">
        <f>Bill!$Y900</f>
        <v>46458</v>
      </c>
      <c r="L900" s="38">
        <f>Bill!$AA900*('Raw Data'!$E902+$L$2)</f>
        <v>0</v>
      </c>
      <c r="M900" s="38">
        <f>Bill!$AB900*('Raw Data'!$E902+$M$2)</f>
        <v>0</v>
      </c>
      <c r="N900" s="38">
        <f>(('Raw Data'!$F902 * 2)-10)*Bill!$AC900</f>
        <v>0</v>
      </c>
      <c r="O900" s="38">
        <f>('Raw Data'!F902+Bill!$O$2)*Bill!$AD900</f>
        <v>0</v>
      </c>
      <c r="P900" s="38">
        <f>('Raw Data'!F902+Bill!$P$2)*Bill!$AE900</f>
        <v>0</v>
      </c>
      <c r="Q900" s="38">
        <f>Bill!$Z900*('Raw Data'!$E902+$Q$2)</f>
        <v>0</v>
      </c>
      <c r="R900" s="38">
        <f>('Raw Data'!F902+Bill!$R$2)*Bill!$AF900</f>
        <v>0</v>
      </c>
      <c r="S900" s="48">
        <f>('Raw Data'!G902/100)*Bill!$AG900</f>
        <v>0</v>
      </c>
      <c r="T900" s="38">
        <f>SUM(Bill!$L900:$R900)</f>
        <v>0</v>
      </c>
      <c r="U900" s="53"/>
      <c r="V900" s="50"/>
      <c r="W900" s="38">
        <f>Bill!$U900-Bill!$T900</f>
        <v>0</v>
      </c>
      <c r="Y900" s="37">
        <f>'Raw Data'!D902</f>
        <v>46458</v>
      </c>
      <c r="Z900" s="47">
        <v>0.0</v>
      </c>
      <c r="AA900" s="47"/>
      <c r="AB900" s="47"/>
      <c r="AC900" s="47"/>
      <c r="AD900" s="47"/>
      <c r="AE900" s="47"/>
      <c r="AF900" s="47"/>
      <c r="AG900" s="47"/>
    </row>
    <row r="901" ht="15.75" customHeight="1">
      <c r="A901" s="35">
        <f>Bill!$Y901</f>
        <v>46459</v>
      </c>
      <c r="B901" s="43">
        <f>'Raw Data'!E903+Bill!$L$2</f>
        <v>20</v>
      </c>
      <c r="C901" s="43">
        <f>'Raw Data'!E903+Bill!$M$2</f>
        <v>25</v>
      </c>
      <c r="D901" s="43">
        <f>('Raw Data'!$F903*2)-10</f>
        <v>-10</v>
      </c>
      <c r="E901" s="43">
        <f>'Raw Data'!F903+Bill!$O$2</f>
        <v>20</v>
      </c>
      <c r="F901" s="43">
        <f>'Raw Data'!F903+Bill!$P$2</f>
        <v>25</v>
      </c>
      <c r="G901" s="43">
        <f>'Raw Data'!E903+Bill!$Q$2</f>
        <v>50</v>
      </c>
      <c r="H901" s="43">
        <f>('Raw Data'!F903+Bill!$R$2)</f>
        <v>20</v>
      </c>
      <c r="I901" s="36">
        <f>'Raw Data'!G903/100</f>
        <v>0</v>
      </c>
      <c r="K901" s="37">
        <f>Bill!$Y901</f>
        <v>46459</v>
      </c>
      <c r="L901" s="38">
        <f>Bill!$AA901*('Raw Data'!$E903+$L$2)</f>
        <v>0</v>
      </c>
      <c r="M901" s="38">
        <f>Bill!$AB901*('Raw Data'!$E903+$M$2)</f>
        <v>0</v>
      </c>
      <c r="N901" s="38">
        <f>(('Raw Data'!$F903 * 2)-10)*Bill!$AC901</f>
        <v>0</v>
      </c>
      <c r="O901" s="38">
        <f>('Raw Data'!F903+Bill!$O$2)*Bill!$AD901</f>
        <v>0</v>
      </c>
      <c r="P901" s="38">
        <f>('Raw Data'!F903+Bill!$P$2)*Bill!$AE901</f>
        <v>0</v>
      </c>
      <c r="Q901" s="38">
        <f>Bill!$Z901*('Raw Data'!$E903+$Q$2)</f>
        <v>0</v>
      </c>
      <c r="R901" s="38">
        <f>('Raw Data'!F903+Bill!$R$2)*Bill!$AF901</f>
        <v>0</v>
      </c>
      <c r="S901" s="48">
        <f>('Raw Data'!G903/100)*Bill!$AG901</f>
        <v>0</v>
      </c>
      <c r="T901" s="38">
        <f>SUM(Bill!$L901:$R901)</f>
        <v>0</v>
      </c>
      <c r="U901" s="53"/>
      <c r="V901" s="50"/>
      <c r="W901" s="38">
        <f>Bill!$U901-Bill!$T901</f>
        <v>0</v>
      </c>
      <c r="Y901" s="37">
        <f>'Raw Data'!D903</f>
        <v>46459</v>
      </c>
      <c r="Z901" s="47">
        <v>0.0</v>
      </c>
      <c r="AA901" s="47"/>
      <c r="AB901" s="47"/>
      <c r="AC901" s="47"/>
      <c r="AD901" s="47"/>
      <c r="AE901" s="47"/>
      <c r="AF901" s="47"/>
      <c r="AG901" s="47"/>
    </row>
    <row r="902" ht="15.75" customHeight="1">
      <c r="A902" s="35">
        <f>Bill!$Y902</f>
        <v>46460</v>
      </c>
      <c r="B902" s="43">
        <f>'Raw Data'!E904+Bill!$L$2</f>
        <v>20</v>
      </c>
      <c r="C902" s="43">
        <f>'Raw Data'!E904+Bill!$M$2</f>
        <v>25</v>
      </c>
      <c r="D902" s="43">
        <f>('Raw Data'!$F904*2)-10</f>
        <v>-10</v>
      </c>
      <c r="E902" s="43">
        <f>'Raw Data'!F904+Bill!$O$2</f>
        <v>20</v>
      </c>
      <c r="F902" s="43">
        <f>'Raw Data'!F904+Bill!$P$2</f>
        <v>25</v>
      </c>
      <c r="G902" s="43">
        <f>'Raw Data'!E904+Bill!$Q$2</f>
        <v>50</v>
      </c>
      <c r="H902" s="43">
        <f>('Raw Data'!F904+Bill!$R$2)</f>
        <v>20</v>
      </c>
      <c r="I902" s="36">
        <f>'Raw Data'!G904/100</f>
        <v>0</v>
      </c>
      <c r="K902" s="37">
        <f>Bill!$Y902</f>
        <v>46460</v>
      </c>
      <c r="L902" s="38">
        <f>Bill!$AA902*('Raw Data'!$E904+$L$2)</f>
        <v>0</v>
      </c>
      <c r="M902" s="38">
        <f>Bill!$AB902*('Raw Data'!$E904+$M$2)</f>
        <v>0</v>
      </c>
      <c r="N902" s="38">
        <f>(('Raw Data'!$F904 * 2)-10)*Bill!$AC902</f>
        <v>0</v>
      </c>
      <c r="O902" s="38">
        <f>('Raw Data'!F904+Bill!$O$2)*Bill!$AD902</f>
        <v>0</v>
      </c>
      <c r="P902" s="38">
        <f>('Raw Data'!F904+Bill!$P$2)*Bill!$AE902</f>
        <v>0</v>
      </c>
      <c r="Q902" s="38">
        <f>Bill!$Z902*('Raw Data'!$E904+$Q$2)</f>
        <v>0</v>
      </c>
      <c r="R902" s="38">
        <f>('Raw Data'!F904+Bill!$R$2)*Bill!$AF902</f>
        <v>0</v>
      </c>
      <c r="S902" s="48">
        <f>('Raw Data'!G904/100)*Bill!$AG902</f>
        <v>0</v>
      </c>
      <c r="T902" s="38">
        <f>SUM(Bill!$L902:$R902)</f>
        <v>0</v>
      </c>
      <c r="U902" s="53"/>
      <c r="V902" s="50"/>
      <c r="W902" s="38">
        <f>Bill!$U902-Bill!$T902</f>
        <v>0</v>
      </c>
      <c r="Y902" s="37">
        <f>'Raw Data'!D904</f>
        <v>46460</v>
      </c>
      <c r="Z902" s="47">
        <v>0.0</v>
      </c>
      <c r="AA902" s="47"/>
      <c r="AB902" s="47"/>
      <c r="AC902" s="47"/>
      <c r="AD902" s="47"/>
      <c r="AE902" s="47"/>
      <c r="AF902" s="47"/>
      <c r="AG902" s="47"/>
    </row>
    <row r="903" ht="15.75" customHeight="1">
      <c r="A903" s="35">
        <f>Bill!$Y903</f>
        <v>46461</v>
      </c>
      <c r="B903" s="43">
        <f>'Raw Data'!E905+Bill!$L$2</f>
        <v>20</v>
      </c>
      <c r="C903" s="43">
        <f>'Raw Data'!E905+Bill!$M$2</f>
        <v>25</v>
      </c>
      <c r="D903" s="43">
        <f>('Raw Data'!$F905*2)-10</f>
        <v>-10</v>
      </c>
      <c r="E903" s="43">
        <f>'Raw Data'!F905+Bill!$O$2</f>
        <v>20</v>
      </c>
      <c r="F903" s="43">
        <f>'Raw Data'!F905+Bill!$P$2</f>
        <v>25</v>
      </c>
      <c r="G903" s="43">
        <f>'Raw Data'!E905+Bill!$Q$2</f>
        <v>50</v>
      </c>
      <c r="H903" s="43">
        <f>('Raw Data'!F905+Bill!$R$2)</f>
        <v>20</v>
      </c>
      <c r="I903" s="36">
        <f>'Raw Data'!G905/100</f>
        <v>0</v>
      </c>
      <c r="K903" s="37">
        <f>Bill!$Y903</f>
        <v>46461</v>
      </c>
      <c r="L903" s="38">
        <f>Bill!$AA903*('Raw Data'!$E905+$L$2)</f>
        <v>0</v>
      </c>
      <c r="M903" s="38">
        <f>Bill!$AB903*('Raw Data'!$E905+$M$2)</f>
        <v>0</v>
      </c>
      <c r="N903" s="38">
        <f>(('Raw Data'!$F905 * 2)-10)*Bill!$AC903</f>
        <v>0</v>
      </c>
      <c r="O903" s="38">
        <f>('Raw Data'!F905+Bill!$O$2)*Bill!$AD903</f>
        <v>0</v>
      </c>
      <c r="P903" s="38">
        <f>('Raw Data'!F905+Bill!$P$2)*Bill!$AE903</f>
        <v>0</v>
      </c>
      <c r="Q903" s="38">
        <f>Bill!$Z903*('Raw Data'!$E905+$Q$2)</f>
        <v>0</v>
      </c>
      <c r="R903" s="38">
        <f>('Raw Data'!F905+Bill!$R$2)*Bill!$AF903</f>
        <v>0</v>
      </c>
      <c r="S903" s="48">
        <f>('Raw Data'!G905/100)*Bill!$AG903</f>
        <v>0</v>
      </c>
      <c r="T903" s="38">
        <f>SUM(Bill!$L903:$R903)</f>
        <v>0</v>
      </c>
      <c r="U903" s="53"/>
      <c r="V903" s="50"/>
      <c r="W903" s="38">
        <f>Bill!$U903-Bill!$T903</f>
        <v>0</v>
      </c>
      <c r="Y903" s="37">
        <f>'Raw Data'!D905</f>
        <v>46461</v>
      </c>
      <c r="Z903" s="47">
        <v>0.0</v>
      </c>
      <c r="AA903" s="47"/>
      <c r="AB903" s="47"/>
      <c r="AC903" s="47"/>
      <c r="AD903" s="47"/>
      <c r="AE903" s="47"/>
      <c r="AF903" s="47"/>
      <c r="AG903" s="47"/>
    </row>
    <row r="904" ht="15.75" customHeight="1">
      <c r="A904" s="35">
        <f>Bill!$Y904</f>
        <v>46462</v>
      </c>
      <c r="B904" s="43">
        <f>'Raw Data'!E906+Bill!$L$2</f>
        <v>20</v>
      </c>
      <c r="C904" s="43">
        <f>'Raw Data'!E906+Bill!$M$2</f>
        <v>25</v>
      </c>
      <c r="D904" s="43">
        <f>('Raw Data'!$F906*2)-10</f>
        <v>-10</v>
      </c>
      <c r="E904" s="43">
        <f>'Raw Data'!F906+Bill!$O$2</f>
        <v>20</v>
      </c>
      <c r="F904" s="43">
        <f>'Raw Data'!F906+Bill!$P$2</f>
        <v>25</v>
      </c>
      <c r="G904" s="43">
        <f>'Raw Data'!E906+Bill!$Q$2</f>
        <v>50</v>
      </c>
      <c r="H904" s="43">
        <f>('Raw Data'!F906+Bill!$R$2)</f>
        <v>20</v>
      </c>
      <c r="I904" s="36">
        <f>'Raw Data'!G906/100</f>
        <v>0</v>
      </c>
      <c r="K904" s="37">
        <f>Bill!$Y904</f>
        <v>46462</v>
      </c>
      <c r="L904" s="38">
        <f>Bill!$AA904*('Raw Data'!$E906+$L$2)</f>
        <v>0</v>
      </c>
      <c r="M904" s="38">
        <f>Bill!$AB904*('Raw Data'!$E906+$M$2)</f>
        <v>0</v>
      </c>
      <c r="N904" s="38">
        <f>(('Raw Data'!$F906 * 2)-10)*Bill!$AC904</f>
        <v>0</v>
      </c>
      <c r="O904" s="38">
        <f>('Raw Data'!F906+Bill!$O$2)*Bill!$AD904</f>
        <v>0</v>
      </c>
      <c r="P904" s="38">
        <f>('Raw Data'!F906+Bill!$P$2)*Bill!$AE904</f>
        <v>0</v>
      </c>
      <c r="Q904" s="38">
        <f>Bill!$Z904*('Raw Data'!$E906+$Q$2)</f>
        <v>0</v>
      </c>
      <c r="R904" s="38">
        <f>('Raw Data'!F906+Bill!$R$2)*Bill!$AF904</f>
        <v>0</v>
      </c>
      <c r="S904" s="48">
        <f>('Raw Data'!G906/100)*Bill!$AG904</f>
        <v>0</v>
      </c>
      <c r="T904" s="38">
        <f>SUM(Bill!$L904:$R904)</f>
        <v>0</v>
      </c>
      <c r="U904" s="53"/>
      <c r="V904" s="50"/>
      <c r="W904" s="38">
        <f>Bill!$U904-Bill!$T904</f>
        <v>0</v>
      </c>
      <c r="Y904" s="37">
        <f>'Raw Data'!D906</f>
        <v>46462</v>
      </c>
      <c r="Z904" s="47">
        <v>0.0</v>
      </c>
      <c r="AA904" s="47"/>
      <c r="AB904" s="47"/>
      <c r="AC904" s="47"/>
      <c r="AD904" s="47"/>
      <c r="AE904" s="47"/>
      <c r="AF904" s="47"/>
      <c r="AG904" s="47"/>
    </row>
    <row r="905" ht="15.75" customHeight="1">
      <c r="A905" s="35">
        <f>Bill!$Y905</f>
        <v>46463</v>
      </c>
      <c r="B905" s="43">
        <f>'Raw Data'!E907+Bill!$L$2</f>
        <v>20</v>
      </c>
      <c r="C905" s="43">
        <f>'Raw Data'!E907+Bill!$M$2</f>
        <v>25</v>
      </c>
      <c r="D905" s="43">
        <f>('Raw Data'!$F907*2)-10</f>
        <v>-10</v>
      </c>
      <c r="E905" s="43">
        <f>'Raw Data'!F907+Bill!$O$2</f>
        <v>20</v>
      </c>
      <c r="F905" s="43">
        <f>'Raw Data'!F907+Bill!$P$2</f>
        <v>25</v>
      </c>
      <c r="G905" s="43">
        <f>'Raw Data'!E907+Bill!$Q$2</f>
        <v>50</v>
      </c>
      <c r="H905" s="43">
        <f>('Raw Data'!F907+Bill!$R$2)</f>
        <v>20</v>
      </c>
      <c r="I905" s="36">
        <f>'Raw Data'!G907/100</f>
        <v>0</v>
      </c>
      <c r="K905" s="37">
        <f>Bill!$Y905</f>
        <v>46463</v>
      </c>
      <c r="L905" s="38">
        <f>Bill!$AA905*('Raw Data'!$E907+$L$2)</f>
        <v>0</v>
      </c>
      <c r="M905" s="38">
        <f>Bill!$AB905*('Raw Data'!$E907+$M$2)</f>
        <v>0</v>
      </c>
      <c r="N905" s="38">
        <f>(('Raw Data'!$F907 * 2)-10)*Bill!$AC905</f>
        <v>0</v>
      </c>
      <c r="O905" s="38">
        <f>('Raw Data'!F907+Bill!$O$2)*Bill!$AD905</f>
        <v>0</v>
      </c>
      <c r="P905" s="38">
        <f>('Raw Data'!F907+Bill!$P$2)*Bill!$AE905</f>
        <v>0</v>
      </c>
      <c r="Q905" s="38">
        <f>Bill!$Z905*('Raw Data'!$E907+$Q$2)</f>
        <v>0</v>
      </c>
      <c r="R905" s="38">
        <f>('Raw Data'!F907+Bill!$R$2)*Bill!$AF905</f>
        <v>0</v>
      </c>
      <c r="S905" s="48">
        <f>('Raw Data'!G907/100)*Bill!$AG905</f>
        <v>0</v>
      </c>
      <c r="T905" s="38">
        <f>SUM(Bill!$L905:$R905)</f>
        <v>0</v>
      </c>
      <c r="U905" s="53"/>
      <c r="V905" s="50"/>
      <c r="W905" s="38">
        <f>Bill!$U905-Bill!$T905</f>
        <v>0</v>
      </c>
      <c r="Y905" s="37">
        <f>'Raw Data'!D907</f>
        <v>46463</v>
      </c>
      <c r="Z905" s="47">
        <v>0.0</v>
      </c>
      <c r="AA905" s="47"/>
      <c r="AB905" s="47"/>
      <c r="AC905" s="47"/>
      <c r="AD905" s="47"/>
      <c r="AE905" s="47"/>
      <c r="AF905" s="47"/>
      <c r="AG905" s="47"/>
    </row>
    <row r="906" ht="15.75" customHeight="1">
      <c r="A906" s="35">
        <f>Bill!$Y906</f>
        <v>46464</v>
      </c>
      <c r="B906" s="43">
        <f>'Raw Data'!E908+Bill!$L$2</f>
        <v>20</v>
      </c>
      <c r="C906" s="43">
        <f>'Raw Data'!E908+Bill!$M$2</f>
        <v>25</v>
      </c>
      <c r="D906" s="43">
        <f>('Raw Data'!$F908*2)-10</f>
        <v>-10</v>
      </c>
      <c r="E906" s="43">
        <f>'Raw Data'!F908+Bill!$O$2</f>
        <v>20</v>
      </c>
      <c r="F906" s="43">
        <f>'Raw Data'!F908+Bill!$P$2</f>
        <v>25</v>
      </c>
      <c r="G906" s="43">
        <f>'Raw Data'!E908+Bill!$Q$2</f>
        <v>50</v>
      </c>
      <c r="H906" s="43">
        <f>('Raw Data'!F908+Bill!$R$2)</f>
        <v>20</v>
      </c>
      <c r="I906" s="36">
        <f>'Raw Data'!G908/100</f>
        <v>0</v>
      </c>
      <c r="K906" s="37">
        <f>Bill!$Y906</f>
        <v>46464</v>
      </c>
      <c r="L906" s="38">
        <f>Bill!$AA906*('Raw Data'!$E908+$L$2)</f>
        <v>0</v>
      </c>
      <c r="M906" s="38">
        <f>Bill!$AB906*('Raw Data'!$E908+$M$2)</f>
        <v>0</v>
      </c>
      <c r="N906" s="38">
        <f>(('Raw Data'!$F908 * 2)-10)*Bill!$AC906</f>
        <v>0</v>
      </c>
      <c r="O906" s="38">
        <f>('Raw Data'!F908+Bill!$O$2)*Bill!$AD906</f>
        <v>0</v>
      </c>
      <c r="P906" s="38">
        <f>('Raw Data'!F908+Bill!$P$2)*Bill!$AE906</f>
        <v>0</v>
      </c>
      <c r="Q906" s="38">
        <f>Bill!$Z906*('Raw Data'!$E908+$Q$2)</f>
        <v>0</v>
      </c>
      <c r="R906" s="38">
        <f>('Raw Data'!F908+Bill!$R$2)*Bill!$AF906</f>
        <v>0</v>
      </c>
      <c r="S906" s="48">
        <f>('Raw Data'!G908/100)*Bill!$AG906</f>
        <v>0</v>
      </c>
      <c r="T906" s="38">
        <f>SUM(Bill!$L906:$R906)</f>
        <v>0</v>
      </c>
      <c r="U906" s="53"/>
      <c r="V906" s="50"/>
      <c r="W906" s="38">
        <f>Bill!$U906-Bill!$T906</f>
        <v>0</v>
      </c>
      <c r="Y906" s="37">
        <f>'Raw Data'!D908</f>
        <v>46464</v>
      </c>
      <c r="Z906" s="47">
        <v>0.0</v>
      </c>
      <c r="AA906" s="47"/>
      <c r="AB906" s="47"/>
      <c r="AC906" s="47"/>
      <c r="AD906" s="47"/>
      <c r="AE906" s="47"/>
      <c r="AF906" s="47"/>
      <c r="AG906" s="47"/>
    </row>
    <row r="907" ht="15.75" customHeight="1">
      <c r="A907" s="35">
        <f>Bill!$Y907</f>
        <v>46465</v>
      </c>
      <c r="B907" s="43">
        <f>'Raw Data'!E909+Bill!$L$2</f>
        <v>20</v>
      </c>
      <c r="C907" s="43">
        <f>'Raw Data'!E909+Bill!$M$2</f>
        <v>25</v>
      </c>
      <c r="D907" s="43">
        <f>('Raw Data'!$F909*2)-10</f>
        <v>-10</v>
      </c>
      <c r="E907" s="43">
        <f>'Raw Data'!F909+Bill!$O$2</f>
        <v>20</v>
      </c>
      <c r="F907" s="43">
        <f>'Raw Data'!F909+Bill!$P$2</f>
        <v>25</v>
      </c>
      <c r="G907" s="43">
        <f>'Raw Data'!E909+Bill!$Q$2</f>
        <v>50</v>
      </c>
      <c r="H907" s="43">
        <f>('Raw Data'!F909+Bill!$R$2)</f>
        <v>20</v>
      </c>
      <c r="I907" s="36">
        <f>'Raw Data'!G909/100</f>
        <v>0</v>
      </c>
      <c r="K907" s="37">
        <f>Bill!$Y907</f>
        <v>46465</v>
      </c>
      <c r="L907" s="38">
        <f>Bill!$AA907*('Raw Data'!$E909+$L$2)</f>
        <v>0</v>
      </c>
      <c r="M907" s="38">
        <f>Bill!$AB907*('Raw Data'!$E909+$M$2)</f>
        <v>0</v>
      </c>
      <c r="N907" s="38">
        <f>(('Raw Data'!$F909 * 2)-10)*Bill!$AC907</f>
        <v>0</v>
      </c>
      <c r="O907" s="38">
        <f>('Raw Data'!F909+Bill!$O$2)*Bill!$AD907</f>
        <v>0</v>
      </c>
      <c r="P907" s="38">
        <f>('Raw Data'!F909+Bill!$P$2)*Bill!$AE907</f>
        <v>0</v>
      </c>
      <c r="Q907" s="38">
        <f>Bill!$Z907*('Raw Data'!$E909+$Q$2)</f>
        <v>0</v>
      </c>
      <c r="R907" s="38">
        <f>('Raw Data'!F909+Bill!$R$2)*Bill!$AF907</f>
        <v>0</v>
      </c>
      <c r="S907" s="48">
        <f>('Raw Data'!G909/100)*Bill!$AG907</f>
        <v>0</v>
      </c>
      <c r="T907" s="38">
        <f>SUM(Bill!$L907:$R907)</f>
        <v>0</v>
      </c>
      <c r="U907" s="53"/>
      <c r="V907" s="50"/>
      <c r="W907" s="38">
        <f>Bill!$U907-Bill!$T907</f>
        <v>0</v>
      </c>
      <c r="Y907" s="37">
        <f>'Raw Data'!D909</f>
        <v>46465</v>
      </c>
      <c r="Z907" s="47">
        <v>0.0</v>
      </c>
      <c r="AA907" s="47"/>
      <c r="AB907" s="47"/>
      <c r="AC907" s="47"/>
      <c r="AD907" s="47"/>
      <c r="AE907" s="47"/>
      <c r="AF907" s="47"/>
      <c r="AG907" s="47"/>
    </row>
    <row r="908" ht="15.75" customHeight="1">
      <c r="A908" s="35">
        <f>Bill!$Y908</f>
        <v>46466</v>
      </c>
      <c r="B908" s="43">
        <f>'Raw Data'!E910+Bill!$L$2</f>
        <v>20</v>
      </c>
      <c r="C908" s="43">
        <f>'Raw Data'!E910+Bill!$M$2</f>
        <v>25</v>
      </c>
      <c r="D908" s="43">
        <f>('Raw Data'!$F910*2)-10</f>
        <v>-10</v>
      </c>
      <c r="E908" s="43">
        <f>'Raw Data'!F910+Bill!$O$2</f>
        <v>20</v>
      </c>
      <c r="F908" s="43">
        <f>'Raw Data'!F910+Bill!$P$2</f>
        <v>25</v>
      </c>
      <c r="G908" s="43">
        <f>'Raw Data'!E910+Bill!$Q$2</f>
        <v>50</v>
      </c>
      <c r="H908" s="43">
        <f>('Raw Data'!F910+Bill!$R$2)</f>
        <v>20</v>
      </c>
      <c r="I908" s="36">
        <f>'Raw Data'!G910/100</f>
        <v>0</v>
      </c>
      <c r="K908" s="37">
        <f>Bill!$Y908</f>
        <v>46466</v>
      </c>
      <c r="L908" s="38">
        <f>Bill!$AA908*('Raw Data'!$E910+$L$2)</f>
        <v>0</v>
      </c>
      <c r="M908" s="38">
        <f>Bill!$AB908*('Raw Data'!$E910+$M$2)</f>
        <v>0</v>
      </c>
      <c r="N908" s="38">
        <f>(('Raw Data'!$F910 * 2)-10)*Bill!$AC908</f>
        <v>0</v>
      </c>
      <c r="O908" s="38">
        <f>('Raw Data'!F910+Bill!$O$2)*Bill!$AD908</f>
        <v>0</v>
      </c>
      <c r="P908" s="38">
        <f>('Raw Data'!F910+Bill!$P$2)*Bill!$AE908</f>
        <v>0</v>
      </c>
      <c r="Q908" s="38">
        <f>Bill!$Z908*('Raw Data'!$E910+$Q$2)</f>
        <v>0</v>
      </c>
      <c r="R908" s="38">
        <f>('Raw Data'!F910+Bill!$R$2)*Bill!$AF908</f>
        <v>0</v>
      </c>
      <c r="S908" s="48">
        <f>('Raw Data'!G910/100)*Bill!$AG908</f>
        <v>0</v>
      </c>
      <c r="T908" s="38">
        <f>SUM(Bill!$L908:$R908)</f>
        <v>0</v>
      </c>
      <c r="U908" s="53"/>
      <c r="V908" s="50"/>
      <c r="W908" s="38">
        <f>Bill!$U908-Bill!$T908</f>
        <v>0</v>
      </c>
      <c r="Y908" s="37">
        <f>'Raw Data'!D910</f>
        <v>46466</v>
      </c>
      <c r="Z908" s="47">
        <v>0.0</v>
      </c>
      <c r="AA908" s="47"/>
      <c r="AB908" s="47"/>
      <c r="AC908" s="47"/>
      <c r="AD908" s="47"/>
      <c r="AE908" s="47"/>
      <c r="AF908" s="47"/>
      <c r="AG908" s="47"/>
    </row>
    <row r="909" ht="15.75" customHeight="1">
      <c r="A909" s="35">
        <f>Bill!$Y909</f>
        <v>46467</v>
      </c>
      <c r="B909" s="43">
        <f>'Raw Data'!E911+Bill!$L$2</f>
        <v>20</v>
      </c>
      <c r="C909" s="43">
        <f>'Raw Data'!E911+Bill!$M$2</f>
        <v>25</v>
      </c>
      <c r="D909" s="43">
        <f>('Raw Data'!$F911*2)-10</f>
        <v>-10</v>
      </c>
      <c r="E909" s="43">
        <f>'Raw Data'!F911+Bill!$O$2</f>
        <v>20</v>
      </c>
      <c r="F909" s="43">
        <f>'Raw Data'!F911+Bill!$P$2</f>
        <v>25</v>
      </c>
      <c r="G909" s="43">
        <f>'Raw Data'!E911+Bill!$Q$2</f>
        <v>50</v>
      </c>
      <c r="H909" s="43">
        <f>('Raw Data'!F911+Bill!$R$2)</f>
        <v>20</v>
      </c>
      <c r="I909" s="36">
        <f>'Raw Data'!G911/100</f>
        <v>0</v>
      </c>
      <c r="K909" s="37">
        <f>Bill!$Y909</f>
        <v>46467</v>
      </c>
      <c r="L909" s="38">
        <f>Bill!$AA909*('Raw Data'!$E911+$L$2)</f>
        <v>0</v>
      </c>
      <c r="M909" s="38">
        <f>Bill!$AB909*('Raw Data'!$E911+$M$2)</f>
        <v>0</v>
      </c>
      <c r="N909" s="38">
        <f>(('Raw Data'!$F911 * 2)-10)*Bill!$AC909</f>
        <v>0</v>
      </c>
      <c r="O909" s="38">
        <f>('Raw Data'!F911+Bill!$O$2)*Bill!$AD909</f>
        <v>0</v>
      </c>
      <c r="P909" s="38">
        <f>('Raw Data'!F911+Bill!$P$2)*Bill!$AE909</f>
        <v>0</v>
      </c>
      <c r="Q909" s="38">
        <f>Bill!$Z909*('Raw Data'!$E911+$Q$2)</f>
        <v>0</v>
      </c>
      <c r="R909" s="38">
        <f>('Raw Data'!F911+Bill!$R$2)*Bill!$AF909</f>
        <v>0</v>
      </c>
      <c r="S909" s="48">
        <f>('Raw Data'!G911/100)*Bill!$AG909</f>
        <v>0</v>
      </c>
      <c r="T909" s="38">
        <f>SUM(Bill!$L909:$R909)</f>
        <v>0</v>
      </c>
      <c r="U909" s="53"/>
      <c r="V909" s="50"/>
      <c r="W909" s="38">
        <f>Bill!$U909-Bill!$T909</f>
        <v>0</v>
      </c>
      <c r="Y909" s="37">
        <f>'Raw Data'!D911</f>
        <v>46467</v>
      </c>
      <c r="Z909" s="47">
        <v>0.0</v>
      </c>
      <c r="AA909" s="47"/>
      <c r="AB909" s="47"/>
      <c r="AC909" s="47"/>
      <c r="AD909" s="47"/>
      <c r="AE909" s="47"/>
      <c r="AF909" s="47"/>
      <c r="AG909" s="47"/>
    </row>
    <row r="910" ht="15.75" customHeight="1">
      <c r="A910" s="35">
        <f>Bill!$Y910</f>
        <v>46468</v>
      </c>
      <c r="B910" s="43">
        <f>'Raw Data'!E912+Bill!$L$2</f>
        <v>20</v>
      </c>
      <c r="C910" s="43">
        <f>'Raw Data'!E912+Bill!$M$2</f>
        <v>25</v>
      </c>
      <c r="D910" s="43">
        <f>('Raw Data'!$F912*2)-10</f>
        <v>-10</v>
      </c>
      <c r="E910" s="43">
        <f>'Raw Data'!F912+Bill!$O$2</f>
        <v>20</v>
      </c>
      <c r="F910" s="43">
        <f>'Raw Data'!F912+Bill!$P$2</f>
        <v>25</v>
      </c>
      <c r="G910" s="43">
        <f>'Raw Data'!E912+Bill!$Q$2</f>
        <v>50</v>
      </c>
      <c r="H910" s="43">
        <f>('Raw Data'!F912+Bill!$R$2)</f>
        <v>20</v>
      </c>
      <c r="I910" s="36">
        <f>'Raw Data'!G912/100</f>
        <v>0</v>
      </c>
      <c r="K910" s="37">
        <f>Bill!$Y910</f>
        <v>46468</v>
      </c>
      <c r="L910" s="38">
        <f>Bill!$AA910*('Raw Data'!$E912+$L$2)</f>
        <v>0</v>
      </c>
      <c r="M910" s="38">
        <f>Bill!$AB910*('Raw Data'!$E912+$M$2)</f>
        <v>0</v>
      </c>
      <c r="N910" s="38">
        <f>(('Raw Data'!$F912 * 2)-10)*Bill!$AC910</f>
        <v>0</v>
      </c>
      <c r="O910" s="38">
        <f>('Raw Data'!F912+Bill!$O$2)*Bill!$AD910</f>
        <v>0</v>
      </c>
      <c r="P910" s="38">
        <f>('Raw Data'!F912+Bill!$P$2)*Bill!$AE910</f>
        <v>0</v>
      </c>
      <c r="Q910" s="38">
        <f>Bill!$Z910*('Raw Data'!$E912+$Q$2)</f>
        <v>0</v>
      </c>
      <c r="R910" s="38">
        <f>('Raw Data'!F912+Bill!$R$2)*Bill!$AF910</f>
        <v>0</v>
      </c>
      <c r="S910" s="48">
        <f>('Raw Data'!G912/100)*Bill!$AG910</f>
        <v>0</v>
      </c>
      <c r="T910" s="38">
        <f>SUM(Bill!$L910:$R910)</f>
        <v>0</v>
      </c>
      <c r="U910" s="53"/>
      <c r="V910" s="50"/>
      <c r="W910" s="38">
        <f>Bill!$U910-Bill!$T910</f>
        <v>0</v>
      </c>
      <c r="Y910" s="37">
        <f>'Raw Data'!D912</f>
        <v>46468</v>
      </c>
      <c r="Z910" s="47">
        <v>0.0</v>
      </c>
      <c r="AA910" s="47"/>
      <c r="AB910" s="47"/>
      <c r="AC910" s="47"/>
      <c r="AD910" s="47"/>
      <c r="AE910" s="47"/>
      <c r="AF910" s="47"/>
      <c r="AG910" s="47"/>
    </row>
    <row r="911" ht="15.75" customHeight="1">
      <c r="A911" s="35">
        <f>Bill!$Y911</f>
        <v>46469</v>
      </c>
      <c r="B911" s="43">
        <f>'Raw Data'!E913+Bill!$L$2</f>
        <v>20</v>
      </c>
      <c r="C911" s="43">
        <f>'Raw Data'!E913+Bill!$M$2</f>
        <v>25</v>
      </c>
      <c r="D911" s="43">
        <f>('Raw Data'!$F913*2)-10</f>
        <v>-10</v>
      </c>
      <c r="E911" s="43">
        <f>'Raw Data'!F913+Bill!$O$2</f>
        <v>20</v>
      </c>
      <c r="F911" s="43">
        <f>'Raw Data'!F913+Bill!$P$2</f>
        <v>25</v>
      </c>
      <c r="G911" s="43">
        <f>'Raw Data'!E913+Bill!$Q$2</f>
        <v>50</v>
      </c>
      <c r="H911" s="43">
        <f>('Raw Data'!F913+Bill!$R$2)</f>
        <v>20</v>
      </c>
      <c r="I911" s="36">
        <f>'Raw Data'!G913/100</f>
        <v>0</v>
      </c>
      <c r="K911" s="37">
        <f>Bill!$Y911</f>
        <v>46469</v>
      </c>
      <c r="L911" s="38">
        <f>Bill!$AA911*('Raw Data'!$E913+$L$2)</f>
        <v>0</v>
      </c>
      <c r="M911" s="38">
        <f>Bill!$AB911*('Raw Data'!$E913+$M$2)</f>
        <v>0</v>
      </c>
      <c r="N911" s="38">
        <f>(('Raw Data'!$F913 * 2)-10)*Bill!$AC911</f>
        <v>0</v>
      </c>
      <c r="O911" s="38">
        <f>('Raw Data'!F913+Bill!$O$2)*Bill!$AD911</f>
        <v>0</v>
      </c>
      <c r="P911" s="38">
        <f>('Raw Data'!F913+Bill!$P$2)*Bill!$AE911</f>
        <v>0</v>
      </c>
      <c r="Q911" s="38">
        <f>Bill!$Z911*('Raw Data'!$E913+$Q$2)</f>
        <v>0</v>
      </c>
      <c r="R911" s="38">
        <f>('Raw Data'!F913+Bill!$R$2)*Bill!$AF911</f>
        <v>0</v>
      </c>
      <c r="S911" s="48">
        <f>('Raw Data'!G913/100)*Bill!$AG911</f>
        <v>0</v>
      </c>
      <c r="T911" s="38">
        <f>SUM(Bill!$L911:$R911)</f>
        <v>0</v>
      </c>
      <c r="U911" s="53"/>
      <c r="V911" s="50"/>
      <c r="W911" s="38">
        <f>Bill!$U911-Bill!$T911</f>
        <v>0</v>
      </c>
      <c r="Y911" s="37">
        <f>'Raw Data'!D913</f>
        <v>46469</v>
      </c>
      <c r="Z911" s="47">
        <v>0.0</v>
      </c>
      <c r="AA911" s="47"/>
      <c r="AB911" s="47"/>
      <c r="AC911" s="47"/>
      <c r="AD911" s="47"/>
      <c r="AE911" s="47"/>
      <c r="AF911" s="47"/>
      <c r="AG911" s="47"/>
    </row>
    <row r="912" ht="15.75" customHeight="1">
      <c r="A912" s="35">
        <f>Bill!$Y912</f>
        <v>46470</v>
      </c>
      <c r="B912" s="43">
        <f>'Raw Data'!E914+Bill!$L$2</f>
        <v>20</v>
      </c>
      <c r="C912" s="43">
        <f>'Raw Data'!E914+Bill!$M$2</f>
        <v>25</v>
      </c>
      <c r="D912" s="43">
        <f>('Raw Data'!$F914*2)-10</f>
        <v>-10</v>
      </c>
      <c r="E912" s="43">
        <f>'Raw Data'!F914+Bill!$O$2</f>
        <v>20</v>
      </c>
      <c r="F912" s="43">
        <f>'Raw Data'!F914+Bill!$P$2</f>
        <v>25</v>
      </c>
      <c r="G912" s="43">
        <f>'Raw Data'!E914+Bill!$Q$2</f>
        <v>50</v>
      </c>
      <c r="H912" s="43">
        <f>('Raw Data'!F914+Bill!$R$2)</f>
        <v>20</v>
      </c>
      <c r="I912" s="36">
        <f>'Raw Data'!G914/100</f>
        <v>0</v>
      </c>
      <c r="K912" s="37">
        <f>Bill!$Y912</f>
        <v>46470</v>
      </c>
      <c r="L912" s="38">
        <f>Bill!$AA912*('Raw Data'!$E914+$L$2)</f>
        <v>0</v>
      </c>
      <c r="M912" s="38">
        <f>Bill!$AB912*('Raw Data'!$E914+$M$2)</f>
        <v>0</v>
      </c>
      <c r="N912" s="38">
        <f>(('Raw Data'!$F914 * 2)-10)*Bill!$AC912</f>
        <v>0</v>
      </c>
      <c r="O912" s="38">
        <f>('Raw Data'!F914+Bill!$O$2)*Bill!$AD912</f>
        <v>0</v>
      </c>
      <c r="P912" s="38">
        <f>('Raw Data'!F914+Bill!$P$2)*Bill!$AE912</f>
        <v>0</v>
      </c>
      <c r="Q912" s="38">
        <f>Bill!$Z912*('Raw Data'!$E914+$Q$2)</f>
        <v>0</v>
      </c>
      <c r="R912" s="38">
        <f>('Raw Data'!F914+Bill!$R$2)*Bill!$AF912</f>
        <v>0</v>
      </c>
      <c r="S912" s="48">
        <f>('Raw Data'!G914/100)*Bill!$AG912</f>
        <v>0</v>
      </c>
      <c r="T912" s="38">
        <f>SUM(Bill!$L912:$R912)</f>
        <v>0</v>
      </c>
      <c r="U912" s="53"/>
      <c r="V912" s="50"/>
      <c r="W912" s="38">
        <f>Bill!$U912-Bill!$T912</f>
        <v>0</v>
      </c>
      <c r="Y912" s="37">
        <f>'Raw Data'!D914</f>
        <v>46470</v>
      </c>
      <c r="Z912" s="47">
        <v>0.0</v>
      </c>
      <c r="AA912" s="47"/>
      <c r="AB912" s="47"/>
      <c r="AC912" s="47"/>
      <c r="AD912" s="47"/>
      <c r="AE912" s="47"/>
      <c r="AF912" s="47"/>
      <c r="AG912" s="47"/>
    </row>
    <row r="913" ht="15.75" customHeight="1">
      <c r="A913" s="35">
        <f>Bill!$Y913</f>
        <v>46471</v>
      </c>
      <c r="B913" s="43">
        <f>'Raw Data'!E915+Bill!$L$2</f>
        <v>20</v>
      </c>
      <c r="C913" s="43">
        <f>'Raw Data'!E915+Bill!$M$2</f>
        <v>25</v>
      </c>
      <c r="D913" s="43">
        <f>('Raw Data'!$F915*2)-10</f>
        <v>-10</v>
      </c>
      <c r="E913" s="43">
        <f>'Raw Data'!F915+Bill!$O$2</f>
        <v>20</v>
      </c>
      <c r="F913" s="43">
        <f>'Raw Data'!F915+Bill!$P$2</f>
        <v>25</v>
      </c>
      <c r="G913" s="43">
        <f>'Raw Data'!E915+Bill!$Q$2</f>
        <v>50</v>
      </c>
      <c r="H913" s="43">
        <f>('Raw Data'!F915+Bill!$R$2)</f>
        <v>20</v>
      </c>
      <c r="I913" s="36">
        <f>'Raw Data'!G915/100</f>
        <v>0</v>
      </c>
      <c r="K913" s="37">
        <f>Bill!$Y913</f>
        <v>46471</v>
      </c>
      <c r="L913" s="38">
        <f>Bill!$AA913*('Raw Data'!$E915+$L$2)</f>
        <v>0</v>
      </c>
      <c r="M913" s="38">
        <f>Bill!$AB913*('Raw Data'!$E915+$M$2)</f>
        <v>0</v>
      </c>
      <c r="N913" s="38">
        <f>(('Raw Data'!$F915 * 2)-10)*Bill!$AC913</f>
        <v>0</v>
      </c>
      <c r="O913" s="38">
        <f>('Raw Data'!F915+Bill!$O$2)*Bill!$AD913</f>
        <v>0</v>
      </c>
      <c r="P913" s="38">
        <f>('Raw Data'!F915+Bill!$P$2)*Bill!$AE913</f>
        <v>0</v>
      </c>
      <c r="Q913" s="38">
        <f>Bill!$Z913*('Raw Data'!$E915+$Q$2)</f>
        <v>0</v>
      </c>
      <c r="R913" s="38">
        <f>('Raw Data'!F915+Bill!$R$2)*Bill!$AF913</f>
        <v>0</v>
      </c>
      <c r="S913" s="48">
        <f>('Raw Data'!G915/100)*Bill!$AG913</f>
        <v>0</v>
      </c>
      <c r="T913" s="38">
        <f>SUM(Bill!$L913:$R913)</f>
        <v>0</v>
      </c>
      <c r="U913" s="53"/>
      <c r="V913" s="50"/>
      <c r="W913" s="38">
        <f>Bill!$U913-Bill!$T913</f>
        <v>0</v>
      </c>
      <c r="Y913" s="37">
        <f>'Raw Data'!D915</f>
        <v>46471</v>
      </c>
      <c r="Z913" s="47">
        <v>0.0</v>
      </c>
      <c r="AA913" s="47"/>
      <c r="AB913" s="47"/>
      <c r="AC913" s="47"/>
      <c r="AD913" s="47"/>
      <c r="AE913" s="47"/>
      <c r="AF913" s="47"/>
      <c r="AG913" s="47"/>
    </row>
    <row r="914" ht="15.75" customHeight="1">
      <c r="A914" s="35">
        <f>Bill!$Y914</f>
        <v>46472</v>
      </c>
      <c r="B914" s="43">
        <f>'Raw Data'!E916+Bill!$L$2</f>
        <v>20</v>
      </c>
      <c r="C914" s="43">
        <f>'Raw Data'!E916+Bill!$M$2</f>
        <v>25</v>
      </c>
      <c r="D914" s="43">
        <f>('Raw Data'!$F916*2)-10</f>
        <v>-10</v>
      </c>
      <c r="E914" s="43">
        <f>'Raw Data'!F916+Bill!$O$2</f>
        <v>20</v>
      </c>
      <c r="F914" s="43">
        <f>'Raw Data'!F916+Bill!$P$2</f>
        <v>25</v>
      </c>
      <c r="G914" s="43">
        <f>'Raw Data'!E916+Bill!$Q$2</f>
        <v>50</v>
      </c>
      <c r="H914" s="43">
        <f>('Raw Data'!F916+Bill!$R$2)</f>
        <v>20</v>
      </c>
      <c r="I914" s="36">
        <f>'Raw Data'!G916/100</f>
        <v>0</v>
      </c>
      <c r="K914" s="37">
        <f>Bill!$Y914</f>
        <v>46472</v>
      </c>
      <c r="L914" s="38">
        <f>Bill!$AA914*('Raw Data'!$E916+$L$2)</f>
        <v>0</v>
      </c>
      <c r="M914" s="38">
        <f>Bill!$AB914*('Raw Data'!$E916+$M$2)</f>
        <v>0</v>
      </c>
      <c r="N914" s="38">
        <f>(('Raw Data'!$F916 * 2)-10)*Bill!$AC914</f>
        <v>0</v>
      </c>
      <c r="O914" s="38">
        <f>('Raw Data'!F916+Bill!$O$2)*Bill!$AD914</f>
        <v>0</v>
      </c>
      <c r="P914" s="38">
        <f>('Raw Data'!F916+Bill!$P$2)*Bill!$AE914</f>
        <v>0</v>
      </c>
      <c r="Q914" s="38">
        <f>Bill!$Z914*('Raw Data'!$E916+$Q$2)</f>
        <v>0</v>
      </c>
      <c r="R914" s="38">
        <f>('Raw Data'!F916+Bill!$R$2)*Bill!$AF914</f>
        <v>0</v>
      </c>
      <c r="S914" s="48">
        <f>('Raw Data'!G916/100)*Bill!$AG914</f>
        <v>0</v>
      </c>
      <c r="T914" s="38">
        <f>SUM(Bill!$L914:$R914)</f>
        <v>0</v>
      </c>
      <c r="U914" s="53"/>
      <c r="V914" s="50"/>
      <c r="W914" s="38">
        <f>Bill!$U914-Bill!$T914</f>
        <v>0</v>
      </c>
      <c r="Y914" s="37">
        <f>'Raw Data'!D916</f>
        <v>46472</v>
      </c>
      <c r="Z914" s="47">
        <v>0.0</v>
      </c>
      <c r="AA914" s="47"/>
      <c r="AB914" s="47"/>
      <c r="AC914" s="47"/>
      <c r="AD914" s="47"/>
      <c r="AE914" s="47"/>
      <c r="AF914" s="47"/>
      <c r="AG914" s="47"/>
    </row>
    <row r="915" ht="15.75" customHeight="1">
      <c r="A915" s="35">
        <f>Bill!$Y915</f>
        <v>46473</v>
      </c>
      <c r="B915" s="43">
        <f>'Raw Data'!E917+Bill!$L$2</f>
        <v>20</v>
      </c>
      <c r="C915" s="43">
        <f>'Raw Data'!E917+Bill!$M$2</f>
        <v>25</v>
      </c>
      <c r="D915" s="43">
        <f>('Raw Data'!$F917*2)-10</f>
        <v>-10</v>
      </c>
      <c r="E915" s="43">
        <f>'Raw Data'!F917+Bill!$O$2</f>
        <v>20</v>
      </c>
      <c r="F915" s="43">
        <f>'Raw Data'!F917+Bill!$P$2</f>
        <v>25</v>
      </c>
      <c r="G915" s="43">
        <f>'Raw Data'!E917+Bill!$Q$2</f>
        <v>50</v>
      </c>
      <c r="H915" s="43">
        <f>('Raw Data'!F917+Bill!$R$2)</f>
        <v>20</v>
      </c>
      <c r="I915" s="36">
        <f>'Raw Data'!G917/100</f>
        <v>0</v>
      </c>
      <c r="K915" s="37">
        <f>Bill!$Y915</f>
        <v>46473</v>
      </c>
      <c r="L915" s="38">
        <f>Bill!$AA915*('Raw Data'!$E917+$L$2)</f>
        <v>0</v>
      </c>
      <c r="M915" s="38">
        <f>Bill!$AB915*('Raw Data'!$E917+$M$2)</f>
        <v>0</v>
      </c>
      <c r="N915" s="38">
        <f>(('Raw Data'!$F917 * 2)-10)*Bill!$AC915</f>
        <v>0</v>
      </c>
      <c r="O915" s="38">
        <f>('Raw Data'!F917+Bill!$O$2)*Bill!$AD915</f>
        <v>0</v>
      </c>
      <c r="P915" s="38">
        <f>('Raw Data'!F917+Bill!$P$2)*Bill!$AE915</f>
        <v>0</v>
      </c>
      <c r="Q915" s="38">
        <f>Bill!$Z915*('Raw Data'!$E917+$Q$2)</f>
        <v>0</v>
      </c>
      <c r="R915" s="38">
        <f>('Raw Data'!F917+Bill!$R$2)*Bill!$AF915</f>
        <v>0</v>
      </c>
      <c r="S915" s="48">
        <f>('Raw Data'!G917/100)*Bill!$AG915</f>
        <v>0</v>
      </c>
      <c r="T915" s="38">
        <f>SUM(Bill!$L915:$R915)</f>
        <v>0</v>
      </c>
      <c r="U915" s="53"/>
      <c r="V915" s="50"/>
      <c r="W915" s="38">
        <f>Bill!$U915-Bill!$T915</f>
        <v>0</v>
      </c>
      <c r="Y915" s="37">
        <f>'Raw Data'!D917</f>
        <v>46473</v>
      </c>
      <c r="Z915" s="47">
        <v>0.0</v>
      </c>
      <c r="AA915" s="47"/>
      <c r="AB915" s="47"/>
      <c r="AC915" s="47"/>
      <c r="AD915" s="47"/>
      <c r="AE915" s="47"/>
      <c r="AF915" s="47"/>
      <c r="AG915" s="47"/>
    </row>
    <row r="916" ht="15.75" customHeight="1">
      <c r="A916" s="35">
        <f>Bill!$Y916</f>
        <v>46474</v>
      </c>
      <c r="B916" s="43">
        <f>'Raw Data'!E918+Bill!$L$2</f>
        <v>20</v>
      </c>
      <c r="C916" s="43">
        <f>'Raw Data'!E918+Bill!$M$2</f>
        <v>25</v>
      </c>
      <c r="D916" s="43">
        <f>('Raw Data'!$F918*2)-10</f>
        <v>-10</v>
      </c>
      <c r="E916" s="43">
        <f>'Raw Data'!F918+Bill!$O$2</f>
        <v>20</v>
      </c>
      <c r="F916" s="43">
        <f>'Raw Data'!F918+Bill!$P$2</f>
        <v>25</v>
      </c>
      <c r="G916" s="43">
        <f>'Raw Data'!E918+Bill!$Q$2</f>
        <v>50</v>
      </c>
      <c r="H916" s="43">
        <f>('Raw Data'!F918+Bill!$R$2)</f>
        <v>20</v>
      </c>
      <c r="I916" s="36">
        <f>'Raw Data'!G918/100</f>
        <v>0</v>
      </c>
      <c r="K916" s="37">
        <f>Bill!$Y916</f>
        <v>46474</v>
      </c>
      <c r="L916" s="38">
        <f>Bill!$AA916*('Raw Data'!$E918+$L$2)</f>
        <v>0</v>
      </c>
      <c r="M916" s="38">
        <f>Bill!$AB916*('Raw Data'!$E918+$M$2)</f>
        <v>0</v>
      </c>
      <c r="N916" s="38">
        <f>(('Raw Data'!$F918 * 2)-10)*Bill!$AC916</f>
        <v>0</v>
      </c>
      <c r="O916" s="38">
        <f>('Raw Data'!F918+Bill!$O$2)*Bill!$AD916</f>
        <v>0</v>
      </c>
      <c r="P916" s="38">
        <f>('Raw Data'!F918+Bill!$P$2)*Bill!$AE916</f>
        <v>0</v>
      </c>
      <c r="Q916" s="38">
        <f>Bill!$Z916*('Raw Data'!$E918+$Q$2)</f>
        <v>0</v>
      </c>
      <c r="R916" s="38">
        <f>('Raw Data'!F918+Bill!$R$2)*Bill!$AF916</f>
        <v>0</v>
      </c>
      <c r="S916" s="48">
        <f>('Raw Data'!G918/100)*Bill!$AG916</f>
        <v>0</v>
      </c>
      <c r="T916" s="38">
        <f>SUM(Bill!$L916:$R916)</f>
        <v>0</v>
      </c>
      <c r="U916" s="53"/>
      <c r="V916" s="50"/>
      <c r="W916" s="38">
        <f>Bill!$U916-Bill!$T916</f>
        <v>0</v>
      </c>
      <c r="Y916" s="37">
        <f>'Raw Data'!D918</f>
        <v>46474</v>
      </c>
      <c r="Z916" s="47">
        <v>0.0</v>
      </c>
      <c r="AA916" s="47"/>
      <c r="AB916" s="47"/>
      <c r="AC916" s="47"/>
      <c r="AD916" s="47"/>
      <c r="AE916" s="47"/>
      <c r="AF916" s="47"/>
      <c r="AG916" s="47"/>
    </row>
    <row r="917" ht="15.75" customHeight="1">
      <c r="A917" s="35">
        <f>Bill!$Y917</f>
        <v>46475</v>
      </c>
      <c r="B917" s="43">
        <f>'Raw Data'!E919+Bill!$L$2</f>
        <v>20</v>
      </c>
      <c r="C917" s="43">
        <f>'Raw Data'!E919+Bill!$M$2</f>
        <v>25</v>
      </c>
      <c r="D917" s="43">
        <f>('Raw Data'!$F919*2)-10</f>
        <v>-10</v>
      </c>
      <c r="E917" s="43">
        <f>'Raw Data'!F919+Bill!$O$2</f>
        <v>20</v>
      </c>
      <c r="F917" s="43">
        <f>'Raw Data'!F919+Bill!$P$2</f>
        <v>25</v>
      </c>
      <c r="G917" s="43">
        <f>'Raw Data'!E919+Bill!$Q$2</f>
        <v>50</v>
      </c>
      <c r="H917" s="43">
        <f>('Raw Data'!F919+Bill!$R$2)</f>
        <v>20</v>
      </c>
      <c r="I917" s="36">
        <f>'Raw Data'!G919/100</f>
        <v>0</v>
      </c>
      <c r="K917" s="37">
        <f>Bill!$Y917</f>
        <v>46475</v>
      </c>
      <c r="L917" s="38">
        <f>Bill!$AA917*('Raw Data'!$E919+$L$2)</f>
        <v>0</v>
      </c>
      <c r="M917" s="38">
        <f>Bill!$AB917*('Raw Data'!$E919+$M$2)</f>
        <v>0</v>
      </c>
      <c r="N917" s="38">
        <f>(('Raw Data'!$F919 * 2)-10)*Bill!$AC917</f>
        <v>0</v>
      </c>
      <c r="O917" s="38">
        <f>('Raw Data'!F919+Bill!$O$2)*Bill!$AD917</f>
        <v>0</v>
      </c>
      <c r="P917" s="38">
        <f>('Raw Data'!F919+Bill!$P$2)*Bill!$AE917</f>
        <v>0</v>
      </c>
      <c r="Q917" s="38">
        <f>Bill!$Z917*('Raw Data'!$E919+$Q$2)</f>
        <v>0</v>
      </c>
      <c r="R917" s="38">
        <f>('Raw Data'!F919+Bill!$R$2)*Bill!$AF917</f>
        <v>0</v>
      </c>
      <c r="S917" s="48">
        <f>('Raw Data'!G919/100)*Bill!$AG917</f>
        <v>0</v>
      </c>
      <c r="T917" s="38">
        <f>SUM(Bill!$L917:$R917)</f>
        <v>0</v>
      </c>
      <c r="U917" s="53"/>
      <c r="V917" s="50"/>
      <c r="W917" s="38">
        <f>Bill!$U917-Bill!$T917</f>
        <v>0</v>
      </c>
      <c r="Y917" s="37">
        <f>'Raw Data'!D919</f>
        <v>46475</v>
      </c>
      <c r="Z917" s="47">
        <v>0.0</v>
      </c>
      <c r="AA917" s="47"/>
      <c r="AB917" s="47"/>
      <c r="AC917" s="47"/>
      <c r="AD917" s="47"/>
      <c r="AE917" s="47"/>
      <c r="AF917" s="47"/>
      <c r="AG917" s="47"/>
    </row>
    <row r="918" ht="15.75" customHeight="1">
      <c r="A918" s="35">
        <f>Bill!$Y918</f>
        <v>46476</v>
      </c>
      <c r="B918" s="43">
        <f>'Raw Data'!E920+Bill!$L$2</f>
        <v>20</v>
      </c>
      <c r="C918" s="43">
        <f>'Raw Data'!E920+Bill!$M$2</f>
        <v>25</v>
      </c>
      <c r="D918" s="43">
        <f>('Raw Data'!$F920*2)-10</f>
        <v>-10</v>
      </c>
      <c r="E918" s="43">
        <f>'Raw Data'!F920+Bill!$O$2</f>
        <v>20</v>
      </c>
      <c r="F918" s="43">
        <f>'Raw Data'!F920+Bill!$P$2</f>
        <v>25</v>
      </c>
      <c r="G918" s="43">
        <f>'Raw Data'!E920+Bill!$Q$2</f>
        <v>50</v>
      </c>
      <c r="H918" s="43">
        <f>('Raw Data'!F920+Bill!$R$2)</f>
        <v>20</v>
      </c>
      <c r="I918" s="36">
        <f>'Raw Data'!G920/100</f>
        <v>0</v>
      </c>
      <c r="K918" s="37">
        <f>Bill!$Y918</f>
        <v>46476</v>
      </c>
      <c r="L918" s="38">
        <f>Bill!$AA918*('Raw Data'!$E920+$L$2)</f>
        <v>0</v>
      </c>
      <c r="M918" s="38">
        <f>Bill!$AB918*('Raw Data'!$E920+$M$2)</f>
        <v>0</v>
      </c>
      <c r="N918" s="38">
        <f>(('Raw Data'!$F920 * 2)-10)*Bill!$AC918</f>
        <v>0</v>
      </c>
      <c r="O918" s="38">
        <f>('Raw Data'!F920+Bill!$O$2)*Bill!$AD918</f>
        <v>0</v>
      </c>
      <c r="P918" s="38">
        <f>('Raw Data'!F920+Bill!$P$2)*Bill!$AE918</f>
        <v>0</v>
      </c>
      <c r="Q918" s="38">
        <f>Bill!$Z918*('Raw Data'!$E920+$Q$2)</f>
        <v>0</v>
      </c>
      <c r="R918" s="38">
        <f>('Raw Data'!F920+Bill!$R$2)*Bill!$AF918</f>
        <v>0</v>
      </c>
      <c r="S918" s="48">
        <f>('Raw Data'!G920/100)*Bill!$AG918</f>
        <v>0</v>
      </c>
      <c r="T918" s="38">
        <f>SUM(Bill!$L918:$R918)</f>
        <v>0</v>
      </c>
      <c r="U918" s="53"/>
      <c r="V918" s="50"/>
      <c r="W918" s="38">
        <f>Bill!$U918-Bill!$T918</f>
        <v>0</v>
      </c>
      <c r="Y918" s="37">
        <f>'Raw Data'!D920</f>
        <v>46476</v>
      </c>
      <c r="Z918" s="47">
        <v>0.0</v>
      </c>
      <c r="AA918" s="47"/>
      <c r="AB918" s="47"/>
      <c r="AC918" s="47"/>
      <c r="AD918" s="47"/>
      <c r="AE918" s="47"/>
      <c r="AF918" s="47"/>
      <c r="AG918" s="47"/>
    </row>
    <row r="919" ht="15.75" customHeight="1">
      <c r="A919" s="35">
        <f>Bill!$Y919</f>
        <v>46477</v>
      </c>
      <c r="B919" s="43">
        <f>'Raw Data'!E921+Bill!$L$2</f>
        <v>20</v>
      </c>
      <c r="C919" s="43">
        <f>'Raw Data'!E921+Bill!$M$2</f>
        <v>25</v>
      </c>
      <c r="D919" s="43">
        <f>('Raw Data'!$F921*2)-10</f>
        <v>-10</v>
      </c>
      <c r="E919" s="43">
        <f>'Raw Data'!F921+Bill!$O$2</f>
        <v>20</v>
      </c>
      <c r="F919" s="43">
        <f>'Raw Data'!F921+Bill!$P$2</f>
        <v>25</v>
      </c>
      <c r="G919" s="43">
        <f>'Raw Data'!E921+Bill!$Q$2</f>
        <v>50</v>
      </c>
      <c r="H919" s="43">
        <f>('Raw Data'!F921+Bill!$R$2)</f>
        <v>20</v>
      </c>
      <c r="I919" s="36">
        <f>'Raw Data'!G921/100</f>
        <v>0</v>
      </c>
      <c r="K919" s="37">
        <f>Bill!$Y919</f>
        <v>46477</v>
      </c>
      <c r="L919" s="38">
        <f>Bill!$AA919*('Raw Data'!$E921+$L$2)</f>
        <v>0</v>
      </c>
      <c r="M919" s="38">
        <f>Bill!$AB919*('Raw Data'!$E921+$M$2)</f>
        <v>0</v>
      </c>
      <c r="N919" s="38">
        <f>(('Raw Data'!$F921 * 2)-10)*Bill!$AC919</f>
        <v>0</v>
      </c>
      <c r="O919" s="38">
        <f>('Raw Data'!F921+Bill!$O$2)*Bill!$AD919</f>
        <v>0</v>
      </c>
      <c r="P919" s="38">
        <f>('Raw Data'!F921+Bill!$P$2)*Bill!$AE919</f>
        <v>0</v>
      </c>
      <c r="Q919" s="38">
        <f>Bill!$Z919*('Raw Data'!$E921+$Q$2)</f>
        <v>0</v>
      </c>
      <c r="R919" s="38">
        <f>('Raw Data'!F921+Bill!$R$2)*Bill!$AF919</f>
        <v>0</v>
      </c>
      <c r="S919" s="48">
        <f>('Raw Data'!G921/100)*Bill!$AG919</f>
        <v>0</v>
      </c>
      <c r="T919" s="38">
        <f>SUM(Bill!$L919:$R919)</f>
        <v>0</v>
      </c>
      <c r="U919" s="53"/>
      <c r="V919" s="50"/>
      <c r="W919" s="38">
        <f>Bill!$U919-Bill!$T919</f>
        <v>0</v>
      </c>
      <c r="Y919" s="37">
        <f>'Raw Data'!D921</f>
        <v>46477</v>
      </c>
      <c r="Z919" s="47">
        <v>0.0</v>
      </c>
      <c r="AA919" s="47"/>
      <c r="AB919" s="47"/>
      <c r="AC919" s="47"/>
      <c r="AD919" s="47"/>
      <c r="AE919" s="47"/>
      <c r="AF919" s="47"/>
      <c r="AG919" s="47"/>
    </row>
    <row r="920" ht="15.75" customHeight="1">
      <c r="A920" s="35">
        <f>Bill!$Y920</f>
        <v>46478</v>
      </c>
      <c r="B920" s="43">
        <f>'Raw Data'!E922+Bill!$L$2</f>
        <v>20</v>
      </c>
      <c r="C920" s="43">
        <f>'Raw Data'!E922+Bill!$M$2</f>
        <v>25</v>
      </c>
      <c r="D920" s="43">
        <f>('Raw Data'!$F922*2)-10</f>
        <v>-10</v>
      </c>
      <c r="E920" s="43">
        <f>'Raw Data'!F922+Bill!$O$2</f>
        <v>20</v>
      </c>
      <c r="F920" s="43">
        <f>'Raw Data'!F922+Bill!$P$2</f>
        <v>25</v>
      </c>
      <c r="G920" s="43">
        <f>'Raw Data'!E922+Bill!$Q$2</f>
        <v>50</v>
      </c>
      <c r="H920" s="43">
        <f>('Raw Data'!F922+Bill!$R$2)</f>
        <v>20</v>
      </c>
      <c r="I920" s="36">
        <f>'Raw Data'!G922/100</f>
        <v>0</v>
      </c>
      <c r="K920" s="37">
        <f>Bill!$Y920</f>
        <v>46478</v>
      </c>
      <c r="L920" s="38">
        <f>Bill!$AA920*('Raw Data'!$E922+$L$2)</f>
        <v>0</v>
      </c>
      <c r="M920" s="38">
        <f>Bill!$AB920*('Raw Data'!$E922+$M$2)</f>
        <v>0</v>
      </c>
      <c r="N920" s="38">
        <f>(('Raw Data'!$F922 * 2)-10)*Bill!$AC920</f>
        <v>0</v>
      </c>
      <c r="O920" s="38">
        <f>('Raw Data'!F922+Bill!$O$2)*Bill!$AD920</f>
        <v>0</v>
      </c>
      <c r="P920" s="38">
        <f>('Raw Data'!F922+Bill!$P$2)*Bill!$AE920</f>
        <v>0</v>
      </c>
      <c r="Q920" s="38">
        <f>Bill!$Z920*('Raw Data'!$E922+$Q$2)</f>
        <v>0</v>
      </c>
      <c r="R920" s="38">
        <f>('Raw Data'!F922+Bill!$R$2)*Bill!$AF920</f>
        <v>0</v>
      </c>
      <c r="S920" s="48">
        <f>('Raw Data'!G922/100)*Bill!$AG920</f>
        <v>0</v>
      </c>
      <c r="T920" s="38">
        <f>SUM(Bill!$L920:$R920)</f>
        <v>0</v>
      </c>
      <c r="U920" s="53"/>
      <c r="V920" s="50"/>
      <c r="W920" s="38">
        <f>Bill!$U920-Bill!$T920</f>
        <v>0</v>
      </c>
      <c r="Y920" s="37">
        <f>'Raw Data'!D922</f>
        <v>46478</v>
      </c>
      <c r="Z920" s="47">
        <v>0.0</v>
      </c>
      <c r="AA920" s="47"/>
      <c r="AB920" s="47"/>
      <c r="AC920" s="47"/>
      <c r="AD920" s="47"/>
      <c r="AE920" s="47"/>
      <c r="AF920" s="47"/>
      <c r="AG920" s="47"/>
    </row>
    <row r="921" ht="15.75" customHeight="1">
      <c r="A921" s="35">
        <f>Bill!$Y921</f>
        <v>46479</v>
      </c>
      <c r="B921" s="43">
        <f>'Raw Data'!E923+Bill!$L$2</f>
        <v>20</v>
      </c>
      <c r="C921" s="43">
        <f>'Raw Data'!E923+Bill!$M$2</f>
        <v>25</v>
      </c>
      <c r="D921" s="43">
        <f>('Raw Data'!$F923*2)-10</f>
        <v>-10</v>
      </c>
      <c r="E921" s="43">
        <f>'Raw Data'!F923+Bill!$O$2</f>
        <v>20</v>
      </c>
      <c r="F921" s="43">
        <f>'Raw Data'!F923+Bill!$P$2</f>
        <v>25</v>
      </c>
      <c r="G921" s="43">
        <f>'Raw Data'!E923+Bill!$Q$2</f>
        <v>50</v>
      </c>
      <c r="H921" s="43">
        <f>('Raw Data'!F923+Bill!$R$2)</f>
        <v>20</v>
      </c>
      <c r="I921" s="36">
        <f>'Raw Data'!G923/100</f>
        <v>0</v>
      </c>
      <c r="K921" s="37">
        <f>Bill!$Y921</f>
        <v>46479</v>
      </c>
      <c r="L921" s="38">
        <f>Bill!$AA921*('Raw Data'!$E923+$L$2)</f>
        <v>0</v>
      </c>
      <c r="M921" s="38">
        <f>Bill!$AB921*('Raw Data'!$E923+$M$2)</f>
        <v>0</v>
      </c>
      <c r="N921" s="38">
        <f>(('Raw Data'!$F923 * 2)-10)*Bill!$AC921</f>
        <v>0</v>
      </c>
      <c r="O921" s="38">
        <f>('Raw Data'!F923+Bill!$O$2)*Bill!$AD921</f>
        <v>0</v>
      </c>
      <c r="P921" s="38">
        <f>('Raw Data'!F923+Bill!$P$2)*Bill!$AE921</f>
        <v>0</v>
      </c>
      <c r="Q921" s="38">
        <f>Bill!$Z921*('Raw Data'!$E923+$Q$2)</f>
        <v>0</v>
      </c>
      <c r="R921" s="38">
        <f>('Raw Data'!F923+Bill!$R$2)*Bill!$AF921</f>
        <v>0</v>
      </c>
      <c r="S921" s="48">
        <f>('Raw Data'!G923/100)*Bill!$AG921</f>
        <v>0</v>
      </c>
      <c r="T921" s="38">
        <f>SUM(Bill!$L921:$R921)</f>
        <v>0</v>
      </c>
      <c r="U921" s="53"/>
      <c r="V921" s="50"/>
      <c r="W921" s="38">
        <f>Bill!$U921-Bill!$T921</f>
        <v>0</v>
      </c>
      <c r="Y921" s="37">
        <f>'Raw Data'!D923</f>
        <v>46479</v>
      </c>
      <c r="Z921" s="47">
        <v>0.0</v>
      </c>
      <c r="AA921" s="47"/>
      <c r="AB921" s="47"/>
      <c r="AC921" s="47"/>
      <c r="AD921" s="47"/>
      <c r="AE921" s="47"/>
      <c r="AF921" s="47"/>
      <c r="AG921" s="47"/>
    </row>
    <row r="922" ht="15.75" customHeight="1">
      <c r="A922" s="35">
        <f>Bill!$Y922</f>
        <v>46480</v>
      </c>
      <c r="B922" s="43">
        <f>'Raw Data'!E924+Bill!$L$2</f>
        <v>20</v>
      </c>
      <c r="C922" s="43">
        <f>'Raw Data'!E924+Bill!$M$2</f>
        <v>25</v>
      </c>
      <c r="D922" s="43">
        <f>('Raw Data'!$F924*2)-10</f>
        <v>-10</v>
      </c>
      <c r="E922" s="43">
        <f>'Raw Data'!F924+Bill!$O$2</f>
        <v>20</v>
      </c>
      <c r="F922" s="43">
        <f>'Raw Data'!F924+Bill!$P$2</f>
        <v>25</v>
      </c>
      <c r="G922" s="43">
        <f>'Raw Data'!E924+Bill!$Q$2</f>
        <v>50</v>
      </c>
      <c r="H922" s="43">
        <f>('Raw Data'!F924+Bill!$R$2)</f>
        <v>20</v>
      </c>
      <c r="I922" s="36">
        <f>'Raw Data'!G924/100</f>
        <v>0</v>
      </c>
      <c r="K922" s="37">
        <f>Bill!$Y922</f>
        <v>46480</v>
      </c>
      <c r="L922" s="38">
        <f>Bill!$AA922*('Raw Data'!$E924+$L$2)</f>
        <v>0</v>
      </c>
      <c r="M922" s="38">
        <f>Bill!$AB922*('Raw Data'!$E924+$M$2)</f>
        <v>0</v>
      </c>
      <c r="N922" s="38">
        <f>(('Raw Data'!$F924 * 2)-10)*Bill!$AC922</f>
        <v>0</v>
      </c>
      <c r="O922" s="38">
        <f>('Raw Data'!F924+Bill!$O$2)*Bill!$AD922</f>
        <v>0</v>
      </c>
      <c r="P922" s="38">
        <f>('Raw Data'!F924+Bill!$P$2)*Bill!$AE922</f>
        <v>0</v>
      </c>
      <c r="Q922" s="38">
        <f>Bill!$Z922*('Raw Data'!$E924+$Q$2)</f>
        <v>0</v>
      </c>
      <c r="R922" s="38">
        <f>('Raw Data'!F924+Bill!$R$2)*Bill!$AF922</f>
        <v>0</v>
      </c>
      <c r="S922" s="48">
        <f>('Raw Data'!G924/100)*Bill!$AG922</f>
        <v>0</v>
      </c>
      <c r="T922" s="38">
        <f>SUM(Bill!$L922:$R922)</f>
        <v>0</v>
      </c>
      <c r="U922" s="53"/>
      <c r="V922" s="50"/>
      <c r="W922" s="38">
        <f>Bill!$U922-Bill!$T922</f>
        <v>0</v>
      </c>
      <c r="Y922" s="37">
        <f>'Raw Data'!D924</f>
        <v>46480</v>
      </c>
      <c r="Z922" s="47">
        <v>0.0</v>
      </c>
      <c r="AA922" s="47"/>
      <c r="AB922" s="47"/>
      <c r="AC922" s="47"/>
      <c r="AD922" s="47"/>
      <c r="AE922" s="47"/>
      <c r="AF922" s="47"/>
      <c r="AG922" s="47"/>
    </row>
    <row r="923" ht="15.75" customHeight="1">
      <c r="A923" s="35">
        <f>Bill!$Y923</f>
        <v>46481</v>
      </c>
      <c r="B923" s="43">
        <f>'Raw Data'!E925+Bill!$L$2</f>
        <v>20</v>
      </c>
      <c r="C923" s="43">
        <f>'Raw Data'!E925+Bill!$M$2</f>
        <v>25</v>
      </c>
      <c r="D923" s="43">
        <f>('Raw Data'!$F925*2)-10</f>
        <v>-10</v>
      </c>
      <c r="E923" s="43">
        <f>'Raw Data'!F925+Bill!$O$2</f>
        <v>20</v>
      </c>
      <c r="F923" s="43">
        <f>'Raw Data'!F925+Bill!$P$2</f>
        <v>25</v>
      </c>
      <c r="G923" s="43">
        <f>'Raw Data'!E925+Bill!$Q$2</f>
        <v>50</v>
      </c>
      <c r="H923" s="43">
        <f>('Raw Data'!F925+Bill!$R$2)</f>
        <v>20</v>
      </c>
      <c r="I923" s="36">
        <f>'Raw Data'!G925/100</f>
        <v>0</v>
      </c>
      <c r="K923" s="37">
        <f>Bill!$Y923</f>
        <v>46481</v>
      </c>
      <c r="L923" s="38">
        <f>Bill!$AA923*('Raw Data'!$E925+$L$2)</f>
        <v>0</v>
      </c>
      <c r="M923" s="38">
        <f>Bill!$AB923*('Raw Data'!$E925+$M$2)</f>
        <v>0</v>
      </c>
      <c r="N923" s="38">
        <f>(('Raw Data'!$F925 * 2)-10)*Bill!$AC923</f>
        <v>0</v>
      </c>
      <c r="O923" s="38">
        <f>('Raw Data'!F925+Bill!$O$2)*Bill!$AD923</f>
        <v>0</v>
      </c>
      <c r="P923" s="38">
        <f>('Raw Data'!F925+Bill!$P$2)*Bill!$AE923</f>
        <v>0</v>
      </c>
      <c r="Q923" s="38">
        <f>Bill!$Z923*('Raw Data'!$E925+$Q$2)</f>
        <v>0</v>
      </c>
      <c r="R923" s="38">
        <f>('Raw Data'!F925+Bill!$R$2)*Bill!$AF923</f>
        <v>0</v>
      </c>
      <c r="S923" s="48">
        <f>('Raw Data'!G925/100)*Bill!$AG923</f>
        <v>0</v>
      </c>
      <c r="T923" s="38">
        <f>SUM(Bill!$L923:$R923)</f>
        <v>0</v>
      </c>
      <c r="U923" s="53"/>
      <c r="V923" s="50"/>
      <c r="W923" s="38">
        <f>Bill!$U923-Bill!$T923</f>
        <v>0</v>
      </c>
      <c r="Y923" s="37">
        <f>'Raw Data'!D925</f>
        <v>46481</v>
      </c>
      <c r="Z923" s="47">
        <v>0.0</v>
      </c>
      <c r="AA923" s="47"/>
      <c r="AB923" s="47"/>
      <c r="AC923" s="47"/>
      <c r="AD923" s="47"/>
      <c r="AE923" s="47"/>
      <c r="AF923" s="47"/>
      <c r="AG923" s="47"/>
    </row>
    <row r="924" ht="15.75" customHeight="1">
      <c r="A924" s="35">
        <f>Bill!$Y924</f>
        <v>46482</v>
      </c>
      <c r="B924" s="43">
        <f>'Raw Data'!E926+Bill!$L$2</f>
        <v>20</v>
      </c>
      <c r="C924" s="43">
        <f>'Raw Data'!E926+Bill!$M$2</f>
        <v>25</v>
      </c>
      <c r="D924" s="43">
        <f>('Raw Data'!$F926*2)-10</f>
        <v>-10</v>
      </c>
      <c r="E924" s="43">
        <f>'Raw Data'!F926+Bill!$O$2</f>
        <v>20</v>
      </c>
      <c r="F924" s="43">
        <f>'Raw Data'!F926+Bill!$P$2</f>
        <v>25</v>
      </c>
      <c r="G924" s="43">
        <f>'Raw Data'!E926+Bill!$Q$2</f>
        <v>50</v>
      </c>
      <c r="H924" s="43">
        <f>('Raw Data'!F926+Bill!$R$2)</f>
        <v>20</v>
      </c>
      <c r="I924" s="36">
        <f>'Raw Data'!G926/100</f>
        <v>0</v>
      </c>
      <c r="K924" s="37">
        <f>Bill!$Y924</f>
        <v>46482</v>
      </c>
      <c r="L924" s="38">
        <f>Bill!$AA924*('Raw Data'!$E926+$L$2)</f>
        <v>0</v>
      </c>
      <c r="M924" s="38">
        <f>Bill!$AB924*('Raw Data'!$E926+$M$2)</f>
        <v>0</v>
      </c>
      <c r="N924" s="38">
        <f>(('Raw Data'!$F926 * 2)-10)*Bill!$AC924</f>
        <v>0</v>
      </c>
      <c r="O924" s="38">
        <f>('Raw Data'!F926+Bill!$O$2)*Bill!$AD924</f>
        <v>0</v>
      </c>
      <c r="P924" s="38">
        <f>('Raw Data'!F926+Bill!$P$2)*Bill!$AE924</f>
        <v>0</v>
      </c>
      <c r="Q924" s="38">
        <f>Bill!$Z924*('Raw Data'!$E926+$Q$2)</f>
        <v>0</v>
      </c>
      <c r="R924" s="38">
        <f>('Raw Data'!F926+Bill!$R$2)*Bill!$AF924</f>
        <v>0</v>
      </c>
      <c r="S924" s="48">
        <f>('Raw Data'!G926/100)*Bill!$AG924</f>
        <v>0</v>
      </c>
      <c r="T924" s="38">
        <f>SUM(Bill!$L924:$R924)</f>
        <v>0</v>
      </c>
      <c r="U924" s="53"/>
      <c r="V924" s="50"/>
      <c r="W924" s="38">
        <f>Bill!$U924-Bill!$T924</f>
        <v>0</v>
      </c>
      <c r="Y924" s="37">
        <f>'Raw Data'!D926</f>
        <v>46482</v>
      </c>
      <c r="Z924" s="47">
        <v>0.0</v>
      </c>
      <c r="AA924" s="47"/>
      <c r="AB924" s="47"/>
      <c r="AC924" s="47"/>
      <c r="AD924" s="47"/>
      <c r="AE924" s="47"/>
      <c r="AF924" s="47"/>
      <c r="AG924" s="47"/>
    </row>
    <row r="925" ht="15.75" customHeight="1">
      <c r="A925" s="35">
        <f>Bill!$Y925</f>
        <v>46483</v>
      </c>
      <c r="B925" s="43">
        <f>'Raw Data'!E927+Bill!$L$2</f>
        <v>20</v>
      </c>
      <c r="C925" s="43">
        <f>'Raw Data'!E927+Bill!$M$2</f>
        <v>25</v>
      </c>
      <c r="D925" s="43">
        <f>('Raw Data'!$F927*2)-10</f>
        <v>-10</v>
      </c>
      <c r="E925" s="43">
        <f>'Raw Data'!F927+Bill!$O$2</f>
        <v>20</v>
      </c>
      <c r="F925" s="43">
        <f>'Raw Data'!F927+Bill!$P$2</f>
        <v>25</v>
      </c>
      <c r="G925" s="43">
        <f>'Raw Data'!E927+Bill!$Q$2</f>
        <v>50</v>
      </c>
      <c r="H925" s="43">
        <f>('Raw Data'!F927+Bill!$R$2)</f>
        <v>20</v>
      </c>
      <c r="I925" s="36">
        <f>'Raw Data'!G927/100</f>
        <v>0</v>
      </c>
      <c r="K925" s="37">
        <f>Bill!$Y925</f>
        <v>46483</v>
      </c>
      <c r="L925" s="38">
        <f>Bill!$AA925*('Raw Data'!$E927+$L$2)</f>
        <v>0</v>
      </c>
      <c r="M925" s="38">
        <f>Bill!$AB925*('Raw Data'!$E927+$M$2)</f>
        <v>0</v>
      </c>
      <c r="N925" s="38">
        <f>(('Raw Data'!$F927 * 2)-10)*Bill!$AC925</f>
        <v>0</v>
      </c>
      <c r="O925" s="38">
        <f>('Raw Data'!F927+Bill!$O$2)*Bill!$AD925</f>
        <v>0</v>
      </c>
      <c r="P925" s="38">
        <f>('Raw Data'!F927+Bill!$P$2)*Bill!$AE925</f>
        <v>0</v>
      </c>
      <c r="Q925" s="38">
        <f>Bill!$Z925*('Raw Data'!$E927+$Q$2)</f>
        <v>0</v>
      </c>
      <c r="R925" s="38">
        <f>('Raw Data'!F927+Bill!$R$2)*Bill!$AF925</f>
        <v>0</v>
      </c>
      <c r="S925" s="48">
        <f>('Raw Data'!G927/100)*Bill!$AG925</f>
        <v>0</v>
      </c>
      <c r="T925" s="38">
        <f>SUM(Bill!$L925:$R925)</f>
        <v>0</v>
      </c>
      <c r="U925" s="53"/>
      <c r="V925" s="50"/>
      <c r="W925" s="38">
        <f>Bill!$U925-Bill!$T925</f>
        <v>0</v>
      </c>
      <c r="Y925" s="37">
        <f>'Raw Data'!D927</f>
        <v>46483</v>
      </c>
      <c r="Z925" s="47">
        <v>0.0</v>
      </c>
      <c r="AA925" s="47"/>
      <c r="AB925" s="47"/>
      <c r="AC925" s="47"/>
      <c r="AD925" s="47"/>
      <c r="AE925" s="47"/>
      <c r="AF925" s="47"/>
      <c r="AG925" s="47"/>
    </row>
    <row r="926" ht="15.75" customHeight="1">
      <c r="A926" s="35">
        <f>Bill!$Y926</f>
        <v>46484</v>
      </c>
      <c r="B926" s="43">
        <f>'Raw Data'!E928+Bill!$L$2</f>
        <v>20</v>
      </c>
      <c r="C926" s="43">
        <f>'Raw Data'!E928+Bill!$M$2</f>
        <v>25</v>
      </c>
      <c r="D926" s="43">
        <f>('Raw Data'!$F928*2)-10</f>
        <v>-10</v>
      </c>
      <c r="E926" s="43">
        <f>'Raw Data'!F928+Bill!$O$2</f>
        <v>20</v>
      </c>
      <c r="F926" s="43">
        <f>'Raw Data'!F928+Bill!$P$2</f>
        <v>25</v>
      </c>
      <c r="G926" s="43">
        <f>'Raw Data'!E928+Bill!$Q$2</f>
        <v>50</v>
      </c>
      <c r="H926" s="43">
        <f>('Raw Data'!F928+Bill!$R$2)</f>
        <v>20</v>
      </c>
      <c r="I926" s="36">
        <f>'Raw Data'!G928/100</f>
        <v>0</v>
      </c>
      <c r="K926" s="37">
        <f>Bill!$Y926</f>
        <v>46484</v>
      </c>
      <c r="L926" s="38">
        <f>Bill!$AA926*('Raw Data'!$E928+$L$2)</f>
        <v>0</v>
      </c>
      <c r="M926" s="38">
        <f>Bill!$AB926*('Raw Data'!$E928+$M$2)</f>
        <v>0</v>
      </c>
      <c r="N926" s="38">
        <f>(('Raw Data'!$F928 * 2)-10)*Bill!$AC926</f>
        <v>0</v>
      </c>
      <c r="O926" s="38">
        <f>('Raw Data'!F928+Bill!$O$2)*Bill!$AD926</f>
        <v>0</v>
      </c>
      <c r="P926" s="38">
        <f>('Raw Data'!F928+Bill!$P$2)*Bill!$AE926</f>
        <v>0</v>
      </c>
      <c r="Q926" s="38">
        <f>Bill!$Z926*('Raw Data'!$E928+$Q$2)</f>
        <v>0</v>
      </c>
      <c r="R926" s="38">
        <f>('Raw Data'!F928+Bill!$R$2)*Bill!$AF926</f>
        <v>0</v>
      </c>
      <c r="S926" s="48">
        <f>('Raw Data'!G928/100)*Bill!$AG926</f>
        <v>0</v>
      </c>
      <c r="T926" s="38">
        <f>SUM(Bill!$L926:$R926)</f>
        <v>0</v>
      </c>
      <c r="U926" s="53"/>
      <c r="V926" s="50"/>
      <c r="W926" s="38">
        <f>Bill!$U926-Bill!$T926</f>
        <v>0</v>
      </c>
      <c r="Y926" s="37">
        <f>'Raw Data'!D928</f>
        <v>46484</v>
      </c>
      <c r="Z926" s="47">
        <v>0.0</v>
      </c>
      <c r="AA926" s="47"/>
      <c r="AB926" s="47"/>
      <c r="AC926" s="47"/>
      <c r="AD926" s="47"/>
      <c r="AE926" s="47"/>
      <c r="AF926" s="47"/>
      <c r="AG926" s="47"/>
    </row>
    <row r="927" ht="15.75" customHeight="1">
      <c r="A927" s="35">
        <f>Bill!$Y927</f>
        <v>46485</v>
      </c>
      <c r="B927" s="43">
        <f>'Raw Data'!E929+Bill!$L$2</f>
        <v>20</v>
      </c>
      <c r="C927" s="43">
        <f>'Raw Data'!E929+Bill!$M$2</f>
        <v>25</v>
      </c>
      <c r="D927" s="43">
        <f>('Raw Data'!$F929*2)-10</f>
        <v>-10</v>
      </c>
      <c r="E927" s="43">
        <f>'Raw Data'!F929+Bill!$O$2</f>
        <v>20</v>
      </c>
      <c r="F927" s="43">
        <f>'Raw Data'!F929+Bill!$P$2</f>
        <v>25</v>
      </c>
      <c r="G927" s="43">
        <f>'Raw Data'!E929+Bill!$Q$2</f>
        <v>50</v>
      </c>
      <c r="H927" s="43">
        <f>('Raw Data'!F929+Bill!$R$2)</f>
        <v>20</v>
      </c>
      <c r="I927" s="36">
        <f>'Raw Data'!G929/100</f>
        <v>0</v>
      </c>
      <c r="K927" s="37">
        <f>Bill!$Y927</f>
        <v>46485</v>
      </c>
      <c r="L927" s="38">
        <f>Bill!$AA927*('Raw Data'!$E929+$L$2)</f>
        <v>0</v>
      </c>
      <c r="M927" s="38">
        <f>Bill!$AB927*('Raw Data'!$E929+$M$2)</f>
        <v>0</v>
      </c>
      <c r="N927" s="38">
        <f>(('Raw Data'!$F929 * 2)-10)*Bill!$AC927</f>
        <v>0</v>
      </c>
      <c r="O927" s="38">
        <f>('Raw Data'!F929+Bill!$O$2)*Bill!$AD927</f>
        <v>0</v>
      </c>
      <c r="P927" s="38">
        <f>('Raw Data'!F929+Bill!$P$2)*Bill!$AE927</f>
        <v>0</v>
      </c>
      <c r="Q927" s="38">
        <f>Bill!$Z927*('Raw Data'!$E929+$Q$2)</f>
        <v>0</v>
      </c>
      <c r="R927" s="38">
        <f>('Raw Data'!F929+Bill!$R$2)*Bill!$AF927</f>
        <v>0</v>
      </c>
      <c r="S927" s="48">
        <f>('Raw Data'!G929/100)*Bill!$AG927</f>
        <v>0</v>
      </c>
      <c r="T927" s="38">
        <f>SUM(Bill!$L927:$R927)</f>
        <v>0</v>
      </c>
      <c r="U927" s="53"/>
      <c r="V927" s="50"/>
      <c r="W927" s="38">
        <f>Bill!$U927-Bill!$T927</f>
        <v>0</v>
      </c>
      <c r="Y927" s="37">
        <f>'Raw Data'!D929</f>
        <v>46485</v>
      </c>
      <c r="Z927" s="47">
        <v>0.0</v>
      </c>
      <c r="AA927" s="47"/>
      <c r="AB927" s="47"/>
      <c r="AC927" s="47"/>
      <c r="AD927" s="47"/>
      <c r="AE927" s="47"/>
      <c r="AF927" s="47"/>
      <c r="AG927" s="47"/>
    </row>
    <row r="928" ht="15.75" customHeight="1">
      <c r="A928" s="35">
        <f>Bill!$Y928</f>
        <v>46486</v>
      </c>
      <c r="B928" s="43">
        <f>'Raw Data'!E930+Bill!$L$2</f>
        <v>20</v>
      </c>
      <c r="C928" s="43">
        <f>'Raw Data'!E930+Bill!$M$2</f>
        <v>25</v>
      </c>
      <c r="D928" s="43">
        <f>('Raw Data'!$F930*2)-10</f>
        <v>-10</v>
      </c>
      <c r="E928" s="43">
        <f>'Raw Data'!F930+Bill!$O$2</f>
        <v>20</v>
      </c>
      <c r="F928" s="43">
        <f>'Raw Data'!F930+Bill!$P$2</f>
        <v>25</v>
      </c>
      <c r="G928" s="43">
        <f>'Raw Data'!E930+Bill!$Q$2</f>
        <v>50</v>
      </c>
      <c r="H928" s="43">
        <f>('Raw Data'!F930+Bill!$R$2)</f>
        <v>20</v>
      </c>
      <c r="I928" s="36">
        <f>'Raw Data'!G930/100</f>
        <v>0</v>
      </c>
      <c r="K928" s="37">
        <f>Bill!$Y928</f>
        <v>46486</v>
      </c>
      <c r="L928" s="38">
        <f>Bill!$AA928*('Raw Data'!$E930+$L$2)</f>
        <v>0</v>
      </c>
      <c r="M928" s="38">
        <f>Bill!$AB928*('Raw Data'!$E930+$M$2)</f>
        <v>0</v>
      </c>
      <c r="N928" s="38">
        <f>(('Raw Data'!$F930 * 2)-10)*Bill!$AC928</f>
        <v>0</v>
      </c>
      <c r="O928" s="38">
        <f>('Raw Data'!F930+Bill!$O$2)*Bill!$AD928</f>
        <v>0</v>
      </c>
      <c r="P928" s="38">
        <f>('Raw Data'!F930+Bill!$P$2)*Bill!$AE928</f>
        <v>0</v>
      </c>
      <c r="Q928" s="38">
        <f>Bill!$Z928*('Raw Data'!$E930+$Q$2)</f>
        <v>0</v>
      </c>
      <c r="R928" s="38">
        <f>('Raw Data'!F930+Bill!$R$2)*Bill!$AF928</f>
        <v>0</v>
      </c>
      <c r="S928" s="48">
        <f>('Raw Data'!G930/100)*Bill!$AG928</f>
        <v>0</v>
      </c>
      <c r="T928" s="38">
        <f>SUM(Bill!$L928:$R928)</f>
        <v>0</v>
      </c>
      <c r="U928" s="53"/>
      <c r="V928" s="50"/>
      <c r="W928" s="38">
        <f>Bill!$U928-Bill!$T928</f>
        <v>0</v>
      </c>
      <c r="Y928" s="37">
        <f>'Raw Data'!D930</f>
        <v>46486</v>
      </c>
      <c r="Z928" s="47">
        <v>0.0</v>
      </c>
      <c r="AA928" s="47"/>
      <c r="AB928" s="47"/>
      <c r="AC928" s="47"/>
      <c r="AD928" s="47"/>
      <c r="AE928" s="47"/>
      <c r="AF928" s="47"/>
      <c r="AG928" s="47"/>
    </row>
    <row r="929" ht="15.75" customHeight="1">
      <c r="A929" s="35">
        <f>Bill!$Y929</f>
        <v>46487</v>
      </c>
      <c r="B929" s="43">
        <f>'Raw Data'!E931+Bill!$L$2</f>
        <v>20</v>
      </c>
      <c r="C929" s="43">
        <f>'Raw Data'!E931+Bill!$M$2</f>
        <v>25</v>
      </c>
      <c r="D929" s="43">
        <f>('Raw Data'!$F931*2)-10</f>
        <v>-10</v>
      </c>
      <c r="E929" s="43">
        <f>'Raw Data'!F931+Bill!$O$2</f>
        <v>20</v>
      </c>
      <c r="F929" s="43">
        <f>'Raw Data'!F931+Bill!$P$2</f>
        <v>25</v>
      </c>
      <c r="G929" s="43">
        <f>'Raw Data'!E931+Bill!$Q$2</f>
        <v>50</v>
      </c>
      <c r="H929" s="43">
        <f>('Raw Data'!F931+Bill!$R$2)</f>
        <v>20</v>
      </c>
      <c r="I929" s="36">
        <f>'Raw Data'!G931/100</f>
        <v>0</v>
      </c>
      <c r="K929" s="37">
        <f>Bill!$Y929</f>
        <v>46487</v>
      </c>
      <c r="L929" s="38">
        <f>Bill!$AA929*('Raw Data'!$E931+$L$2)</f>
        <v>0</v>
      </c>
      <c r="M929" s="38">
        <f>Bill!$AB929*('Raw Data'!$E931+$M$2)</f>
        <v>0</v>
      </c>
      <c r="N929" s="38">
        <f>(('Raw Data'!$F931 * 2)-10)*Bill!$AC929</f>
        <v>0</v>
      </c>
      <c r="O929" s="38">
        <f>('Raw Data'!F931+Bill!$O$2)*Bill!$AD929</f>
        <v>0</v>
      </c>
      <c r="P929" s="38">
        <f>('Raw Data'!F931+Bill!$P$2)*Bill!$AE929</f>
        <v>0</v>
      </c>
      <c r="Q929" s="38">
        <f>Bill!$Z929*('Raw Data'!$E931+$Q$2)</f>
        <v>0</v>
      </c>
      <c r="R929" s="38">
        <f>('Raw Data'!F931+Bill!$R$2)*Bill!$AF929</f>
        <v>0</v>
      </c>
      <c r="S929" s="48">
        <f>('Raw Data'!G931/100)*Bill!$AG929</f>
        <v>0</v>
      </c>
      <c r="T929" s="38">
        <f>SUM(Bill!$L929:$R929)</f>
        <v>0</v>
      </c>
      <c r="U929" s="53"/>
      <c r="V929" s="50"/>
      <c r="W929" s="38">
        <f>Bill!$U929-Bill!$T929</f>
        <v>0</v>
      </c>
      <c r="Y929" s="37">
        <f>'Raw Data'!D931</f>
        <v>46487</v>
      </c>
      <c r="Z929" s="47">
        <v>0.0</v>
      </c>
      <c r="AA929" s="47"/>
      <c r="AB929" s="47"/>
      <c r="AC929" s="47"/>
      <c r="AD929" s="47"/>
      <c r="AE929" s="47"/>
      <c r="AF929" s="47"/>
      <c r="AG929" s="47"/>
    </row>
    <row r="930" ht="15.75" customHeight="1">
      <c r="A930" s="35">
        <f>Bill!$Y930</f>
        <v>46488</v>
      </c>
      <c r="B930" s="43">
        <f>'Raw Data'!E932+Bill!$L$2</f>
        <v>20</v>
      </c>
      <c r="C930" s="43">
        <f>'Raw Data'!E932+Bill!$M$2</f>
        <v>25</v>
      </c>
      <c r="D930" s="43">
        <f>('Raw Data'!$F932*2)-10</f>
        <v>-10</v>
      </c>
      <c r="E930" s="43">
        <f>'Raw Data'!F932+Bill!$O$2</f>
        <v>20</v>
      </c>
      <c r="F930" s="43">
        <f>'Raw Data'!F932+Bill!$P$2</f>
        <v>25</v>
      </c>
      <c r="G930" s="43">
        <f>'Raw Data'!E932+Bill!$Q$2</f>
        <v>50</v>
      </c>
      <c r="H930" s="43">
        <f>('Raw Data'!F932+Bill!$R$2)</f>
        <v>20</v>
      </c>
      <c r="I930" s="36">
        <f>'Raw Data'!G932/100</f>
        <v>0</v>
      </c>
      <c r="K930" s="37">
        <f>Bill!$Y930</f>
        <v>46488</v>
      </c>
      <c r="L930" s="38">
        <f>Bill!$AA930*('Raw Data'!$E932+$L$2)</f>
        <v>0</v>
      </c>
      <c r="M930" s="38">
        <f>Bill!$AB930*('Raw Data'!$E932+$M$2)</f>
        <v>0</v>
      </c>
      <c r="N930" s="38">
        <f>(('Raw Data'!$F932 * 2)-10)*Bill!$AC930</f>
        <v>0</v>
      </c>
      <c r="O930" s="38">
        <f>('Raw Data'!F932+Bill!$O$2)*Bill!$AD930</f>
        <v>0</v>
      </c>
      <c r="P930" s="38">
        <f>('Raw Data'!F932+Bill!$P$2)*Bill!$AE930</f>
        <v>0</v>
      </c>
      <c r="Q930" s="38">
        <f>Bill!$Z930*('Raw Data'!$E932+$Q$2)</f>
        <v>0</v>
      </c>
      <c r="R930" s="38">
        <f>('Raw Data'!F932+Bill!$R$2)*Bill!$AF930</f>
        <v>0</v>
      </c>
      <c r="S930" s="48">
        <f>('Raw Data'!G932/100)*Bill!$AG930</f>
        <v>0</v>
      </c>
      <c r="T930" s="38">
        <f>SUM(Bill!$L930:$R930)</f>
        <v>0</v>
      </c>
      <c r="U930" s="53"/>
      <c r="V930" s="50"/>
      <c r="W930" s="38">
        <f>Bill!$U930-Bill!$T930</f>
        <v>0</v>
      </c>
      <c r="Y930" s="37">
        <f>'Raw Data'!D932</f>
        <v>46488</v>
      </c>
      <c r="Z930" s="47">
        <v>0.0</v>
      </c>
      <c r="AA930" s="47"/>
      <c r="AB930" s="47"/>
      <c r="AC930" s="47"/>
      <c r="AD930" s="47"/>
      <c r="AE930" s="47"/>
      <c r="AF930" s="47"/>
      <c r="AG930" s="47"/>
    </row>
    <row r="931" ht="15.75" customHeight="1">
      <c r="A931" s="35">
        <f>Bill!$Y931</f>
        <v>46489</v>
      </c>
      <c r="B931" s="43">
        <f>'Raw Data'!E933+Bill!$L$2</f>
        <v>20</v>
      </c>
      <c r="C931" s="43">
        <f>'Raw Data'!E933+Bill!$M$2</f>
        <v>25</v>
      </c>
      <c r="D931" s="43">
        <f>('Raw Data'!$F933*2)-10</f>
        <v>-10</v>
      </c>
      <c r="E931" s="43">
        <f>'Raw Data'!F933+Bill!$O$2</f>
        <v>20</v>
      </c>
      <c r="F931" s="43">
        <f>'Raw Data'!F933+Bill!$P$2</f>
        <v>25</v>
      </c>
      <c r="G931" s="43">
        <f>'Raw Data'!E933+Bill!$Q$2</f>
        <v>50</v>
      </c>
      <c r="H931" s="43">
        <f>('Raw Data'!F933+Bill!$R$2)</f>
        <v>20</v>
      </c>
      <c r="I931" s="36">
        <f>'Raw Data'!G933/100</f>
        <v>0</v>
      </c>
      <c r="K931" s="37">
        <f>Bill!$Y931</f>
        <v>46489</v>
      </c>
      <c r="L931" s="38">
        <f>Bill!$AA931*('Raw Data'!$E933+$L$2)</f>
        <v>0</v>
      </c>
      <c r="M931" s="38">
        <f>Bill!$AB931*('Raw Data'!$E933+$M$2)</f>
        <v>0</v>
      </c>
      <c r="N931" s="38">
        <f>(('Raw Data'!$F933 * 2)-10)*Bill!$AC931</f>
        <v>0</v>
      </c>
      <c r="O931" s="38">
        <f>('Raw Data'!F933+Bill!$O$2)*Bill!$AD931</f>
        <v>0</v>
      </c>
      <c r="P931" s="38">
        <f>('Raw Data'!F933+Bill!$P$2)*Bill!$AE931</f>
        <v>0</v>
      </c>
      <c r="Q931" s="38">
        <f>Bill!$Z931*('Raw Data'!$E933+$Q$2)</f>
        <v>0</v>
      </c>
      <c r="R931" s="38">
        <f>('Raw Data'!F933+Bill!$R$2)*Bill!$AF931</f>
        <v>0</v>
      </c>
      <c r="S931" s="48">
        <f>('Raw Data'!G933/100)*Bill!$AG931</f>
        <v>0</v>
      </c>
      <c r="T931" s="38">
        <f>SUM(Bill!$L931:$R931)</f>
        <v>0</v>
      </c>
      <c r="U931" s="53"/>
      <c r="V931" s="50"/>
      <c r="W931" s="38">
        <f>Bill!$U931-Bill!$T931</f>
        <v>0</v>
      </c>
      <c r="Y931" s="37">
        <f>'Raw Data'!D933</f>
        <v>46489</v>
      </c>
      <c r="Z931" s="47">
        <v>0.0</v>
      </c>
      <c r="AA931" s="47"/>
      <c r="AB931" s="47"/>
      <c r="AC931" s="47"/>
      <c r="AD931" s="47"/>
      <c r="AE931" s="47"/>
      <c r="AF931" s="47"/>
      <c r="AG931" s="47"/>
    </row>
    <row r="932" ht="15.75" customHeight="1">
      <c r="A932" s="35">
        <f>Bill!$Y932</f>
        <v>46490</v>
      </c>
      <c r="B932" s="43">
        <f>'Raw Data'!E934+Bill!$L$2</f>
        <v>20</v>
      </c>
      <c r="C932" s="43">
        <f>'Raw Data'!E934+Bill!$M$2</f>
        <v>25</v>
      </c>
      <c r="D932" s="43">
        <f>('Raw Data'!$F934*2)-10</f>
        <v>-10</v>
      </c>
      <c r="E932" s="43">
        <f>'Raw Data'!F934+Bill!$O$2</f>
        <v>20</v>
      </c>
      <c r="F932" s="43">
        <f>'Raw Data'!F934+Bill!$P$2</f>
        <v>25</v>
      </c>
      <c r="G932" s="43">
        <f>'Raw Data'!E934+Bill!$Q$2</f>
        <v>50</v>
      </c>
      <c r="H932" s="43">
        <f>('Raw Data'!F934+Bill!$R$2)</f>
        <v>20</v>
      </c>
      <c r="I932" s="36">
        <f>'Raw Data'!G934/100</f>
        <v>0</v>
      </c>
      <c r="K932" s="37">
        <f>Bill!$Y932</f>
        <v>46490</v>
      </c>
      <c r="L932" s="38">
        <f>Bill!$AA932*('Raw Data'!$E934+$L$2)</f>
        <v>0</v>
      </c>
      <c r="M932" s="38">
        <f>Bill!$AB932*('Raw Data'!$E934+$M$2)</f>
        <v>0</v>
      </c>
      <c r="N932" s="38">
        <f>(('Raw Data'!$F934 * 2)-10)*Bill!$AC932</f>
        <v>0</v>
      </c>
      <c r="O932" s="38">
        <f>('Raw Data'!F934+Bill!$O$2)*Bill!$AD932</f>
        <v>0</v>
      </c>
      <c r="P932" s="38">
        <f>('Raw Data'!F934+Bill!$P$2)*Bill!$AE932</f>
        <v>0</v>
      </c>
      <c r="Q932" s="38">
        <f>Bill!$Z932*('Raw Data'!$E934+$Q$2)</f>
        <v>0</v>
      </c>
      <c r="R932" s="38">
        <f>('Raw Data'!F934+Bill!$R$2)*Bill!$AF932</f>
        <v>0</v>
      </c>
      <c r="S932" s="48">
        <f>('Raw Data'!G934/100)*Bill!$AG932</f>
        <v>0</v>
      </c>
      <c r="T932" s="38">
        <f>SUM(Bill!$L932:$R932)</f>
        <v>0</v>
      </c>
      <c r="U932" s="53"/>
      <c r="V932" s="50"/>
      <c r="W932" s="38">
        <f>Bill!$U932-Bill!$T932</f>
        <v>0</v>
      </c>
      <c r="Y932" s="37">
        <f>'Raw Data'!D934</f>
        <v>46490</v>
      </c>
      <c r="Z932" s="47">
        <v>0.0</v>
      </c>
      <c r="AA932" s="47"/>
      <c r="AB932" s="47"/>
      <c r="AC932" s="47"/>
      <c r="AD932" s="47"/>
      <c r="AE932" s="47"/>
      <c r="AF932" s="47"/>
      <c r="AG932" s="47"/>
    </row>
    <row r="933" ht="15.75" customHeight="1">
      <c r="A933" s="35">
        <f>Bill!$Y933</f>
        <v>46491</v>
      </c>
      <c r="B933" s="43">
        <f>'Raw Data'!E935+Bill!$L$2</f>
        <v>20</v>
      </c>
      <c r="C933" s="43">
        <f>'Raw Data'!E935+Bill!$M$2</f>
        <v>25</v>
      </c>
      <c r="D933" s="43">
        <f>('Raw Data'!$F935*2)-10</f>
        <v>-10</v>
      </c>
      <c r="E933" s="43">
        <f>'Raw Data'!F935+Bill!$O$2</f>
        <v>20</v>
      </c>
      <c r="F933" s="43">
        <f>'Raw Data'!F935+Bill!$P$2</f>
        <v>25</v>
      </c>
      <c r="G933" s="43">
        <f>'Raw Data'!E935+Bill!$Q$2</f>
        <v>50</v>
      </c>
      <c r="H933" s="43">
        <f>('Raw Data'!F935+Bill!$R$2)</f>
        <v>20</v>
      </c>
      <c r="I933" s="36">
        <f>'Raw Data'!G935/100</f>
        <v>0</v>
      </c>
      <c r="K933" s="37">
        <f>Bill!$Y933</f>
        <v>46491</v>
      </c>
      <c r="L933" s="38">
        <f>Bill!$AA933*('Raw Data'!$E935+$L$2)</f>
        <v>0</v>
      </c>
      <c r="M933" s="38">
        <f>Bill!$AB933*('Raw Data'!$E935+$M$2)</f>
        <v>0</v>
      </c>
      <c r="N933" s="38">
        <f>(('Raw Data'!$F935 * 2)-10)*Bill!$AC933</f>
        <v>0</v>
      </c>
      <c r="O933" s="38">
        <f>('Raw Data'!F935+Bill!$O$2)*Bill!$AD933</f>
        <v>0</v>
      </c>
      <c r="P933" s="38">
        <f>('Raw Data'!F935+Bill!$P$2)*Bill!$AE933</f>
        <v>0</v>
      </c>
      <c r="Q933" s="38">
        <f>Bill!$Z933*('Raw Data'!$E935+$Q$2)</f>
        <v>0</v>
      </c>
      <c r="R933" s="38">
        <f>('Raw Data'!F935+Bill!$R$2)*Bill!$AF933</f>
        <v>0</v>
      </c>
      <c r="S933" s="48">
        <f>('Raw Data'!G935/100)*Bill!$AG933</f>
        <v>0</v>
      </c>
      <c r="T933" s="38">
        <f>SUM(Bill!$L933:$R933)</f>
        <v>0</v>
      </c>
      <c r="U933" s="53"/>
      <c r="V933" s="50"/>
      <c r="W933" s="38">
        <f>Bill!$U933-Bill!$T933</f>
        <v>0</v>
      </c>
      <c r="Y933" s="37">
        <f>'Raw Data'!D935</f>
        <v>46491</v>
      </c>
      <c r="Z933" s="47">
        <v>0.0</v>
      </c>
      <c r="AA933" s="47"/>
      <c r="AB933" s="47"/>
      <c r="AC933" s="47"/>
      <c r="AD933" s="47"/>
      <c r="AE933" s="47"/>
      <c r="AF933" s="47"/>
      <c r="AG933" s="47"/>
    </row>
    <row r="934" ht="15.75" customHeight="1">
      <c r="A934" s="35">
        <f>Bill!$Y934</f>
        <v>46492</v>
      </c>
      <c r="B934" s="43">
        <f>'Raw Data'!E936+Bill!$L$2</f>
        <v>20</v>
      </c>
      <c r="C934" s="43">
        <f>'Raw Data'!E936+Bill!$M$2</f>
        <v>25</v>
      </c>
      <c r="D934" s="43">
        <f>('Raw Data'!$F936*2)-10</f>
        <v>-10</v>
      </c>
      <c r="E934" s="43">
        <f>'Raw Data'!F936+Bill!$O$2</f>
        <v>20</v>
      </c>
      <c r="F934" s="43">
        <f>'Raw Data'!F936+Bill!$P$2</f>
        <v>25</v>
      </c>
      <c r="G934" s="43">
        <f>'Raw Data'!E936+Bill!$Q$2</f>
        <v>50</v>
      </c>
      <c r="H934" s="43">
        <f>('Raw Data'!F936+Bill!$R$2)</f>
        <v>20</v>
      </c>
      <c r="I934" s="36">
        <f>'Raw Data'!G936/100</f>
        <v>0</v>
      </c>
      <c r="K934" s="37">
        <f>Bill!$Y934</f>
        <v>46492</v>
      </c>
      <c r="L934" s="38">
        <f>Bill!$AA934*('Raw Data'!$E936+$L$2)</f>
        <v>0</v>
      </c>
      <c r="M934" s="38">
        <f>Bill!$AB934*('Raw Data'!$E936+$M$2)</f>
        <v>0</v>
      </c>
      <c r="N934" s="38">
        <f>(('Raw Data'!$F936 * 2)-10)*Bill!$AC934</f>
        <v>0</v>
      </c>
      <c r="O934" s="38">
        <f>('Raw Data'!F936+Bill!$O$2)*Bill!$AD934</f>
        <v>0</v>
      </c>
      <c r="P934" s="38">
        <f>('Raw Data'!F936+Bill!$P$2)*Bill!$AE934</f>
        <v>0</v>
      </c>
      <c r="Q934" s="38">
        <f>Bill!$Z934*('Raw Data'!$E936+$Q$2)</f>
        <v>0</v>
      </c>
      <c r="R934" s="38">
        <f>('Raw Data'!F936+Bill!$R$2)*Bill!$AF934</f>
        <v>0</v>
      </c>
      <c r="S934" s="48">
        <f>('Raw Data'!G936/100)*Bill!$AG934</f>
        <v>0</v>
      </c>
      <c r="T934" s="38">
        <f>SUM(Bill!$L934:$R934)</f>
        <v>0</v>
      </c>
      <c r="U934" s="53"/>
      <c r="V934" s="50"/>
      <c r="W934" s="38">
        <f>Bill!$U934-Bill!$T934</f>
        <v>0</v>
      </c>
      <c r="Y934" s="37">
        <f>'Raw Data'!D936</f>
        <v>46492</v>
      </c>
      <c r="Z934" s="47">
        <v>0.0</v>
      </c>
      <c r="AA934" s="47"/>
      <c r="AB934" s="47"/>
      <c r="AC934" s="47"/>
      <c r="AD934" s="47"/>
      <c r="AE934" s="47"/>
      <c r="AF934" s="47"/>
      <c r="AG934" s="47"/>
    </row>
    <row r="935" ht="15.75" customHeight="1">
      <c r="A935" s="35">
        <f>Bill!$Y935</f>
        <v>46493</v>
      </c>
      <c r="B935" s="43">
        <f>'Raw Data'!E937+Bill!$L$2</f>
        <v>20</v>
      </c>
      <c r="C935" s="43">
        <f>'Raw Data'!E937+Bill!$M$2</f>
        <v>25</v>
      </c>
      <c r="D935" s="43">
        <f>('Raw Data'!$F937*2)-10</f>
        <v>-10</v>
      </c>
      <c r="E935" s="43">
        <f>'Raw Data'!F937+Bill!$O$2</f>
        <v>20</v>
      </c>
      <c r="F935" s="43">
        <f>'Raw Data'!F937+Bill!$P$2</f>
        <v>25</v>
      </c>
      <c r="G935" s="43">
        <f>'Raw Data'!E937+Bill!$Q$2</f>
        <v>50</v>
      </c>
      <c r="H935" s="43">
        <f>('Raw Data'!F937+Bill!$R$2)</f>
        <v>20</v>
      </c>
      <c r="I935" s="36">
        <f>'Raw Data'!G937/100</f>
        <v>0</v>
      </c>
      <c r="K935" s="37">
        <f>Bill!$Y935</f>
        <v>46493</v>
      </c>
      <c r="L935" s="38">
        <f>Bill!$AA935*('Raw Data'!$E937+$L$2)</f>
        <v>0</v>
      </c>
      <c r="M935" s="38">
        <f>Bill!$AB935*('Raw Data'!$E937+$M$2)</f>
        <v>0</v>
      </c>
      <c r="N935" s="38">
        <f>(('Raw Data'!$F937 * 2)-10)*Bill!$AC935</f>
        <v>0</v>
      </c>
      <c r="O935" s="38">
        <f>('Raw Data'!F937+Bill!$O$2)*Bill!$AD935</f>
        <v>0</v>
      </c>
      <c r="P935" s="38">
        <f>('Raw Data'!F937+Bill!$P$2)*Bill!$AE935</f>
        <v>0</v>
      </c>
      <c r="Q935" s="38">
        <f>Bill!$Z935*('Raw Data'!$E937+$Q$2)</f>
        <v>0</v>
      </c>
      <c r="R935" s="38">
        <f>('Raw Data'!F937+Bill!$R$2)*Bill!$AF935</f>
        <v>0</v>
      </c>
      <c r="S935" s="48">
        <f>('Raw Data'!G937/100)*Bill!$AG935</f>
        <v>0</v>
      </c>
      <c r="T935" s="38">
        <f>SUM(Bill!$L935:$R935)</f>
        <v>0</v>
      </c>
      <c r="U935" s="53"/>
      <c r="V935" s="50"/>
      <c r="W935" s="38">
        <f>Bill!$U935-Bill!$T935</f>
        <v>0</v>
      </c>
      <c r="Y935" s="37">
        <f>'Raw Data'!D937</f>
        <v>46493</v>
      </c>
      <c r="Z935" s="47">
        <v>0.0</v>
      </c>
      <c r="AA935" s="47"/>
      <c r="AB935" s="47"/>
      <c r="AC935" s="47"/>
      <c r="AD935" s="47"/>
      <c r="AE935" s="47"/>
      <c r="AF935" s="47"/>
      <c r="AG935" s="47"/>
    </row>
    <row r="936" ht="15.75" customHeight="1">
      <c r="A936" s="35">
        <f>Bill!$Y936</f>
        <v>46494</v>
      </c>
      <c r="B936" s="43">
        <f>'Raw Data'!E938+Bill!$L$2</f>
        <v>20</v>
      </c>
      <c r="C936" s="43">
        <f>'Raw Data'!E938+Bill!$M$2</f>
        <v>25</v>
      </c>
      <c r="D936" s="43">
        <f>('Raw Data'!$F938*2)-10</f>
        <v>-10</v>
      </c>
      <c r="E936" s="43">
        <f>'Raw Data'!F938+Bill!$O$2</f>
        <v>20</v>
      </c>
      <c r="F936" s="43">
        <f>'Raw Data'!F938+Bill!$P$2</f>
        <v>25</v>
      </c>
      <c r="G936" s="43">
        <f>'Raw Data'!E938+Bill!$Q$2</f>
        <v>50</v>
      </c>
      <c r="H936" s="43">
        <f>('Raw Data'!F938+Bill!$R$2)</f>
        <v>20</v>
      </c>
      <c r="I936" s="36">
        <f>'Raw Data'!G938/100</f>
        <v>0</v>
      </c>
      <c r="K936" s="37">
        <f>Bill!$Y936</f>
        <v>46494</v>
      </c>
      <c r="L936" s="38">
        <f>Bill!$AA936*('Raw Data'!$E938+$L$2)</f>
        <v>0</v>
      </c>
      <c r="M936" s="38">
        <f>Bill!$AB936*('Raw Data'!$E938+$M$2)</f>
        <v>0</v>
      </c>
      <c r="N936" s="38">
        <f>(('Raw Data'!$F938 * 2)-10)*Bill!$AC936</f>
        <v>0</v>
      </c>
      <c r="O936" s="38">
        <f>('Raw Data'!F938+Bill!$O$2)*Bill!$AD936</f>
        <v>0</v>
      </c>
      <c r="P936" s="38">
        <f>('Raw Data'!F938+Bill!$P$2)*Bill!$AE936</f>
        <v>0</v>
      </c>
      <c r="Q936" s="38">
        <f>Bill!$Z936*('Raw Data'!$E938+$Q$2)</f>
        <v>0</v>
      </c>
      <c r="R936" s="38">
        <f>('Raw Data'!F938+Bill!$R$2)*Bill!$AF936</f>
        <v>0</v>
      </c>
      <c r="S936" s="48">
        <f>('Raw Data'!G938/100)*Bill!$AG936</f>
        <v>0</v>
      </c>
      <c r="T936" s="38">
        <f>SUM(Bill!$L936:$R936)</f>
        <v>0</v>
      </c>
      <c r="U936" s="53"/>
      <c r="V936" s="50"/>
      <c r="W936" s="38">
        <f>Bill!$U936-Bill!$T936</f>
        <v>0</v>
      </c>
      <c r="Y936" s="37">
        <f>'Raw Data'!D938</f>
        <v>46494</v>
      </c>
      <c r="Z936" s="47">
        <v>0.0</v>
      </c>
      <c r="AA936" s="47"/>
      <c r="AB936" s="47"/>
      <c r="AC936" s="47"/>
      <c r="AD936" s="47"/>
      <c r="AE936" s="47"/>
      <c r="AF936" s="47"/>
      <c r="AG936" s="47"/>
    </row>
    <row r="937" ht="15.75" customHeight="1">
      <c r="A937" s="35">
        <f>Bill!$Y937</f>
        <v>46495</v>
      </c>
      <c r="B937" s="43">
        <f>'Raw Data'!E939+Bill!$L$2</f>
        <v>20</v>
      </c>
      <c r="C937" s="43">
        <f>'Raw Data'!E939+Bill!$M$2</f>
        <v>25</v>
      </c>
      <c r="D937" s="43">
        <f>('Raw Data'!$F939*2)-10</f>
        <v>-10</v>
      </c>
      <c r="E937" s="43">
        <f>'Raw Data'!F939+Bill!$O$2</f>
        <v>20</v>
      </c>
      <c r="F937" s="43">
        <f>'Raw Data'!F939+Bill!$P$2</f>
        <v>25</v>
      </c>
      <c r="G937" s="43">
        <f>'Raw Data'!E939+Bill!$Q$2</f>
        <v>50</v>
      </c>
      <c r="H937" s="43">
        <f>('Raw Data'!F939+Bill!$R$2)</f>
        <v>20</v>
      </c>
      <c r="I937" s="36">
        <f>'Raw Data'!G939/100</f>
        <v>0</v>
      </c>
      <c r="K937" s="37">
        <f>Bill!$Y937</f>
        <v>46495</v>
      </c>
      <c r="L937" s="38">
        <f>Bill!$AA937*('Raw Data'!$E939+$L$2)</f>
        <v>0</v>
      </c>
      <c r="M937" s="38">
        <f>Bill!$AB937*('Raw Data'!$E939+$M$2)</f>
        <v>0</v>
      </c>
      <c r="N937" s="38">
        <f>(('Raw Data'!$F939 * 2)-10)*Bill!$AC937</f>
        <v>0</v>
      </c>
      <c r="O937" s="38">
        <f>('Raw Data'!F939+Bill!$O$2)*Bill!$AD937</f>
        <v>0</v>
      </c>
      <c r="P937" s="38">
        <f>('Raw Data'!F939+Bill!$P$2)*Bill!$AE937</f>
        <v>0</v>
      </c>
      <c r="Q937" s="38">
        <f>Bill!$Z937*('Raw Data'!$E939+$Q$2)</f>
        <v>0</v>
      </c>
      <c r="R937" s="38">
        <f>('Raw Data'!F939+Bill!$R$2)*Bill!$AF937</f>
        <v>0</v>
      </c>
      <c r="S937" s="48">
        <f>('Raw Data'!G939/100)*Bill!$AG937</f>
        <v>0</v>
      </c>
      <c r="T937" s="38">
        <f>SUM(Bill!$L937:$R937)</f>
        <v>0</v>
      </c>
      <c r="U937" s="53"/>
      <c r="V937" s="50"/>
      <c r="W937" s="38">
        <f>Bill!$U937-Bill!$T937</f>
        <v>0</v>
      </c>
      <c r="Y937" s="37">
        <f>'Raw Data'!D939</f>
        <v>46495</v>
      </c>
      <c r="Z937" s="47">
        <v>0.0</v>
      </c>
      <c r="AA937" s="47"/>
      <c r="AB937" s="47"/>
      <c r="AC937" s="47"/>
      <c r="AD937" s="47"/>
      <c r="AE937" s="47"/>
      <c r="AF937" s="47"/>
      <c r="AG937" s="47"/>
    </row>
    <row r="938" ht="15.75" customHeight="1">
      <c r="A938" s="35">
        <f>Bill!$Y938</f>
        <v>46496</v>
      </c>
      <c r="B938" s="43">
        <f>'Raw Data'!E940+Bill!$L$2</f>
        <v>20</v>
      </c>
      <c r="C938" s="43">
        <f>'Raw Data'!E940+Bill!$M$2</f>
        <v>25</v>
      </c>
      <c r="D938" s="43">
        <f>('Raw Data'!$F940*2)-10</f>
        <v>-10</v>
      </c>
      <c r="E938" s="43">
        <f>'Raw Data'!F940+Bill!$O$2</f>
        <v>20</v>
      </c>
      <c r="F938" s="43">
        <f>'Raw Data'!F940+Bill!$P$2</f>
        <v>25</v>
      </c>
      <c r="G938" s="43">
        <f>'Raw Data'!E940+Bill!$Q$2</f>
        <v>50</v>
      </c>
      <c r="H938" s="43">
        <f>('Raw Data'!F940+Bill!$R$2)</f>
        <v>20</v>
      </c>
      <c r="I938" s="36">
        <f>'Raw Data'!G940/100</f>
        <v>0</v>
      </c>
      <c r="K938" s="37">
        <f>Bill!$Y938</f>
        <v>46496</v>
      </c>
      <c r="L938" s="38">
        <f>Bill!$AA938*('Raw Data'!$E940+$L$2)</f>
        <v>0</v>
      </c>
      <c r="M938" s="38">
        <f>Bill!$AB938*('Raw Data'!$E940+$M$2)</f>
        <v>0</v>
      </c>
      <c r="N938" s="38">
        <f>(('Raw Data'!$F940 * 2)-10)*Bill!$AC938</f>
        <v>0</v>
      </c>
      <c r="O938" s="38">
        <f>('Raw Data'!F940+Bill!$O$2)*Bill!$AD938</f>
        <v>0</v>
      </c>
      <c r="P938" s="38">
        <f>('Raw Data'!F940+Bill!$P$2)*Bill!$AE938</f>
        <v>0</v>
      </c>
      <c r="Q938" s="38">
        <f>Bill!$Z938*('Raw Data'!$E940+$Q$2)</f>
        <v>0</v>
      </c>
      <c r="R938" s="38">
        <f>('Raw Data'!F940+Bill!$R$2)*Bill!$AF938</f>
        <v>0</v>
      </c>
      <c r="S938" s="48">
        <f>('Raw Data'!G940/100)*Bill!$AG938</f>
        <v>0</v>
      </c>
      <c r="T938" s="38">
        <f>SUM(Bill!$L938:$R938)</f>
        <v>0</v>
      </c>
      <c r="U938" s="53"/>
      <c r="V938" s="50"/>
      <c r="W938" s="38">
        <f>Bill!$U938-Bill!$T938</f>
        <v>0</v>
      </c>
      <c r="Y938" s="37">
        <f>'Raw Data'!D940</f>
        <v>46496</v>
      </c>
      <c r="Z938" s="47">
        <v>0.0</v>
      </c>
      <c r="AA938" s="47"/>
      <c r="AB938" s="47"/>
      <c r="AC938" s="47"/>
      <c r="AD938" s="47"/>
      <c r="AE938" s="47"/>
      <c r="AF938" s="47"/>
      <c r="AG938" s="47"/>
    </row>
    <row r="939" ht="15.75" customHeight="1">
      <c r="A939" s="35">
        <f>Bill!$Y939</f>
        <v>46497</v>
      </c>
      <c r="B939" s="43">
        <f>'Raw Data'!E941+Bill!$L$2</f>
        <v>20</v>
      </c>
      <c r="C939" s="43">
        <f>'Raw Data'!E941+Bill!$M$2</f>
        <v>25</v>
      </c>
      <c r="D939" s="43">
        <f>('Raw Data'!$F941*2)-10</f>
        <v>-10</v>
      </c>
      <c r="E939" s="43">
        <f>'Raw Data'!F941+Bill!$O$2</f>
        <v>20</v>
      </c>
      <c r="F939" s="43">
        <f>'Raw Data'!F941+Bill!$P$2</f>
        <v>25</v>
      </c>
      <c r="G939" s="43">
        <f>'Raw Data'!E941+Bill!$Q$2</f>
        <v>50</v>
      </c>
      <c r="H939" s="43">
        <f>('Raw Data'!F941+Bill!$R$2)</f>
        <v>20</v>
      </c>
      <c r="I939" s="36">
        <f>'Raw Data'!G941/100</f>
        <v>0</v>
      </c>
      <c r="K939" s="37">
        <f>Bill!$Y939</f>
        <v>46497</v>
      </c>
      <c r="L939" s="38">
        <f>Bill!$AA939*('Raw Data'!$E941+$L$2)</f>
        <v>0</v>
      </c>
      <c r="M939" s="38">
        <f>Bill!$AB939*('Raw Data'!$E941+$M$2)</f>
        <v>0</v>
      </c>
      <c r="N939" s="38">
        <f>(('Raw Data'!$F941 * 2)-10)*Bill!$AC939</f>
        <v>0</v>
      </c>
      <c r="O939" s="38">
        <f>('Raw Data'!F941+Bill!$O$2)*Bill!$AD939</f>
        <v>0</v>
      </c>
      <c r="P939" s="38">
        <f>('Raw Data'!F941+Bill!$P$2)*Bill!$AE939</f>
        <v>0</v>
      </c>
      <c r="Q939" s="38">
        <f>Bill!$Z939*('Raw Data'!$E941+$Q$2)</f>
        <v>0</v>
      </c>
      <c r="R939" s="38">
        <f>('Raw Data'!F941+Bill!$R$2)*Bill!$AF939</f>
        <v>0</v>
      </c>
      <c r="S939" s="48">
        <f>('Raw Data'!G941/100)*Bill!$AG939</f>
        <v>0</v>
      </c>
      <c r="T939" s="38">
        <f>SUM(Bill!$L939:$R939)</f>
        <v>0</v>
      </c>
      <c r="U939" s="53"/>
      <c r="V939" s="50"/>
      <c r="W939" s="38">
        <f>Bill!$U939-Bill!$T939</f>
        <v>0</v>
      </c>
      <c r="Y939" s="37">
        <f>'Raw Data'!D941</f>
        <v>46497</v>
      </c>
      <c r="Z939" s="47">
        <v>0.0</v>
      </c>
      <c r="AA939" s="47"/>
      <c r="AB939" s="47"/>
      <c r="AC939" s="47"/>
      <c r="AD939" s="47"/>
      <c r="AE939" s="47"/>
      <c r="AF939" s="47"/>
      <c r="AG939" s="47"/>
    </row>
    <row r="940" ht="15.75" customHeight="1">
      <c r="A940" s="35">
        <f>Bill!$Y940</f>
        <v>46498</v>
      </c>
      <c r="B940" s="43">
        <f>'Raw Data'!E942+Bill!$L$2</f>
        <v>20</v>
      </c>
      <c r="C940" s="43">
        <f>'Raw Data'!E942+Bill!$M$2</f>
        <v>25</v>
      </c>
      <c r="D940" s="43">
        <f>('Raw Data'!$F942*2)-10</f>
        <v>-10</v>
      </c>
      <c r="E940" s="43">
        <f>'Raw Data'!F942+Bill!$O$2</f>
        <v>20</v>
      </c>
      <c r="F940" s="43">
        <f>'Raw Data'!F942+Bill!$P$2</f>
        <v>25</v>
      </c>
      <c r="G940" s="43">
        <f>'Raw Data'!E942+Bill!$Q$2</f>
        <v>50</v>
      </c>
      <c r="H940" s="43">
        <f>('Raw Data'!F942+Bill!$R$2)</f>
        <v>20</v>
      </c>
      <c r="I940" s="36">
        <f>'Raw Data'!G942/100</f>
        <v>0</v>
      </c>
      <c r="K940" s="37">
        <f>Bill!$Y940</f>
        <v>46498</v>
      </c>
      <c r="L940" s="38">
        <f>Bill!$AA940*('Raw Data'!$E942+$L$2)</f>
        <v>0</v>
      </c>
      <c r="M940" s="38">
        <f>Bill!$AB940*('Raw Data'!$E942+$M$2)</f>
        <v>0</v>
      </c>
      <c r="N940" s="38">
        <f>(('Raw Data'!$F942 * 2)-10)*Bill!$AC940</f>
        <v>0</v>
      </c>
      <c r="O940" s="38">
        <f>('Raw Data'!F942+Bill!$O$2)*Bill!$AD940</f>
        <v>0</v>
      </c>
      <c r="P940" s="38">
        <f>('Raw Data'!F942+Bill!$P$2)*Bill!$AE940</f>
        <v>0</v>
      </c>
      <c r="Q940" s="38">
        <f>Bill!$Z940*('Raw Data'!$E942+$Q$2)</f>
        <v>0</v>
      </c>
      <c r="R940" s="38">
        <f>('Raw Data'!F942+Bill!$R$2)*Bill!$AF940</f>
        <v>0</v>
      </c>
      <c r="S940" s="48">
        <f>('Raw Data'!G942/100)*Bill!$AG940</f>
        <v>0</v>
      </c>
      <c r="T940" s="38">
        <f>SUM(Bill!$L940:$R940)</f>
        <v>0</v>
      </c>
      <c r="U940" s="53"/>
      <c r="V940" s="50"/>
      <c r="W940" s="38">
        <f>Bill!$U940-Bill!$T940</f>
        <v>0</v>
      </c>
      <c r="Y940" s="37">
        <f>'Raw Data'!D942</f>
        <v>46498</v>
      </c>
      <c r="Z940" s="47">
        <v>0.0</v>
      </c>
      <c r="AA940" s="47"/>
      <c r="AB940" s="47"/>
      <c r="AC940" s="47"/>
      <c r="AD940" s="47"/>
      <c r="AE940" s="47"/>
      <c r="AF940" s="47"/>
      <c r="AG940" s="47"/>
    </row>
    <row r="941" ht="15.75" customHeight="1">
      <c r="A941" s="35">
        <f>Bill!$Y941</f>
        <v>46499</v>
      </c>
      <c r="B941" s="43">
        <f>'Raw Data'!E943+Bill!$L$2</f>
        <v>20</v>
      </c>
      <c r="C941" s="43">
        <f>'Raw Data'!E943+Bill!$M$2</f>
        <v>25</v>
      </c>
      <c r="D941" s="43">
        <f>('Raw Data'!$F943*2)-10</f>
        <v>-10</v>
      </c>
      <c r="E941" s="43">
        <f>'Raw Data'!F943+Bill!$O$2</f>
        <v>20</v>
      </c>
      <c r="F941" s="43">
        <f>'Raw Data'!F943+Bill!$P$2</f>
        <v>25</v>
      </c>
      <c r="G941" s="43">
        <f>'Raw Data'!E943+Bill!$Q$2</f>
        <v>50</v>
      </c>
      <c r="H941" s="43">
        <f>('Raw Data'!F943+Bill!$R$2)</f>
        <v>20</v>
      </c>
      <c r="I941" s="36">
        <f>'Raw Data'!G943/100</f>
        <v>0</v>
      </c>
      <c r="K941" s="37">
        <f>Bill!$Y941</f>
        <v>46499</v>
      </c>
      <c r="L941" s="38">
        <f>Bill!$AA941*('Raw Data'!$E943+$L$2)</f>
        <v>0</v>
      </c>
      <c r="M941" s="38">
        <f>Bill!$AB941*('Raw Data'!$E943+$M$2)</f>
        <v>0</v>
      </c>
      <c r="N941" s="38">
        <f>(('Raw Data'!$F943 * 2)-10)*Bill!$AC941</f>
        <v>0</v>
      </c>
      <c r="O941" s="38">
        <f>('Raw Data'!F943+Bill!$O$2)*Bill!$AD941</f>
        <v>0</v>
      </c>
      <c r="P941" s="38">
        <f>('Raw Data'!F943+Bill!$P$2)*Bill!$AE941</f>
        <v>0</v>
      </c>
      <c r="Q941" s="38">
        <f>Bill!$Z941*('Raw Data'!$E943+$Q$2)</f>
        <v>0</v>
      </c>
      <c r="R941" s="38">
        <f>('Raw Data'!F943+Bill!$R$2)*Bill!$AF941</f>
        <v>0</v>
      </c>
      <c r="S941" s="48">
        <f>('Raw Data'!G943/100)*Bill!$AG941</f>
        <v>0</v>
      </c>
      <c r="T941" s="38">
        <f>SUM(Bill!$L941:$R941)</f>
        <v>0</v>
      </c>
      <c r="U941" s="53"/>
      <c r="V941" s="50"/>
      <c r="W941" s="38">
        <f>Bill!$U941-Bill!$T941</f>
        <v>0</v>
      </c>
      <c r="Y941" s="37">
        <f>'Raw Data'!D943</f>
        <v>46499</v>
      </c>
      <c r="Z941" s="47">
        <v>0.0</v>
      </c>
      <c r="AA941" s="47"/>
      <c r="AB941" s="47"/>
      <c r="AC941" s="47"/>
      <c r="AD941" s="47"/>
      <c r="AE941" s="47"/>
      <c r="AF941" s="47"/>
      <c r="AG941" s="47"/>
    </row>
    <row r="942" ht="15.75" customHeight="1">
      <c r="A942" s="35">
        <f>Bill!$Y942</f>
        <v>46500</v>
      </c>
      <c r="B942" s="43">
        <f>'Raw Data'!E944+Bill!$L$2</f>
        <v>20</v>
      </c>
      <c r="C942" s="43">
        <f>'Raw Data'!E944+Bill!$M$2</f>
        <v>25</v>
      </c>
      <c r="D942" s="43">
        <f>('Raw Data'!$F944*2)-10</f>
        <v>-10</v>
      </c>
      <c r="E942" s="43">
        <f>'Raw Data'!F944+Bill!$O$2</f>
        <v>20</v>
      </c>
      <c r="F942" s="43">
        <f>'Raw Data'!F944+Bill!$P$2</f>
        <v>25</v>
      </c>
      <c r="G942" s="43">
        <f>'Raw Data'!E944+Bill!$Q$2</f>
        <v>50</v>
      </c>
      <c r="H942" s="43">
        <f>('Raw Data'!F944+Bill!$R$2)</f>
        <v>20</v>
      </c>
      <c r="I942" s="36">
        <f>'Raw Data'!G944/100</f>
        <v>0</v>
      </c>
      <c r="K942" s="37">
        <f>Bill!$Y942</f>
        <v>46500</v>
      </c>
      <c r="L942" s="38">
        <f>Bill!$AA942*('Raw Data'!$E944+$L$2)</f>
        <v>0</v>
      </c>
      <c r="M942" s="38">
        <f>Bill!$AB942*('Raw Data'!$E944+$M$2)</f>
        <v>0</v>
      </c>
      <c r="N942" s="38">
        <f>(('Raw Data'!$F944 * 2)-10)*Bill!$AC942</f>
        <v>0</v>
      </c>
      <c r="O942" s="38">
        <f>('Raw Data'!F944+Bill!$O$2)*Bill!$AD942</f>
        <v>0</v>
      </c>
      <c r="P942" s="38">
        <f>('Raw Data'!F944+Bill!$P$2)*Bill!$AE942</f>
        <v>0</v>
      </c>
      <c r="Q942" s="38">
        <f>Bill!$Z942*('Raw Data'!$E944+$Q$2)</f>
        <v>0</v>
      </c>
      <c r="R942" s="38">
        <f>('Raw Data'!F944+Bill!$R$2)*Bill!$AF942</f>
        <v>0</v>
      </c>
      <c r="S942" s="48">
        <f>('Raw Data'!G944/100)*Bill!$AG942</f>
        <v>0</v>
      </c>
      <c r="T942" s="38">
        <f>SUM(Bill!$L942:$R942)</f>
        <v>0</v>
      </c>
      <c r="U942" s="53"/>
      <c r="V942" s="50"/>
      <c r="W942" s="38">
        <f>Bill!$U942-Bill!$T942</f>
        <v>0</v>
      </c>
      <c r="Y942" s="37">
        <f>'Raw Data'!D944</f>
        <v>46500</v>
      </c>
      <c r="Z942" s="47">
        <v>0.0</v>
      </c>
      <c r="AA942" s="47"/>
      <c r="AB942" s="47"/>
      <c r="AC942" s="47"/>
      <c r="AD942" s="47"/>
      <c r="AE942" s="47"/>
      <c r="AF942" s="47"/>
      <c r="AG942" s="47"/>
    </row>
    <row r="943" ht="15.75" customHeight="1">
      <c r="A943" s="35">
        <f>Bill!$Y943</f>
        <v>46501</v>
      </c>
      <c r="B943" s="43">
        <f>'Raw Data'!E945+Bill!$L$2</f>
        <v>20</v>
      </c>
      <c r="C943" s="43">
        <f>'Raw Data'!E945+Bill!$M$2</f>
        <v>25</v>
      </c>
      <c r="D943" s="43">
        <f>('Raw Data'!$F945*2)-10</f>
        <v>-10</v>
      </c>
      <c r="E943" s="43">
        <f>'Raw Data'!F945+Bill!$O$2</f>
        <v>20</v>
      </c>
      <c r="F943" s="43">
        <f>'Raw Data'!F945+Bill!$P$2</f>
        <v>25</v>
      </c>
      <c r="G943" s="43">
        <f>'Raw Data'!E945+Bill!$Q$2</f>
        <v>50</v>
      </c>
      <c r="H943" s="43">
        <f>('Raw Data'!F945+Bill!$R$2)</f>
        <v>20</v>
      </c>
      <c r="I943" s="36">
        <f>'Raw Data'!G945/100</f>
        <v>0</v>
      </c>
      <c r="K943" s="37">
        <f>Bill!$Y943</f>
        <v>46501</v>
      </c>
      <c r="L943" s="38">
        <f>Bill!$AA943*('Raw Data'!$E945+$L$2)</f>
        <v>0</v>
      </c>
      <c r="M943" s="38">
        <f>Bill!$AB943*('Raw Data'!$E945+$M$2)</f>
        <v>0</v>
      </c>
      <c r="N943" s="38">
        <f>(('Raw Data'!$F945 * 2)-10)*Bill!$AC943</f>
        <v>0</v>
      </c>
      <c r="O943" s="38">
        <f>('Raw Data'!F945+Bill!$O$2)*Bill!$AD943</f>
        <v>0</v>
      </c>
      <c r="P943" s="38">
        <f>('Raw Data'!F945+Bill!$P$2)*Bill!$AE943</f>
        <v>0</v>
      </c>
      <c r="Q943" s="38">
        <f>Bill!$Z943*('Raw Data'!$E945+$Q$2)</f>
        <v>0</v>
      </c>
      <c r="R943" s="38">
        <f>('Raw Data'!F945+Bill!$R$2)*Bill!$AF943</f>
        <v>0</v>
      </c>
      <c r="S943" s="48">
        <f>('Raw Data'!G945/100)*Bill!$AG943</f>
        <v>0</v>
      </c>
      <c r="T943" s="38">
        <f>SUM(Bill!$L943:$R943)</f>
        <v>0</v>
      </c>
      <c r="U943" s="53"/>
      <c r="V943" s="50"/>
      <c r="W943" s="38">
        <f>Bill!$U943-Bill!$T943</f>
        <v>0</v>
      </c>
      <c r="Y943" s="37">
        <f>'Raw Data'!D945</f>
        <v>46501</v>
      </c>
      <c r="Z943" s="47">
        <v>0.0</v>
      </c>
      <c r="AA943" s="47"/>
      <c r="AB943" s="47"/>
      <c r="AC943" s="47"/>
      <c r="AD943" s="47"/>
      <c r="AE943" s="47"/>
      <c r="AF943" s="47"/>
      <c r="AG943" s="47"/>
    </row>
    <row r="944" ht="15.75" customHeight="1">
      <c r="A944" s="35">
        <f>Bill!$Y944</f>
        <v>46502</v>
      </c>
      <c r="B944" s="43">
        <f>'Raw Data'!E946+Bill!$L$2</f>
        <v>20</v>
      </c>
      <c r="C944" s="43">
        <f>'Raw Data'!E946+Bill!$M$2</f>
        <v>25</v>
      </c>
      <c r="D944" s="43">
        <f>('Raw Data'!$F946*2)-10</f>
        <v>-10</v>
      </c>
      <c r="E944" s="43">
        <f>'Raw Data'!F946+Bill!$O$2</f>
        <v>20</v>
      </c>
      <c r="F944" s="43">
        <f>'Raw Data'!F946+Bill!$P$2</f>
        <v>25</v>
      </c>
      <c r="G944" s="43">
        <f>'Raw Data'!E946+Bill!$Q$2</f>
        <v>50</v>
      </c>
      <c r="H944" s="43">
        <f>('Raw Data'!F946+Bill!$R$2)</f>
        <v>20</v>
      </c>
      <c r="I944" s="36">
        <f>'Raw Data'!G946/100</f>
        <v>0</v>
      </c>
      <c r="K944" s="37">
        <f>Bill!$Y944</f>
        <v>46502</v>
      </c>
      <c r="L944" s="38">
        <f>Bill!$AA944*('Raw Data'!$E946+$L$2)</f>
        <v>0</v>
      </c>
      <c r="M944" s="38">
        <f>Bill!$AB944*('Raw Data'!$E946+$M$2)</f>
        <v>0</v>
      </c>
      <c r="N944" s="38">
        <f>(('Raw Data'!$F946 * 2)-10)*Bill!$AC944</f>
        <v>0</v>
      </c>
      <c r="O944" s="38">
        <f>('Raw Data'!F946+Bill!$O$2)*Bill!$AD944</f>
        <v>0</v>
      </c>
      <c r="P944" s="38">
        <f>('Raw Data'!F946+Bill!$P$2)*Bill!$AE944</f>
        <v>0</v>
      </c>
      <c r="Q944" s="38">
        <f>Bill!$Z944*('Raw Data'!$E946+$Q$2)</f>
        <v>0</v>
      </c>
      <c r="R944" s="38">
        <f>('Raw Data'!F946+Bill!$R$2)*Bill!$AF944</f>
        <v>0</v>
      </c>
      <c r="S944" s="48">
        <f>('Raw Data'!G946/100)*Bill!$AG944</f>
        <v>0</v>
      </c>
      <c r="T944" s="38">
        <f>SUM(Bill!$L944:$R944)</f>
        <v>0</v>
      </c>
      <c r="U944" s="53"/>
      <c r="V944" s="50"/>
      <c r="W944" s="38">
        <f>Bill!$U944-Bill!$T944</f>
        <v>0</v>
      </c>
      <c r="Y944" s="37">
        <f>'Raw Data'!D946</f>
        <v>46502</v>
      </c>
      <c r="Z944" s="47">
        <v>0.0</v>
      </c>
      <c r="AA944" s="47"/>
      <c r="AB944" s="47"/>
      <c r="AC944" s="47"/>
      <c r="AD944" s="47"/>
      <c r="AE944" s="47"/>
      <c r="AF944" s="47"/>
      <c r="AG944" s="47"/>
    </row>
    <row r="945" ht="15.75" customHeight="1">
      <c r="A945" s="35">
        <f>Bill!$Y945</f>
        <v>46503</v>
      </c>
      <c r="B945" s="43">
        <f>'Raw Data'!E947+Bill!$L$2</f>
        <v>20</v>
      </c>
      <c r="C945" s="43">
        <f>'Raw Data'!E947+Bill!$M$2</f>
        <v>25</v>
      </c>
      <c r="D945" s="43">
        <f>('Raw Data'!$F947*2)-10</f>
        <v>-10</v>
      </c>
      <c r="E945" s="43">
        <f>'Raw Data'!F947+Bill!$O$2</f>
        <v>20</v>
      </c>
      <c r="F945" s="43">
        <f>'Raw Data'!F947+Bill!$P$2</f>
        <v>25</v>
      </c>
      <c r="G945" s="43">
        <f>'Raw Data'!E947+Bill!$Q$2</f>
        <v>50</v>
      </c>
      <c r="H945" s="43">
        <f>('Raw Data'!F947+Bill!$R$2)</f>
        <v>20</v>
      </c>
      <c r="I945" s="36">
        <f>'Raw Data'!G947/100</f>
        <v>0</v>
      </c>
      <c r="K945" s="37">
        <f>Bill!$Y945</f>
        <v>46503</v>
      </c>
      <c r="L945" s="38">
        <f>Bill!$AA945*('Raw Data'!$E947+$L$2)</f>
        <v>0</v>
      </c>
      <c r="M945" s="38">
        <f>Bill!$AB945*('Raw Data'!$E947+$M$2)</f>
        <v>0</v>
      </c>
      <c r="N945" s="38">
        <f>(('Raw Data'!$F947 * 2)-10)*Bill!$AC945</f>
        <v>0</v>
      </c>
      <c r="O945" s="38">
        <f>('Raw Data'!F947+Bill!$O$2)*Bill!$AD945</f>
        <v>0</v>
      </c>
      <c r="P945" s="38">
        <f>('Raw Data'!F947+Bill!$P$2)*Bill!$AE945</f>
        <v>0</v>
      </c>
      <c r="Q945" s="38">
        <f>Bill!$Z945*('Raw Data'!$E947+$Q$2)</f>
        <v>0</v>
      </c>
      <c r="R945" s="38">
        <f>('Raw Data'!F947+Bill!$R$2)*Bill!$AF945</f>
        <v>0</v>
      </c>
      <c r="S945" s="48">
        <f>('Raw Data'!G947/100)*Bill!$AG945</f>
        <v>0</v>
      </c>
      <c r="T945" s="38">
        <f>SUM(Bill!$L945:$R945)</f>
        <v>0</v>
      </c>
      <c r="U945" s="53"/>
      <c r="V945" s="50"/>
      <c r="W945" s="38">
        <f>Bill!$U945-Bill!$T945</f>
        <v>0</v>
      </c>
      <c r="Y945" s="37">
        <f>'Raw Data'!D947</f>
        <v>46503</v>
      </c>
      <c r="Z945" s="47">
        <v>0.0</v>
      </c>
      <c r="AA945" s="47"/>
      <c r="AB945" s="47"/>
      <c r="AC945" s="47"/>
      <c r="AD945" s="47"/>
      <c r="AE945" s="47"/>
      <c r="AF945" s="47"/>
      <c r="AG945" s="47"/>
    </row>
    <row r="946" ht="15.75" customHeight="1">
      <c r="A946" s="35">
        <f>Bill!$Y946</f>
        <v>46504</v>
      </c>
      <c r="B946" s="43">
        <f>'Raw Data'!E948+Bill!$L$2</f>
        <v>20</v>
      </c>
      <c r="C946" s="43">
        <f>'Raw Data'!E948+Bill!$M$2</f>
        <v>25</v>
      </c>
      <c r="D946" s="43">
        <f>('Raw Data'!$F948*2)-10</f>
        <v>-10</v>
      </c>
      <c r="E946" s="43">
        <f>'Raw Data'!F948+Bill!$O$2</f>
        <v>20</v>
      </c>
      <c r="F946" s="43">
        <f>'Raw Data'!F948+Bill!$P$2</f>
        <v>25</v>
      </c>
      <c r="G946" s="43">
        <f>'Raw Data'!E948+Bill!$Q$2</f>
        <v>50</v>
      </c>
      <c r="H946" s="43">
        <f>('Raw Data'!F948+Bill!$R$2)</f>
        <v>20</v>
      </c>
      <c r="I946" s="36">
        <f>'Raw Data'!G948/100</f>
        <v>0</v>
      </c>
      <c r="K946" s="37">
        <f>Bill!$Y946</f>
        <v>46504</v>
      </c>
      <c r="L946" s="38">
        <f>Bill!$AA946*('Raw Data'!$E948+$L$2)</f>
        <v>0</v>
      </c>
      <c r="M946" s="38">
        <f>Bill!$AB946*('Raw Data'!$E948+$M$2)</f>
        <v>0</v>
      </c>
      <c r="N946" s="38">
        <f>(('Raw Data'!$F948 * 2)-10)*Bill!$AC946</f>
        <v>0</v>
      </c>
      <c r="O946" s="38">
        <f>('Raw Data'!F948+Bill!$O$2)*Bill!$AD946</f>
        <v>0</v>
      </c>
      <c r="P946" s="38">
        <f>('Raw Data'!F948+Bill!$P$2)*Bill!$AE946</f>
        <v>0</v>
      </c>
      <c r="Q946" s="38">
        <f>Bill!$Z946*('Raw Data'!$E948+$Q$2)</f>
        <v>0</v>
      </c>
      <c r="R946" s="38">
        <f>('Raw Data'!F948+Bill!$R$2)*Bill!$AF946</f>
        <v>0</v>
      </c>
      <c r="S946" s="48">
        <f>('Raw Data'!G948/100)*Bill!$AG946</f>
        <v>0</v>
      </c>
      <c r="T946" s="38">
        <f>SUM(Bill!$L946:$R946)</f>
        <v>0</v>
      </c>
      <c r="U946" s="53"/>
      <c r="V946" s="50"/>
      <c r="W946" s="38">
        <f>Bill!$U946-Bill!$T946</f>
        <v>0</v>
      </c>
      <c r="Y946" s="37">
        <f>'Raw Data'!D948</f>
        <v>46504</v>
      </c>
      <c r="Z946" s="47">
        <v>0.0</v>
      </c>
      <c r="AA946" s="47"/>
      <c r="AB946" s="47"/>
      <c r="AC946" s="47"/>
      <c r="AD946" s="47"/>
      <c r="AE946" s="47"/>
      <c r="AF946" s="47"/>
      <c r="AG946" s="47"/>
    </row>
    <row r="947" ht="15.75" customHeight="1">
      <c r="A947" s="35">
        <f>Bill!$Y947</f>
        <v>46505</v>
      </c>
      <c r="B947" s="43">
        <f>'Raw Data'!E949+Bill!$L$2</f>
        <v>20</v>
      </c>
      <c r="C947" s="43">
        <f>'Raw Data'!E949+Bill!$M$2</f>
        <v>25</v>
      </c>
      <c r="D947" s="43">
        <f>('Raw Data'!$F949*2)-10</f>
        <v>-10</v>
      </c>
      <c r="E947" s="43">
        <f>'Raw Data'!F949+Bill!$O$2</f>
        <v>20</v>
      </c>
      <c r="F947" s="43">
        <f>'Raw Data'!F949+Bill!$P$2</f>
        <v>25</v>
      </c>
      <c r="G947" s="43">
        <f>'Raw Data'!E949+Bill!$Q$2</f>
        <v>50</v>
      </c>
      <c r="H947" s="43">
        <f>('Raw Data'!F949+Bill!$R$2)</f>
        <v>20</v>
      </c>
      <c r="I947" s="36">
        <f>'Raw Data'!G949/100</f>
        <v>0</v>
      </c>
      <c r="K947" s="37">
        <f>Bill!$Y947</f>
        <v>46505</v>
      </c>
      <c r="L947" s="38">
        <f>Bill!$AA947*('Raw Data'!$E949+$L$2)</f>
        <v>0</v>
      </c>
      <c r="M947" s="38">
        <f>Bill!$AB947*('Raw Data'!$E949+$M$2)</f>
        <v>0</v>
      </c>
      <c r="N947" s="38">
        <f>(('Raw Data'!$F949 * 2)-10)*Bill!$AC947</f>
        <v>0</v>
      </c>
      <c r="O947" s="38">
        <f>('Raw Data'!F949+Bill!$O$2)*Bill!$AD947</f>
        <v>0</v>
      </c>
      <c r="P947" s="38">
        <f>('Raw Data'!F949+Bill!$P$2)*Bill!$AE947</f>
        <v>0</v>
      </c>
      <c r="Q947" s="38">
        <f>Bill!$Z947*('Raw Data'!$E949+$Q$2)</f>
        <v>0</v>
      </c>
      <c r="R947" s="38">
        <f>('Raw Data'!F949+Bill!$R$2)*Bill!$AF947</f>
        <v>0</v>
      </c>
      <c r="S947" s="48">
        <f>('Raw Data'!G949/100)*Bill!$AG947</f>
        <v>0</v>
      </c>
      <c r="T947" s="38">
        <f>SUM(Bill!$L947:$R947)</f>
        <v>0</v>
      </c>
      <c r="U947" s="53"/>
      <c r="V947" s="50"/>
      <c r="W947" s="38">
        <f>Bill!$U947-Bill!$T947</f>
        <v>0</v>
      </c>
      <c r="Y947" s="37">
        <f>'Raw Data'!D949</f>
        <v>46505</v>
      </c>
      <c r="Z947" s="47">
        <v>0.0</v>
      </c>
      <c r="AA947" s="47"/>
      <c r="AB947" s="47"/>
      <c r="AC947" s="47"/>
      <c r="AD947" s="47"/>
      <c r="AE947" s="47"/>
      <c r="AF947" s="47"/>
      <c r="AG947" s="47"/>
    </row>
    <row r="948" ht="15.75" customHeight="1">
      <c r="A948" s="35">
        <f>Bill!$Y948</f>
        <v>46506</v>
      </c>
      <c r="B948" s="43">
        <f>'Raw Data'!E950+Bill!$L$2</f>
        <v>20</v>
      </c>
      <c r="C948" s="43">
        <f>'Raw Data'!E950+Bill!$M$2</f>
        <v>25</v>
      </c>
      <c r="D948" s="43">
        <f>('Raw Data'!$F950*2)-10</f>
        <v>-10</v>
      </c>
      <c r="E948" s="43">
        <f>'Raw Data'!F950+Bill!$O$2</f>
        <v>20</v>
      </c>
      <c r="F948" s="43">
        <f>'Raw Data'!F950+Bill!$P$2</f>
        <v>25</v>
      </c>
      <c r="G948" s="43">
        <f>'Raw Data'!E950+Bill!$Q$2</f>
        <v>50</v>
      </c>
      <c r="H948" s="43">
        <f>('Raw Data'!F950+Bill!$R$2)</f>
        <v>20</v>
      </c>
      <c r="I948" s="36">
        <f>'Raw Data'!G950/100</f>
        <v>0</v>
      </c>
      <c r="K948" s="37">
        <f>Bill!$Y948</f>
        <v>46506</v>
      </c>
      <c r="L948" s="38">
        <f>Bill!$AA948*('Raw Data'!$E950+$L$2)</f>
        <v>0</v>
      </c>
      <c r="M948" s="38">
        <f>Bill!$AB948*('Raw Data'!$E950+$M$2)</f>
        <v>0</v>
      </c>
      <c r="N948" s="38">
        <f>(('Raw Data'!$F950 * 2)-10)*Bill!$AC948</f>
        <v>0</v>
      </c>
      <c r="O948" s="38">
        <f>('Raw Data'!F950+Bill!$O$2)*Bill!$AD948</f>
        <v>0</v>
      </c>
      <c r="P948" s="38">
        <f>('Raw Data'!F950+Bill!$P$2)*Bill!$AE948</f>
        <v>0</v>
      </c>
      <c r="Q948" s="38">
        <f>Bill!$Z948*('Raw Data'!$E950+$Q$2)</f>
        <v>0</v>
      </c>
      <c r="R948" s="38">
        <f>('Raw Data'!F950+Bill!$R$2)*Bill!$AF948</f>
        <v>0</v>
      </c>
      <c r="S948" s="48">
        <f>('Raw Data'!G950/100)*Bill!$AG948</f>
        <v>0</v>
      </c>
      <c r="T948" s="38">
        <f>SUM(Bill!$L948:$R948)</f>
        <v>0</v>
      </c>
      <c r="U948" s="53"/>
      <c r="V948" s="50"/>
      <c r="W948" s="38">
        <f>Bill!$U948-Bill!$T948</f>
        <v>0</v>
      </c>
      <c r="Y948" s="37">
        <f>'Raw Data'!D950</f>
        <v>46506</v>
      </c>
      <c r="Z948" s="47">
        <v>0.0</v>
      </c>
      <c r="AA948" s="47"/>
      <c r="AB948" s="47"/>
      <c r="AC948" s="47"/>
      <c r="AD948" s="47"/>
      <c r="AE948" s="47"/>
      <c r="AF948" s="47"/>
      <c r="AG948" s="47"/>
    </row>
    <row r="949" ht="15.75" customHeight="1">
      <c r="A949" s="35">
        <f>Bill!$Y949</f>
        <v>46507</v>
      </c>
      <c r="B949" s="43">
        <f>'Raw Data'!E951+Bill!$L$2</f>
        <v>20</v>
      </c>
      <c r="C949" s="43">
        <f>'Raw Data'!E951+Bill!$M$2</f>
        <v>25</v>
      </c>
      <c r="D949" s="43">
        <f>('Raw Data'!$F951*2)-10</f>
        <v>-10</v>
      </c>
      <c r="E949" s="43">
        <f>'Raw Data'!F951+Bill!$O$2</f>
        <v>20</v>
      </c>
      <c r="F949" s="43">
        <f>'Raw Data'!F951+Bill!$P$2</f>
        <v>25</v>
      </c>
      <c r="G949" s="43">
        <f>'Raw Data'!E951+Bill!$Q$2</f>
        <v>50</v>
      </c>
      <c r="H949" s="43">
        <f>('Raw Data'!F951+Bill!$R$2)</f>
        <v>20</v>
      </c>
      <c r="I949" s="36">
        <f>'Raw Data'!G951/100</f>
        <v>0</v>
      </c>
      <c r="K949" s="37">
        <f>Bill!$Y949</f>
        <v>46507</v>
      </c>
      <c r="L949" s="38">
        <f>Bill!$AA949*('Raw Data'!$E951+$L$2)</f>
        <v>0</v>
      </c>
      <c r="M949" s="38">
        <f>Bill!$AB949*('Raw Data'!$E951+$M$2)</f>
        <v>0</v>
      </c>
      <c r="N949" s="38">
        <f>(('Raw Data'!$F951 * 2)-10)*Bill!$AC949</f>
        <v>0</v>
      </c>
      <c r="O949" s="38">
        <f>('Raw Data'!F951+Bill!$O$2)*Bill!$AD949</f>
        <v>0</v>
      </c>
      <c r="P949" s="38">
        <f>('Raw Data'!F951+Bill!$P$2)*Bill!$AE949</f>
        <v>0</v>
      </c>
      <c r="Q949" s="38">
        <f>Bill!$Z949*('Raw Data'!$E951+$Q$2)</f>
        <v>0</v>
      </c>
      <c r="R949" s="38">
        <f>('Raw Data'!F951+Bill!$R$2)*Bill!$AF949</f>
        <v>0</v>
      </c>
      <c r="S949" s="48">
        <f>('Raw Data'!G951/100)*Bill!$AG949</f>
        <v>0</v>
      </c>
      <c r="T949" s="38">
        <f>SUM(Bill!$L949:$R949)</f>
        <v>0</v>
      </c>
      <c r="U949" s="53"/>
      <c r="V949" s="50"/>
      <c r="W949" s="38">
        <f>Bill!$U949-Bill!$T949</f>
        <v>0</v>
      </c>
      <c r="Y949" s="37">
        <f>'Raw Data'!D951</f>
        <v>46507</v>
      </c>
      <c r="Z949" s="47">
        <v>0.0</v>
      </c>
      <c r="AA949" s="47"/>
      <c r="AB949" s="47"/>
      <c r="AC949" s="47"/>
      <c r="AD949" s="47"/>
      <c r="AE949" s="47"/>
      <c r="AF949" s="47"/>
      <c r="AG949" s="47"/>
    </row>
    <row r="950" ht="15.75" customHeight="1">
      <c r="A950" s="35">
        <f>Bill!$Y950</f>
        <v>46508</v>
      </c>
      <c r="B950" s="43">
        <f>'Raw Data'!E952+Bill!$L$2</f>
        <v>20</v>
      </c>
      <c r="C950" s="43">
        <f>'Raw Data'!E952+Bill!$M$2</f>
        <v>25</v>
      </c>
      <c r="D950" s="43">
        <f>('Raw Data'!$F952*2)-10</f>
        <v>-10</v>
      </c>
      <c r="E950" s="43">
        <f>'Raw Data'!F952+Bill!$O$2</f>
        <v>20</v>
      </c>
      <c r="F950" s="43">
        <f>'Raw Data'!F952+Bill!$P$2</f>
        <v>25</v>
      </c>
      <c r="G950" s="43">
        <f>'Raw Data'!E952+Bill!$Q$2</f>
        <v>50</v>
      </c>
      <c r="H950" s="43">
        <f>('Raw Data'!F952+Bill!$R$2)</f>
        <v>20</v>
      </c>
      <c r="I950" s="36">
        <f>'Raw Data'!G952/100</f>
        <v>0</v>
      </c>
      <c r="K950" s="37">
        <f>Bill!$Y950</f>
        <v>46508</v>
      </c>
      <c r="L950" s="38">
        <f>Bill!$AA950*('Raw Data'!$E952+$L$2)</f>
        <v>0</v>
      </c>
      <c r="M950" s="38">
        <f>Bill!$AB950*('Raw Data'!$E952+$M$2)</f>
        <v>0</v>
      </c>
      <c r="N950" s="38">
        <f>(('Raw Data'!$F952 * 2)-10)*Bill!$AC950</f>
        <v>0</v>
      </c>
      <c r="O950" s="38">
        <f>('Raw Data'!F952+Bill!$O$2)*Bill!$AD950</f>
        <v>0</v>
      </c>
      <c r="P950" s="38">
        <f>('Raw Data'!F952+Bill!$P$2)*Bill!$AE950</f>
        <v>0</v>
      </c>
      <c r="Q950" s="38">
        <f>Bill!$Z950*('Raw Data'!$E952+$Q$2)</f>
        <v>0</v>
      </c>
      <c r="R950" s="38">
        <f>('Raw Data'!F952+Bill!$R$2)*Bill!$AF950</f>
        <v>0</v>
      </c>
      <c r="S950" s="48">
        <f>('Raw Data'!G952/100)*Bill!$AG950</f>
        <v>0</v>
      </c>
      <c r="T950" s="38">
        <f>SUM(Bill!$L950:$R950)</f>
        <v>0</v>
      </c>
      <c r="U950" s="53"/>
      <c r="V950" s="50"/>
      <c r="W950" s="38">
        <f>Bill!$U950-Bill!$T950</f>
        <v>0</v>
      </c>
      <c r="Y950" s="37">
        <f>'Raw Data'!D952</f>
        <v>46508</v>
      </c>
      <c r="Z950" s="47">
        <v>0.0</v>
      </c>
      <c r="AA950" s="47"/>
      <c r="AB950" s="47"/>
      <c r="AC950" s="47"/>
      <c r="AD950" s="47"/>
      <c r="AE950" s="47"/>
      <c r="AF950" s="47"/>
      <c r="AG950" s="47"/>
    </row>
    <row r="951" ht="15.75" customHeight="1">
      <c r="A951" s="35">
        <f>Bill!$Y951</f>
        <v>46509</v>
      </c>
      <c r="B951" s="43">
        <f>'Raw Data'!E953+Bill!$L$2</f>
        <v>20</v>
      </c>
      <c r="C951" s="43">
        <f>'Raw Data'!E953+Bill!$M$2</f>
        <v>25</v>
      </c>
      <c r="D951" s="43">
        <f>('Raw Data'!$F953*2)-10</f>
        <v>-10</v>
      </c>
      <c r="E951" s="43">
        <f>'Raw Data'!F953+Bill!$O$2</f>
        <v>20</v>
      </c>
      <c r="F951" s="43">
        <f>'Raw Data'!F953+Bill!$P$2</f>
        <v>25</v>
      </c>
      <c r="G951" s="43">
        <f>'Raw Data'!E953+Bill!$Q$2</f>
        <v>50</v>
      </c>
      <c r="H951" s="43">
        <f>('Raw Data'!F953+Bill!$R$2)</f>
        <v>20</v>
      </c>
      <c r="I951" s="36">
        <f>'Raw Data'!G953/100</f>
        <v>0</v>
      </c>
      <c r="K951" s="37">
        <f>Bill!$Y951</f>
        <v>46509</v>
      </c>
      <c r="L951" s="38">
        <f>Bill!$AA951*('Raw Data'!$E953+$L$2)</f>
        <v>0</v>
      </c>
      <c r="M951" s="38">
        <f>Bill!$AB951*('Raw Data'!$E953+$M$2)</f>
        <v>0</v>
      </c>
      <c r="N951" s="38">
        <f>(('Raw Data'!$F953 * 2)-10)*Bill!$AC951</f>
        <v>0</v>
      </c>
      <c r="O951" s="38">
        <f>('Raw Data'!F953+Bill!$O$2)*Bill!$AD951</f>
        <v>0</v>
      </c>
      <c r="P951" s="38">
        <f>('Raw Data'!F953+Bill!$P$2)*Bill!$AE951</f>
        <v>0</v>
      </c>
      <c r="Q951" s="38">
        <f>Bill!$Z951*('Raw Data'!$E953+$Q$2)</f>
        <v>0</v>
      </c>
      <c r="R951" s="38">
        <f>('Raw Data'!F953+Bill!$R$2)*Bill!$AF951</f>
        <v>0</v>
      </c>
      <c r="S951" s="48">
        <f>('Raw Data'!G953/100)*Bill!$AG951</f>
        <v>0</v>
      </c>
      <c r="T951" s="38">
        <f>SUM(Bill!$L951:$R951)</f>
        <v>0</v>
      </c>
      <c r="U951" s="53"/>
      <c r="V951" s="50"/>
      <c r="W951" s="38">
        <f>Bill!$U951-Bill!$T951</f>
        <v>0</v>
      </c>
      <c r="Y951" s="37">
        <f>'Raw Data'!D953</f>
        <v>46509</v>
      </c>
      <c r="Z951" s="47">
        <v>0.0</v>
      </c>
      <c r="AA951" s="47"/>
      <c r="AB951" s="47"/>
      <c r="AC951" s="47"/>
      <c r="AD951" s="47"/>
      <c r="AE951" s="47"/>
      <c r="AF951" s="47"/>
      <c r="AG951" s="47"/>
    </row>
    <row r="952" ht="15.75" customHeight="1">
      <c r="A952" s="35">
        <f>Bill!$Y952</f>
        <v>46510</v>
      </c>
      <c r="B952" s="43">
        <f>'Raw Data'!E954+Bill!$L$2</f>
        <v>20</v>
      </c>
      <c r="C952" s="43">
        <f>'Raw Data'!E954+Bill!$M$2</f>
        <v>25</v>
      </c>
      <c r="D952" s="43">
        <f>('Raw Data'!$F954*2)-10</f>
        <v>-10</v>
      </c>
      <c r="E952" s="43">
        <f>'Raw Data'!F954+Bill!$O$2</f>
        <v>20</v>
      </c>
      <c r="F952" s="43">
        <f>'Raw Data'!F954+Bill!$P$2</f>
        <v>25</v>
      </c>
      <c r="G952" s="43">
        <f>'Raw Data'!E954+Bill!$Q$2</f>
        <v>50</v>
      </c>
      <c r="H952" s="43">
        <f>('Raw Data'!F954+Bill!$R$2)</f>
        <v>20</v>
      </c>
      <c r="I952" s="36">
        <f>'Raw Data'!G954/100</f>
        <v>0</v>
      </c>
      <c r="K952" s="37">
        <f>Bill!$Y952</f>
        <v>46510</v>
      </c>
      <c r="L952" s="38">
        <f>Bill!$AA952*('Raw Data'!$E954+$L$2)</f>
        <v>0</v>
      </c>
      <c r="M952" s="38">
        <f>Bill!$AB952*('Raw Data'!$E954+$M$2)</f>
        <v>0</v>
      </c>
      <c r="N952" s="38">
        <f>(('Raw Data'!$F954 * 2)-10)*Bill!$AC952</f>
        <v>0</v>
      </c>
      <c r="O952" s="38">
        <f>('Raw Data'!F954+Bill!$O$2)*Bill!$AD952</f>
        <v>0</v>
      </c>
      <c r="P952" s="38">
        <f>('Raw Data'!F954+Bill!$P$2)*Bill!$AE952</f>
        <v>0</v>
      </c>
      <c r="Q952" s="38">
        <f>Bill!$Z952*('Raw Data'!$E954+$Q$2)</f>
        <v>0</v>
      </c>
      <c r="R952" s="38">
        <f>('Raw Data'!F954+Bill!$R$2)*Bill!$AF952</f>
        <v>0</v>
      </c>
      <c r="S952" s="48">
        <f>('Raw Data'!G954/100)*Bill!$AG952</f>
        <v>0</v>
      </c>
      <c r="T952" s="38">
        <f>SUM(Bill!$L952:$R952)</f>
        <v>0</v>
      </c>
      <c r="U952" s="53"/>
      <c r="V952" s="50"/>
      <c r="W952" s="38">
        <f>Bill!$U952-Bill!$T952</f>
        <v>0</v>
      </c>
      <c r="Y952" s="37">
        <f>'Raw Data'!D954</f>
        <v>46510</v>
      </c>
      <c r="Z952" s="47">
        <v>0.0</v>
      </c>
      <c r="AA952" s="47"/>
      <c r="AB952" s="47"/>
      <c r="AC952" s="47"/>
      <c r="AD952" s="47"/>
      <c r="AE952" s="47"/>
      <c r="AF952" s="47"/>
      <c r="AG952" s="47"/>
    </row>
    <row r="953" ht="15.75" customHeight="1">
      <c r="A953" s="35">
        <f>Bill!$Y953</f>
        <v>46511</v>
      </c>
      <c r="B953" s="43">
        <f>'Raw Data'!E955+Bill!$L$2</f>
        <v>20</v>
      </c>
      <c r="C953" s="43">
        <f>'Raw Data'!E955+Bill!$M$2</f>
        <v>25</v>
      </c>
      <c r="D953" s="43">
        <f>('Raw Data'!$F955*2)-10</f>
        <v>-10</v>
      </c>
      <c r="E953" s="43">
        <f>'Raw Data'!F955+Bill!$O$2</f>
        <v>20</v>
      </c>
      <c r="F953" s="43">
        <f>'Raw Data'!F955+Bill!$P$2</f>
        <v>25</v>
      </c>
      <c r="G953" s="43">
        <f>'Raw Data'!E955+Bill!$Q$2</f>
        <v>50</v>
      </c>
      <c r="H953" s="43">
        <f>('Raw Data'!F955+Bill!$R$2)</f>
        <v>20</v>
      </c>
      <c r="I953" s="36">
        <f>'Raw Data'!G955/100</f>
        <v>0</v>
      </c>
      <c r="K953" s="37">
        <f>Bill!$Y953</f>
        <v>46511</v>
      </c>
      <c r="L953" s="38">
        <f>Bill!$AA953*('Raw Data'!$E955+$L$2)</f>
        <v>0</v>
      </c>
      <c r="M953" s="38">
        <f>Bill!$AB953*('Raw Data'!$E955+$M$2)</f>
        <v>0</v>
      </c>
      <c r="N953" s="38">
        <f>(('Raw Data'!$F955 * 2)-10)*Bill!$AC953</f>
        <v>0</v>
      </c>
      <c r="O953" s="38">
        <f>('Raw Data'!F955+Bill!$O$2)*Bill!$AD953</f>
        <v>0</v>
      </c>
      <c r="P953" s="38">
        <f>('Raw Data'!F955+Bill!$P$2)*Bill!$AE953</f>
        <v>0</v>
      </c>
      <c r="Q953" s="38">
        <f>Bill!$Z953*('Raw Data'!$E955+$Q$2)</f>
        <v>0</v>
      </c>
      <c r="R953" s="38">
        <f>('Raw Data'!F955+Bill!$R$2)*Bill!$AF953</f>
        <v>0</v>
      </c>
      <c r="S953" s="48">
        <f>('Raw Data'!G955/100)*Bill!$AG953</f>
        <v>0</v>
      </c>
      <c r="T953" s="38">
        <f>SUM(Bill!$L953:$R953)</f>
        <v>0</v>
      </c>
      <c r="U953" s="53"/>
      <c r="V953" s="50"/>
      <c r="W953" s="38">
        <f>Bill!$U953-Bill!$T953</f>
        <v>0</v>
      </c>
      <c r="Y953" s="37">
        <f>'Raw Data'!D955</f>
        <v>46511</v>
      </c>
      <c r="Z953" s="47">
        <v>0.0</v>
      </c>
      <c r="AA953" s="47"/>
      <c r="AB953" s="47"/>
      <c r="AC953" s="47"/>
      <c r="AD953" s="47"/>
      <c r="AE953" s="47"/>
      <c r="AF953" s="47"/>
      <c r="AG953" s="47"/>
    </row>
    <row r="954" ht="15.75" customHeight="1">
      <c r="A954" s="35">
        <f>Bill!$Y954</f>
        <v>46512</v>
      </c>
      <c r="B954" s="43">
        <f>'Raw Data'!E956+Bill!$L$2</f>
        <v>20</v>
      </c>
      <c r="C954" s="43">
        <f>'Raw Data'!E956+Bill!$M$2</f>
        <v>25</v>
      </c>
      <c r="D954" s="43">
        <f>('Raw Data'!$F956*2)-10</f>
        <v>-10</v>
      </c>
      <c r="E954" s="43">
        <f>'Raw Data'!F956+Bill!$O$2</f>
        <v>20</v>
      </c>
      <c r="F954" s="43">
        <f>'Raw Data'!F956+Bill!$P$2</f>
        <v>25</v>
      </c>
      <c r="G954" s="43">
        <f>'Raw Data'!E956+Bill!$Q$2</f>
        <v>50</v>
      </c>
      <c r="H954" s="43">
        <f>('Raw Data'!F956+Bill!$R$2)</f>
        <v>20</v>
      </c>
      <c r="I954" s="36">
        <f>'Raw Data'!G956/100</f>
        <v>0</v>
      </c>
      <c r="K954" s="37">
        <f>Bill!$Y954</f>
        <v>46512</v>
      </c>
      <c r="L954" s="38">
        <f>Bill!$AA954*('Raw Data'!$E956+$L$2)</f>
        <v>0</v>
      </c>
      <c r="M954" s="38">
        <f>Bill!$AB954*('Raw Data'!$E956+$M$2)</f>
        <v>0</v>
      </c>
      <c r="N954" s="38">
        <f>(('Raw Data'!$F956 * 2)-10)*Bill!$AC954</f>
        <v>0</v>
      </c>
      <c r="O954" s="38">
        <f>('Raw Data'!F956+Bill!$O$2)*Bill!$AD954</f>
        <v>0</v>
      </c>
      <c r="P954" s="38">
        <f>('Raw Data'!F956+Bill!$P$2)*Bill!$AE954</f>
        <v>0</v>
      </c>
      <c r="Q954" s="38">
        <f>Bill!$Z954*('Raw Data'!$E956+$Q$2)</f>
        <v>0</v>
      </c>
      <c r="R954" s="38">
        <f>('Raw Data'!F956+Bill!$R$2)*Bill!$AF954</f>
        <v>0</v>
      </c>
      <c r="S954" s="48">
        <f>('Raw Data'!G956/100)*Bill!$AG954</f>
        <v>0</v>
      </c>
      <c r="T954" s="38">
        <f>SUM(Bill!$L954:$R954)</f>
        <v>0</v>
      </c>
      <c r="U954" s="53"/>
      <c r="V954" s="50"/>
      <c r="W954" s="38">
        <f>Bill!$U954-Bill!$T954</f>
        <v>0</v>
      </c>
      <c r="Y954" s="37">
        <f>'Raw Data'!D956</f>
        <v>46512</v>
      </c>
      <c r="Z954" s="47">
        <v>0.0</v>
      </c>
      <c r="AA954" s="47"/>
      <c r="AB954" s="47"/>
      <c r="AC954" s="47"/>
      <c r="AD954" s="47"/>
      <c r="AE954" s="47"/>
      <c r="AF954" s="47"/>
      <c r="AG954" s="47"/>
    </row>
    <row r="955" ht="15.75" customHeight="1">
      <c r="A955" s="35">
        <f>Bill!$Y955</f>
        <v>46513</v>
      </c>
      <c r="B955" s="43">
        <f>'Raw Data'!E957+Bill!$L$2</f>
        <v>20</v>
      </c>
      <c r="C955" s="43">
        <f>'Raw Data'!E957+Bill!$M$2</f>
        <v>25</v>
      </c>
      <c r="D955" s="43">
        <f>('Raw Data'!$F957*2)-10</f>
        <v>-10</v>
      </c>
      <c r="E955" s="43">
        <f>'Raw Data'!F957+Bill!$O$2</f>
        <v>20</v>
      </c>
      <c r="F955" s="43">
        <f>'Raw Data'!F957+Bill!$P$2</f>
        <v>25</v>
      </c>
      <c r="G955" s="43">
        <f>'Raw Data'!E957+Bill!$Q$2</f>
        <v>50</v>
      </c>
      <c r="H955" s="43">
        <f>('Raw Data'!F957+Bill!$R$2)</f>
        <v>20</v>
      </c>
      <c r="I955" s="36">
        <f>'Raw Data'!G957/100</f>
        <v>0</v>
      </c>
      <c r="K955" s="37">
        <f>Bill!$Y955</f>
        <v>46513</v>
      </c>
      <c r="L955" s="38">
        <f>Bill!$AA955*('Raw Data'!$E957+$L$2)</f>
        <v>0</v>
      </c>
      <c r="M955" s="38">
        <f>Bill!$AB955*('Raw Data'!$E957+$M$2)</f>
        <v>0</v>
      </c>
      <c r="N955" s="38">
        <f>(('Raw Data'!$F957 * 2)-10)*Bill!$AC955</f>
        <v>0</v>
      </c>
      <c r="O955" s="38">
        <f>('Raw Data'!F957+Bill!$O$2)*Bill!$AD955</f>
        <v>0</v>
      </c>
      <c r="P955" s="38">
        <f>('Raw Data'!F957+Bill!$P$2)*Bill!$AE955</f>
        <v>0</v>
      </c>
      <c r="Q955" s="38">
        <f>Bill!$Z955*('Raw Data'!$E957+$Q$2)</f>
        <v>0</v>
      </c>
      <c r="R955" s="38">
        <f>('Raw Data'!F957+Bill!$R$2)*Bill!$AF955</f>
        <v>0</v>
      </c>
      <c r="S955" s="48">
        <f>('Raw Data'!G957/100)*Bill!$AG955</f>
        <v>0</v>
      </c>
      <c r="T955" s="38">
        <f>SUM(Bill!$L955:$R955)</f>
        <v>0</v>
      </c>
      <c r="U955" s="53"/>
      <c r="V955" s="50"/>
      <c r="W955" s="38">
        <f>Bill!$U955-Bill!$T955</f>
        <v>0</v>
      </c>
      <c r="Y955" s="37">
        <f>'Raw Data'!D957</f>
        <v>46513</v>
      </c>
      <c r="Z955" s="47">
        <v>0.0</v>
      </c>
      <c r="AA955" s="47"/>
      <c r="AB955" s="47"/>
      <c r="AC955" s="47"/>
      <c r="AD955" s="47"/>
      <c r="AE955" s="47"/>
      <c r="AF955" s="47"/>
      <c r="AG955" s="47"/>
    </row>
    <row r="956" ht="15.75" customHeight="1">
      <c r="A956" s="35">
        <f>Bill!$Y956</f>
        <v>46514</v>
      </c>
      <c r="B956" s="43">
        <f>'Raw Data'!E958+Bill!$L$2</f>
        <v>20</v>
      </c>
      <c r="C956" s="43">
        <f>'Raw Data'!E958+Bill!$M$2</f>
        <v>25</v>
      </c>
      <c r="D956" s="43">
        <f>('Raw Data'!$F958*2)-10</f>
        <v>-10</v>
      </c>
      <c r="E956" s="43">
        <f>'Raw Data'!F958+Bill!$O$2</f>
        <v>20</v>
      </c>
      <c r="F956" s="43">
        <f>'Raw Data'!F958+Bill!$P$2</f>
        <v>25</v>
      </c>
      <c r="G956" s="43">
        <f>'Raw Data'!E958+Bill!$Q$2</f>
        <v>50</v>
      </c>
      <c r="H956" s="43">
        <f>('Raw Data'!F958+Bill!$R$2)</f>
        <v>20</v>
      </c>
      <c r="I956" s="36">
        <f>'Raw Data'!G958/100</f>
        <v>0</v>
      </c>
      <c r="K956" s="37">
        <f>Bill!$Y956</f>
        <v>46514</v>
      </c>
      <c r="L956" s="38">
        <f>Bill!$AA956*('Raw Data'!$E958+$L$2)</f>
        <v>0</v>
      </c>
      <c r="M956" s="38">
        <f>Bill!$AB956*('Raw Data'!$E958+$M$2)</f>
        <v>0</v>
      </c>
      <c r="N956" s="38">
        <f>(('Raw Data'!$F958 * 2)-10)*Bill!$AC956</f>
        <v>0</v>
      </c>
      <c r="O956" s="38">
        <f>('Raw Data'!F958+Bill!$O$2)*Bill!$AD956</f>
        <v>0</v>
      </c>
      <c r="P956" s="38">
        <f>('Raw Data'!F958+Bill!$P$2)*Bill!$AE956</f>
        <v>0</v>
      </c>
      <c r="Q956" s="38">
        <f>Bill!$Z956*('Raw Data'!$E958+$Q$2)</f>
        <v>0</v>
      </c>
      <c r="R956" s="38">
        <f>('Raw Data'!F958+Bill!$R$2)*Bill!$AF956</f>
        <v>0</v>
      </c>
      <c r="S956" s="48">
        <f>('Raw Data'!G958/100)*Bill!$AG956</f>
        <v>0</v>
      </c>
      <c r="T956" s="38">
        <f>SUM(Bill!$L956:$R956)</f>
        <v>0</v>
      </c>
      <c r="U956" s="53"/>
      <c r="V956" s="50"/>
      <c r="W956" s="38">
        <f>Bill!$U956-Bill!$T956</f>
        <v>0</v>
      </c>
      <c r="Y956" s="37">
        <f>'Raw Data'!D958</f>
        <v>46514</v>
      </c>
      <c r="Z956" s="47">
        <v>0.0</v>
      </c>
      <c r="AA956" s="47"/>
      <c r="AB956" s="47"/>
      <c r="AC956" s="47"/>
      <c r="AD956" s="47"/>
      <c r="AE956" s="47"/>
      <c r="AF956" s="47"/>
      <c r="AG956" s="47"/>
    </row>
    <row r="957" ht="15.75" customHeight="1">
      <c r="A957" s="35">
        <f>Bill!$Y957</f>
        <v>46515</v>
      </c>
      <c r="B957" s="43">
        <f>'Raw Data'!E959+Bill!$L$2</f>
        <v>20</v>
      </c>
      <c r="C957" s="43">
        <f>'Raw Data'!E959+Bill!$M$2</f>
        <v>25</v>
      </c>
      <c r="D957" s="43">
        <f>('Raw Data'!$F959*2)-10</f>
        <v>-10</v>
      </c>
      <c r="E957" s="43">
        <f>'Raw Data'!F959+Bill!$O$2</f>
        <v>20</v>
      </c>
      <c r="F957" s="43">
        <f>'Raw Data'!F959+Bill!$P$2</f>
        <v>25</v>
      </c>
      <c r="G957" s="43">
        <f>'Raw Data'!E959+Bill!$Q$2</f>
        <v>50</v>
      </c>
      <c r="H957" s="43">
        <f>('Raw Data'!F959+Bill!$R$2)</f>
        <v>20</v>
      </c>
      <c r="I957" s="36">
        <f>'Raw Data'!G959/100</f>
        <v>0</v>
      </c>
      <c r="K957" s="37">
        <f>Bill!$Y957</f>
        <v>46515</v>
      </c>
      <c r="L957" s="38">
        <f>Bill!$AA957*('Raw Data'!$E959+$L$2)</f>
        <v>0</v>
      </c>
      <c r="M957" s="38">
        <f>Bill!$AB957*('Raw Data'!$E959+$M$2)</f>
        <v>0</v>
      </c>
      <c r="N957" s="38">
        <f>(('Raw Data'!$F959 * 2)-10)*Bill!$AC957</f>
        <v>0</v>
      </c>
      <c r="O957" s="38">
        <f>('Raw Data'!F959+Bill!$O$2)*Bill!$AD957</f>
        <v>0</v>
      </c>
      <c r="P957" s="38">
        <f>('Raw Data'!F959+Bill!$P$2)*Bill!$AE957</f>
        <v>0</v>
      </c>
      <c r="Q957" s="38">
        <f>Bill!$Z957*('Raw Data'!$E959+$Q$2)</f>
        <v>0</v>
      </c>
      <c r="R957" s="38">
        <f>('Raw Data'!F959+Bill!$R$2)*Bill!$AF957</f>
        <v>0</v>
      </c>
      <c r="S957" s="48">
        <f>('Raw Data'!G959/100)*Bill!$AG957</f>
        <v>0</v>
      </c>
      <c r="T957" s="38">
        <f>SUM(Bill!$L957:$R957)</f>
        <v>0</v>
      </c>
      <c r="U957" s="53"/>
      <c r="V957" s="50"/>
      <c r="W957" s="38">
        <f>Bill!$U957-Bill!$T957</f>
        <v>0</v>
      </c>
      <c r="Y957" s="37">
        <f>'Raw Data'!D959</f>
        <v>46515</v>
      </c>
      <c r="Z957" s="47">
        <v>0.0</v>
      </c>
      <c r="AA957" s="47"/>
      <c r="AB957" s="47"/>
      <c r="AC957" s="47"/>
      <c r="AD957" s="47"/>
      <c r="AE957" s="47"/>
      <c r="AF957" s="47"/>
      <c r="AG957" s="47"/>
    </row>
    <row r="958" ht="15.75" customHeight="1">
      <c r="A958" s="35">
        <f>Bill!$Y958</f>
        <v>46516</v>
      </c>
      <c r="B958" s="43">
        <f>'Raw Data'!E960+Bill!$L$2</f>
        <v>20</v>
      </c>
      <c r="C958" s="43">
        <f>'Raw Data'!E960+Bill!$M$2</f>
        <v>25</v>
      </c>
      <c r="D958" s="43">
        <f>('Raw Data'!$F960*2)-10</f>
        <v>-10</v>
      </c>
      <c r="E958" s="43">
        <f>'Raw Data'!F960+Bill!$O$2</f>
        <v>20</v>
      </c>
      <c r="F958" s="43">
        <f>'Raw Data'!F960+Bill!$P$2</f>
        <v>25</v>
      </c>
      <c r="G958" s="43">
        <f>'Raw Data'!E960+Bill!$Q$2</f>
        <v>50</v>
      </c>
      <c r="H958" s="43">
        <f>('Raw Data'!F960+Bill!$R$2)</f>
        <v>20</v>
      </c>
      <c r="I958" s="36">
        <f>'Raw Data'!G960/100</f>
        <v>0</v>
      </c>
      <c r="K958" s="37">
        <f>Bill!$Y958</f>
        <v>46516</v>
      </c>
      <c r="L958" s="38">
        <f>Bill!$AA958*('Raw Data'!$E960+$L$2)</f>
        <v>0</v>
      </c>
      <c r="M958" s="38">
        <f>Bill!$AB958*('Raw Data'!$E960+$M$2)</f>
        <v>0</v>
      </c>
      <c r="N958" s="38">
        <f>(('Raw Data'!$F960 * 2)-10)*Bill!$AC958</f>
        <v>0</v>
      </c>
      <c r="O958" s="38">
        <f>('Raw Data'!F960+Bill!$O$2)*Bill!$AD958</f>
        <v>0</v>
      </c>
      <c r="P958" s="38">
        <f>('Raw Data'!F960+Bill!$P$2)*Bill!$AE958</f>
        <v>0</v>
      </c>
      <c r="Q958" s="38">
        <f>Bill!$Z958*('Raw Data'!$E960+$Q$2)</f>
        <v>0</v>
      </c>
      <c r="R958" s="38">
        <f>('Raw Data'!F960+Bill!$R$2)*Bill!$AF958</f>
        <v>0</v>
      </c>
      <c r="S958" s="48">
        <f>('Raw Data'!G960/100)*Bill!$AG958</f>
        <v>0</v>
      </c>
      <c r="T958" s="38">
        <f>SUM(Bill!$L958:$R958)</f>
        <v>0</v>
      </c>
      <c r="U958" s="53"/>
      <c r="V958" s="50"/>
      <c r="W958" s="38">
        <f>Bill!$U958-Bill!$T958</f>
        <v>0</v>
      </c>
      <c r="Y958" s="37">
        <f>'Raw Data'!D960</f>
        <v>46516</v>
      </c>
      <c r="Z958" s="47">
        <v>0.0</v>
      </c>
      <c r="AA958" s="47"/>
      <c r="AB958" s="47"/>
      <c r="AC958" s="47"/>
      <c r="AD958" s="47"/>
      <c r="AE958" s="47"/>
      <c r="AF958" s="47"/>
      <c r="AG958" s="47"/>
    </row>
    <row r="959" ht="15.75" customHeight="1">
      <c r="A959" s="35">
        <f>Bill!$Y959</f>
        <v>46517</v>
      </c>
      <c r="B959" s="43">
        <f>'Raw Data'!E961+Bill!$L$2</f>
        <v>20</v>
      </c>
      <c r="C959" s="43">
        <f>'Raw Data'!E961+Bill!$M$2</f>
        <v>25</v>
      </c>
      <c r="D959" s="43">
        <f>('Raw Data'!$F961*2)-10</f>
        <v>-10</v>
      </c>
      <c r="E959" s="43">
        <f>'Raw Data'!F961+Bill!$O$2</f>
        <v>20</v>
      </c>
      <c r="F959" s="43">
        <f>'Raw Data'!F961+Bill!$P$2</f>
        <v>25</v>
      </c>
      <c r="G959" s="43">
        <f>'Raw Data'!E961+Bill!$Q$2</f>
        <v>50</v>
      </c>
      <c r="H959" s="43">
        <f>('Raw Data'!F961+Bill!$R$2)</f>
        <v>20</v>
      </c>
      <c r="I959" s="36">
        <f>'Raw Data'!G961/100</f>
        <v>0</v>
      </c>
      <c r="K959" s="37">
        <f>Bill!$Y959</f>
        <v>46517</v>
      </c>
      <c r="L959" s="38">
        <f>Bill!$AA959*('Raw Data'!$E961+$L$2)</f>
        <v>0</v>
      </c>
      <c r="M959" s="38">
        <f>Bill!$AB959*('Raw Data'!$E961+$M$2)</f>
        <v>0</v>
      </c>
      <c r="N959" s="38">
        <f>(('Raw Data'!$F961 * 2)-10)*Bill!$AC959</f>
        <v>0</v>
      </c>
      <c r="O959" s="38">
        <f>('Raw Data'!F961+Bill!$O$2)*Bill!$AD959</f>
        <v>0</v>
      </c>
      <c r="P959" s="38">
        <f>('Raw Data'!F961+Bill!$P$2)*Bill!$AE959</f>
        <v>0</v>
      </c>
      <c r="Q959" s="38">
        <f>Bill!$Z959*('Raw Data'!$E961+$Q$2)</f>
        <v>0</v>
      </c>
      <c r="R959" s="38">
        <f>('Raw Data'!F961+Bill!$R$2)*Bill!$AF959</f>
        <v>0</v>
      </c>
      <c r="S959" s="48">
        <f>('Raw Data'!G961/100)*Bill!$AG959</f>
        <v>0</v>
      </c>
      <c r="T959" s="38">
        <f>SUM(Bill!$L959:$R959)</f>
        <v>0</v>
      </c>
      <c r="U959" s="53"/>
      <c r="V959" s="50"/>
      <c r="W959" s="38">
        <f>Bill!$U959-Bill!$T959</f>
        <v>0</v>
      </c>
      <c r="Y959" s="37">
        <f>'Raw Data'!D961</f>
        <v>46517</v>
      </c>
      <c r="Z959" s="47">
        <v>0.0</v>
      </c>
      <c r="AA959" s="47"/>
      <c r="AB959" s="47"/>
      <c r="AC959" s="47"/>
      <c r="AD959" s="47"/>
      <c r="AE959" s="47"/>
      <c r="AF959" s="47"/>
      <c r="AG959" s="47"/>
    </row>
    <row r="960" ht="15.75" customHeight="1">
      <c r="A960" s="35">
        <f>Bill!$Y960</f>
        <v>46518</v>
      </c>
      <c r="B960" s="43">
        <f>'Raw Data'!E962+Bill!$L$2</f>
        <v>20</v>
      </c>
      <c r="C960" s="43">
        <f>'Raw Data'!E962+Bill!$M$2</f>
        <v>25</v>
      </c>
      <c r="D960" s="43">
        <f>('Raw Data'!$F962*2)-10</f>
        <v>-10</v>
      </c>
      <c r="E960" s="43">
        <f>'Raw Data'!F962+Bill!$O$2</f>
        <v>20</v>
      </c>
      <c r="F960" s="43">
        <f>'Raw Data'!F962+Bill!$P$2</f>
        <v>25</v>
      </c>
      <c r="G960" s="43">
        <f>'Raw Data'!E962+Bill!$Q$2</f>
        <v>50</v>
      </c>
      <c r="H960" s="43">
        <f>('Raw Data'!F962+Bill!$R$2)</f>
        <v>20</v>
      </c>
      <c r="I960" s="36">
        <f>'Raw Data'!G962/100</f>
        <v>0</v>
      </c>
      <c r="K960" s="37">
        <f>Bill!$Y960</f>
        <v>46518</v>
      </c>
      <c r="L960" s="38">
        <f>Bill!$AA960*('Raw Data'!$E962+$L$2)</f>
        <v>0</v>
      </c>
      <c r="M960" s="38">
        <f>Bill!$AB960*('Raw Data'!$E962+$M$2)</f>
        <v>0</v>
      </c>
      <c r="N960" s="38">
        <f>(('Raw Data'!$F962 * 2)-10)*Bill!$AC960</f>
        <v>0</v>
      </c>
      <c r="O960" s="38">
        <f>('Raw Data'!F962+Bill!$O$2)*Bill!$AD960</f>
        <v>0</v>
      </c>
      <c r="P960" s="38">
        <f>('Raw Data'!F962+Bill!$P$2)*Bill!$AE960</f>
        <v>0</v>
      </c>
      <c r="Q960" s="38">
        <f>Bill!$Z960*('Raw Data'!$E962+$Q$2)</f>
        <v>0</v>
      </c>
      <c r="R960" s="38">
        <f>('Raw Data'!F962+Bill!$R$2)*Bill!$AF960</f>
        <v>0</v>
      </c>
      <c r="S960" s="48">
        <f>('Raw Data'!G962/100)*Bill!$AG960</f>
        <v>0</v>
      </c>
      <c r="T960" s="38">
        <f>SUM(Bill!$L960:$R960)</f>
        <v>0</v>
      </c>
      <c r="U960" s="53"/>
      <c r="V960" s="50"/>
      <c r="W960" s="38">
        <f>Bill!$U960-Bill!$T960</f>
        <v>0</v>
      </c>
      <c r="Y960" s="37">
        <f>'Raw Data'!D962</f>
        <v>46518</v>
      </c>
      <c r="Z960" s="47">
        <v>0.0</v>
      </c>
      <c r="AA960" s="47"/>
      <c r="AB960" s="47"/>
      <c r="AC960" s="47"/>
      <c r="AD960" s="47"/>
      <c r="AE960" s="47"/>
      <c r="AF960" s="47"/>
      <c r="AG960" s="47"/>
    </row>
    <row r="961" ht="15.75" customHeight="1">
      <c r="A961" s="35">
        <f>Bill!$Y961</f>
        <v>46519</v>
      </c>
      <c r="B961" s="43">
        <f>'Raw Data'!E963+Bill!$L$2</f>
        <v>20</v>
      </c>
      <c r="C961" s="43">
        <f>'Raw Data'!E963+Bill!$M$2</f>
        <v>25</v>
      </c>
      <c r="D961" s="43">
        <f>('Raw Data'!$F963*2)-10</f>
        <v>-10</v>
      </c>
      <c r="E961" s="43">
        <f>'Raw Data'!F963+Bill!$O$2</f>
        <v>20</v>
      </c>
      <c r="F961" s="43">
        <f>'Raw Data'!F963+Bill!$P$2</f>
        <v>25</v>
      </c>
      <c r="G961" s="43">
        <f>'Raw Data'!E963+Bill!$Q$2</f>
        <v>50</v>
      </c>
      <c r="H961" s="43">
        <f>('Raw Data'!F963+Bill!$R$2)</f>
        <v>20</v>
      </c>
      <c r="I961" s="36">
        <f>'Raw Data'!G963/100</f>
        <v>0</v>
      </c>
      <c r="K961" s="37">
        <f>Bill!$Y961</f>
        <v>46519</v>
      </c>
      <c r="L961" s="38">
        <f>Bill!$AA961*('Raw Data'!$E963+$L$2)</f>
        <v>0</v>
      </c>
      <c r="M961" s="38">
        <f>Bill!$AB961*('Raw Data'!$E963+$M$2)</f>
        <v>0</v>
      </c>
      <c r="N961" s="38">
        <f>(('Raw Data'!$F963 * 2)-10)*Bill!$AC961</f>
        <v>0</v>
      </c>
      <c r="O961" s="38">
        <f>('Raw Data'!F963+Bill!$O$2)*Bill!$AD961</f>
        <v>0</v>
      </c>
      <c r="P961" s="38">
        <f>('Raw Data'!F963+Bill!$P$2)*Bill!$AE961</f>
        <v>0</v>
      </c>
      <c r="Q961" s="38">
        <f>Bill!$Z961*('Raw Data'!$E963+$Q$2)</f>
        <v>0</v>
      </c>
      <c r="R961" s="38">
        <f>('Raw Data'!F963+Bill!$R$2)*Bill!$AF961</f>
        <v>0</v>
      </c>
      <c r="S961" s="48">
        <f>('Raw Data'!G963/100)*Bill!$AG961</f>
        <v>0</v>
      </c>
      <c r="T961" s="38">
        <f>SUM(Bill!$L961:$R961)</f>
        <v>0</v>
      </c>
      <c r="U961" s="53"/>
      <c r="V961" s="50"/>
      <c r="W961" s="38">
        <f>Bill!$U961-Bill!$T961</f>
        <v>0</v>
      </c>
      <c r="Y961" s="37">
        <f>'Raw Data'!D963</f>
        <v>46519</v>
      </c>
      <c r="Z961" s="47">
        <v>0.0</v>
      </c>
      <c r="AA961" s="47"/>
      <c r="AB961" s="47"/>
      <c r="AC961" s="47"/>
      <c r="AD961" s="47"/>
      <c r="AE961" s="47"/>
      <c r="AF961" s="47"/>
      <c r="AG961" s="47"/>
    </row>
    <row r="962" ht="15.75" customHeight="1">
      <c r="A962" s="35">
        <f>Bill!$Y962</f>
        <v>46520</v>
      </c>
      <c r="B962" s="43">
        <f>'Raw Data'!E964+Bill!$L$2</f>
        <v>20</v>
      </c>
      <c r="C962" s="43">
        <f>'Raw Data'!E964+Bill!$M$2</f>
        <v>25</v>
      </c>
      <c r="D962" s="43">
        <f>('Raw Data'!$F964*2)-10</f>
        <v>-10</v>
      </c>
      <c r="E962" s="43">
        <f>'Raw Data'!F964+Bill!$O$2</f>
        <v>20</v>
      </c>
      <c r="F962" s="43">
        <f>'Raw Data'!F964+Bill!$P$2</f>
        <v>25</v>
      </c>
      <c r="G962" s="43">
        <f>'Raw Data'!E964+Bill!$Q$2</f>
        <v>50</v>
      </c>
      <c r="H962" s="43">
        <f>('Raw Data'!F964+Bill!$R$2)</f>
        <v>20</v>
      </c>
      <c r="I962" s="36">
        <f>'Raw Data'!G964/100</f>
        <v>0</v>
      </c>
      <c r="K962" s="37">
        <f>Bill!$Y962</f>
        <v>46520</v>
      </c>
      <c r="L962" s="38">
        <f>Bill!$AA962*('Raw Data'!$E964+$L$2)</f>
        <v>0</v>
      </c>
      <c r="M962" s="38">
        <f>Bill!$AB962*('Raw Data'!$E964+$M$2)</f>
        <v>0</v>
      </c>
      <c r="N962" s="38">
        <f>(('Raw Data'!$F964 * 2)-10)*Bill!$AC962</f>
        <v>0</v>
      </c>
      <c r="O962" s="38">
        <f>('Raw Data'!F964+Bill!$O$2)*Bill!$AD962</f>
        <v>0</v>
      </c>
      <c r="P962" s="38">
        <f>('Raw Data'!F964+Bill!$P$2)*Bill!$AE962</f>
        <v>0</v>
      </c>
      <c r="Q962" s="38">
        <f>Bill!$Z962*('Raw Data'!$E964+$Q$2)</f>
        <v>0</v>
      </c>
      <c r="R962" s="38">
        <f>('Raw Data'!F964+Bill!$R$2)*Bill!$AF962</f>
        <v>0</v>
      </c>
      <c r="S962" s="48">
        <f>('Raw Data'!G964/100)*Bill!$AG962</f>
        <v>0</v>
      </c>
      <c r="T962" s="38">
        <f>SUM(Bill!$L962:$R962)</f>
        <v>0</v>
      </c>
      <c r="U962" s="53"/>
      <c r="V962" s="50"/>
      <c r="W962" s="38">
        <f>Bill!$U962-Bill!$T962</f>
        <v>0</v>
      </c>
      <c r="Y962" s="37">
        <f>'Raw Data'!D964</f>
        <v>46520</v>
      </c>
      <c r="Z962" s="47">
        <v>0.0</v>
      </c>
      <c r="AA962" s="47"/>
      <c r="AB962" s="47"/>
      <c r="AC962" s="47"/>
      <c r="AD962" s="47"/>
      <c r="AE962" s="47"/>
      <c r="AF962" s="47"/>
      <c r="AG962" s="47"/>
    </row>
    <row r="963" ht="15.75" customHeight="1">
      <c r="A963" s="35">
        <f>Bill!$Y963</f>
        <v>46521</v>
      </c>
      <c r="B963" s="43">
        <f>'Raw Data'!E965+Bill!$L$2</f>
        <v>20</v>
      </c>
      <c r="C963" s="43">
        <f>'Raw Data'!E965+Bill!$M$2</f>
        <v>25</v>
      </c>
      <c r="D963" s="43">
        <f>('Raw Data'!$F965*2)-10</f>
        <v>-10</v>
      </c>
      <c r="E963" s="43">
        <f>'Raw Data'!F965+Bill!$O$2</f>
        <v>20</v>
      </c>
      <c r="F963" s="43">
        <f>'Raw Data'!F965+Bill!$P$2</f>
        <v>25</v>
      </c>
      <c r="G963" s="43">
        <f>'Raw Data'!E965+Bill!$Q$2</f>
        <v>50</v>
      </c>
      <c r="H963" s="43">
        <f>('Raw Data'!F965+Bill!$R$2)</f>
        <v>20</v>
      </c>
      <c r="I963" s="36">
        <f>'Raw Data'!G965/100</f>
        <v>0</v>
      </c>
      <c r="K963" s="37">
        <f>Bill!$Y963</f>
        <v>46521</v>
      </c>
      <c r="L963" s="38">
        <f>Bill!$AA963*('Raw Data'!$E965+$L$2)</f>
        <v>0</v>
      </c>
      <c r="M963" s="38">
        <f>Bill!$AB963*('Raw Data'!$E965+$M$2)</f>
        <v>0</v>
      </c>
      <c r="N963" s="38">
        <f>(('Raw Data'!$F965 * 2)-10)*Bill!$AC963</f>
        <v>0</v>
      </c>
      <c r="O963" s="38">
        <f>('Raw Data'!F965+Bill!$O$2)*Bill!$AD963</f>
        <v>0</v>
      </c>
      <c r="P963" s="38">
        <f>('Raw Data'!F965+Bill!$P$2)*Bill!$AE963</f>
        <v>0</v>
      </c>
      <c r="Q963" s="38">
        <f>Bill!$Z963*('Raw Data'!$E965+$Q$2)</f>
        <v>0</v>
      </c>
      <c r="R963" s="38">
        <f>('Raw Data'!F965+Bill!$R$2)*Bill!$AF963</f>
        <v>0</v>
      </c>
      <c r="S963" s="48">
        <f>('Raw Data'!G965/100)*Bill!$AG963</f>
        <v>0</v>
      </c>
      <c r="T963" s="38">
        <f>SUM(Bill!$L963:$R963)</f>
        <v>0</v>
      </c>
      <c r="U963" s="53"/>
      <c r="V963" s="50"/>
      <c r="W963" s="38">
        <f>Bill!$U963-Bill!$T963</f>
        <v>0</v>
      </c>
      <c r="Y963" s="37">
        <f>'Raw Data'!D965</f>
        <v>46521</v>
      </c>
      <c r="Z963" s="47">
        <v>0.0</v>
      </c>
      <c r="AA963" s="47"/>
      <c r="AB963" s="47"/>
      <c r="AC963" s="47"/>
      <c r="AD963" s="47"/>
      <c r="AE963" s="47"/>
      <c r="AF963" s="47"/>
      <c r="AG963" s="47"/>
    </row>
    <row r="964" ht="15.75" customHeight="1">
      <c r="A964" s="35">
        <f>Bill!$Y964</f>
        <v>46522</v>
      </c>
      <c r="B964" s="43">
        <f>'Raw Data'!E966+Bill!$L$2</f>
        <v>20</v>
      </c>
      <c r="C964" s="43">
        <f>'Raw Data'!E966+Bill!$M$2</f>
        <v>25</v>
      </c>
      <c r="D964" s="43">
        <f>('Raw Data'!$F966*2)-10</f>
        <v>-10</v>
      </c>
      <c r="E964" s="43">
        <f>'Raw Data'!F966+Bill!$O$2</f>
        <v>20</v>
      </c>
      <c r="F964" s="43">
        <f>'Raw Data'!F966+Bill!$P$2</f>
        <v>25</v>
      </c>
      <c r="G964" s="43">
        <f>'Raw Data'!E966+Bill!$Q$2</f>
        <v>50</v>
      </c>
      <c r="H964" s="43">
        <f>('Raw Data'!F966+Bill!$R$2)</f>
        <v>20</v>
      </c>
      <c r="I964" s="36">
        <f>'Raw Data'!G966/100</f>
        <v>0</v>
      </c>
      <c r="K964" s="37">
        <f>Bill!$Y964</f>
        <v>46522</v>
      </c>
      <c r="L964" s="38">
        <f>Bill!$AA964*('Raw Data'!$E966+$L$2)</f>
        <v>0</v>
      </c>
      <c r="M964" s="38">
        <f>Bill!$AB964*('Raw Data'!$E966+$M$2)</f>
        <v>0</v>
      </c>
      <c r="N964" s="38">
        <f>(('Raw Data'!$F966 * 2)-10)*Bill!$AC964</f>
        <v>0</v>
      </c>
      <c r="O964" s="38">
        <f>('Raw Data'!F966+Bill!$O$2)*Bill!$AD964</f>
        <v>0</v>
      </c>
      <c r="P964" s="38">
        <f>('Raw Data'!F966+Bill!$P$2)*Bill!$AE964</f>
        <v>0</v>
      </c>
      <c r="Q964" s="38">
        <f>Bill!$Z964*('Raw Data'!$E966+$Q$2)</f>
        <v>0</v>
      </c>
      <c r="R964" s="38">
        <f>('Raw Data'!F966+Bill!$R$2)*Bill!$AF964</f>
        <v>0</v>
      </c>
      <c r="S964" s="48">
        <f>('Raw Data'!G966/100)*Bill!$AG964</f>
        <v>0</v>
      </c>
      <c r="T964" s="38">
        <f>SUM(Bill!$L964:$R964)</f>
        <v>0</v>
      </c>
      <c r="U964" s="53"/>
      <c r="V964" s="50"/>
      <c r="W964" s="38">
        <f>Bill!$U964-Bill!$T964</f>
        <v>0</v>
      </c>
      <c r="Y964" s="37">
        <f>'Raw Data'!D966</f>
        <v>46522</v>
      </c>
      <c r="Z964" s="47">
        <v>0.0</v>
      </c>
      <c r="AA964" s="47"/>
      <c r="AB964" s="47"/>
      <c r="AC964" s="47"/>
      <c r="AD964" s="47"/>
      <c r="AE964" s="47"/>
      <c r="AF964" s="47"/>
      <c r="AG964" s="47"/>
    </row>
    <row r="965" ht="15.75" customHeight="1">
      <c r="A965" s="35">
        <f>Bill!$Y965</f>
        <v>46523</v>
      </c>
      <c r="B965" s="43">
        <f>'Raw Data'!E967+Bill!$L$2</f>
        <v>20</v>
      </c>
      <c r="C965" s="43">
        <f>'Raw Data'!E967+Bill!$M$2</f>
        <v>25</v>
      </c>
      <c r="D965" s="43">
        <f>('Raw Data'!$F967*2)-10</f>
        <v>-10</v>
      </c>
      <c r="E965" s="43">
        <f>'Raw Data'!F967+Bill!$O$2</f>
        <v>20</v>
      </c>
      <c r="F965" s="43">
        <f>'Raw Data'!F967+Bill!$P$2</f>
        <v>25</v>
      </c>
      <c r="G965" s="43">
        <f>'Raw Data'!E967+Bill!$Q$2</f>
        <v>50</v>
      </c>
      <c r="H965" s="43">
        <f>('Raw Data'!F967+Bill!$R$2)</f>
        <v>20</v>
      </c>
      <c r="I965" s="36">
        <f>'Raw Data'!G967/100</f>
        <v>0</v>
      </c>
      <c r="K965" s="37">
        <f>Bill!$Y965</f>
        <v>46523</v>
      </c>
      <c r="L965" s="38">
        <f>Bill!$AA965*('Raw Data'!$E967+$L$2)</f>
        <v>0</v>
      </c>
      <c r="M965" s="38">
        <f>Bill!$AB965*('Raw Data'!$E967+$M$2)</f>
        <v>0</v>
      </c>
      <c r="N965" s="38">
        <f>(('Raw Data'!$F967 * 2)-10)*Bill!$AC965</f>
        <v>0</v>
      </c>
      <c r="O965" s="38">
        <f>('Raw Data'!F967+Bill!$O$2)*Bill!$AD965</f>
        <v>0</v>
      </c>
      <c r="P965" s="38">
        <f>('Raw Data'!F967+Bill!$P$2)*Bill!$AE965</f>
        <v>0</v>
      </c>
      <c r="Q965" s="38">
        <f>Bill!$Z965*('Raw Data'!$E967+$Q$2)</f>
        <v>0</v>
      </c>
      <c r="R965" s="38">
        <f>('Raw Data'!F967+Bill!$R$2)*Bill!$AF965</f>
        <v>0</v>
      </c>
      <c r="S965" s="48">
        <f>('Raw Data'!G967/100)*Bill!$AG965</f>
        <v>0</v>
      </c>
      <c r="T965" s="38">
        <f>SUM(Bill!$L965:$R965)</f>
        <v>0</v>
      </c>
      <c r="U965" s="53"/>
      <c r="V965" s="50"/>
      <c r="W965" s="38">
        <f>Bill!$U965-Bill!$T965</f>
        <v>0</v>
      </c>
      <c r="Y965" s="37">
        <f>'Raw Data'!D967</f>
        <v>46523</v>
      </c>
      <c r="Z965" s="47">
        <v>0.0</v>
      </c>
      <c r="AA965" s="47"/>
      <c r="AB965" s="47"/>
      <c r="AC965" s="47"/>
      <c r="AD965" s="47"/>
      <c r="AE965" s="47"/>
      <c r="AF965" s="47"/>
      <c r="AG965" s="47"/>
    </row>
    <row r="966" ht="15.75" customHeight="1">
      <c r="A966" s="35">
        <f>Bill!$Y966</f>
        <v>46524</v>
      </c>
      <c r="B966" s="43">
        <f>'Raw Data'!E968+Bill!$L$2</f>
        <v>20</v>
      </c>
      <c r="C966" s="43">
        <f>'Raw Data'!E968+Bill!$M$2</f>
        <v>25</v>
      </c>
      <c r="D966" s="43">
        <f>('Raw Data'!$F968*2)-10</f>
        <v>-10</v>
      </c>
      <c r="E966" s="43">
        <f>'Raw Data'!F968+Bill!$O$2</f>
        <v>20</v>
      </c>
      <c r="F966" s="43">
        <f>'Raw Data'!F968+Bill!$P$2</f>
        <v>25</v>
      </c>
      <c r="G966" s="43">
        <f>'Raw Data'!E968+Bill!$Q$2</f>
        <v>50</v>
      </c>
      <c r="H966" s="43">
        <f>('Raw Data'!F968+Bill!$R$2)</f>
        <v>20</v>
      </c>
      <c r="I966" s="36">
        <f>'Raw Data'!G968/100</f>
        <v>0</v>
      </c>
      <c r="K966" s="37">
        <f>Bill!$Y966</f>
        <v>46524</v>
      </c>
      <c r="L966" s="38">
        <f>Bill!$AA966*('Raw Data'!$E968+$L$2)</f>
        <v>0</v>
      </c>
      <c r="M966" s="38">
        <f>Bill!$AB966*('Raw Data'!$E968+$M$2)</f>
        <v>0</v>
      </c>
      <c r="N966" s="38">
        <f>(('Raw Data'!$F968 * 2)-10)*Bill!$AC966</f>
        <v>0</v>
      </c>
      <c r="O966" s="38">
        <f>('Raw Data'!F968+Bill!$O$2)*Bill!$AD966</f>
        <v>0</v>
      </c>
      <c r="P966" s="38">
        <f>('Raw Data'!F968+Bill!$P$2)*Bill!$AE966</f>
        <v>0</v>
      </c>
      <c r="Q966" s="38">
        <f>Bill!$Z966*('Raw Data'!$E968+$Q$2)</f>
        <v>0</v>
      </c>
      <c r="R966" s="38">
        <f>('Raw Data'!F968+Bill!$R$2)*Bill!$AF966</f>
        <v>0</v>
      </c>
      <c r="S966" s="48">
        <f>('Raw Data'!G968/100)*Bill!$AG966</f>
        <v>0</v>
      </c>
      <c r="T966" s="38">
        <f>SUM(Bill!$L966:$R966)</f>
        <v>0</v>
      </c>
      <c r="U966" s="53"/>
      <c r="V966" s="50"/>
      <c r="W966" s="38">
        <f>Bill!$U966-Bill!$T966</f>
        <v>0</v>
      </c>
      <c r="Y966" s="37">
        <f>'Raw Data'!D968</f>
        <v>46524</v>
      </c>
      <c r="Z966" s="47">
        <v>0.0</v>
      </c>
      <c r="AA966" s="47"/>
      <c r="AB966" s="47"/>
      <c r="AC966" s="47"/>
      <c r="AD966" s="47"/>
      <c r="AE966" s="47"/>
      <c r="AF966" s="47"/>
      <c r="AG966" s="47"/>
    </row>
    <row r="967" ht="15.75" customHeight="1">
      <c r="A967" s="35">
        <f>Bill!$Y967</f>
        <v>46525</v>
      </c>
      <c r="B967" s="43">
        <f>'Raw Data'!E969+Bill!$L$2</f>
        <v>20</v>
      </c>
      <c r="C967" s="43">
        <f>'Raw Data'!E969+Bill!$M$2</f>
        <v>25</v>
      </c>
      <c r="D967" s="43">
        <f>('Raw Data'!$F969*2)-10</f>
        <v>-10</v>
      </c>
      <c r="E967" s="43">
        <f>'Raw Data'!F969+Bill!$O$2</f>
        <v>20</v>
      </c>
      <c r="F967" s="43">
        <f>'Raw Data'!F969+Bill!$P$2</f>
        <v>25</v>
      </c>
      <c r="G967" s="43">
        <f>'Raw Data'!E969+Bill!$Q$2</f>
        <v>50</v>
      </c>
      <c r="H967" s="43">
        <f>('Raw Data'!F969+Bill!$R$2)</f>
        <v>20</v>
      </c>
      <c r="I967" s="36">
        <f>'Raw Data'!G969/100</f>
        <v>0</v>
      </c>
      <c r="K967" s="37">
        <f>Bill!$Y967</f>
        <v>46525</v>
      </c>
      <c r="L967" s="38">
        <f>Bill!$AA967*('Raw Data'!$E969+$L$2)</f>
        <v>0</v>
      </c>
      <c r="M967" s="38">
        <f>Bill!$AB967*('Raw Data'!$E969+$M$2)</f>
        <v>0</v>
      </c>
      <c r="N967" s="38">
        <f>(('Raw Data'!$F969 * 2)-10)*Bill!$AC967</f>
        <v>0</v>
      </c>
      <c r="O967" s="38">
        <f>('Raw Data'!F969+Bill!$O$2)*Bill!$AD967</f>
        <v>0</v>
      </c>
      <c r="P967" s="38">
        <f>('Raw Data'!F969+Bill!$P$2)*Bill!$AE967</f>
        <v>0</v>
      </c>
      <c r="Q967" s="38">
        <f>Bill!$Z967*('Raw Data'!$E969+$Q$2)</f>
        <v>0</v>
      </c>
      <c r="R967" s="38">
        <f>('Raw Data'!F969+Bill!$R$2)*Bill!$AF967</f>
        <v>0</v>
      </c>
      <c r="S967" s="48">
        <f>('Raw Data'!G969/100)*Bill!$AG967</f>
        <v>0</v>
      </c>
      <c r="T967" s="38">
        <f>SUM(Bill!$L967:$R967)</f>
        <v>0</v>
      </c>
      <c r="U967" s="53"/>
      <c r="V967" s="50"/>
      <c r="W967" s="38">
        <f>Bill!$U967-Bill!$T967</f>
        <v>0</v>
      </c>
      <c r="Y967" s="37">
        <f>'Raw Data'!D969</f>
        <v>46525</v>
      </c>
      <c r="Z967" s="47">
        <v>0.0</v>
      </c>
      <c r="AA967" s="47"/>
      <c r="AB967" s="47"/>
      <c r="AC967" s="47"/>
      <c r="AD967" s="47"/>
      <c r="AE967" s="47"/>
      <c r="AF967" s="47"/>
      <c r="AG967" s="47"/>
    </row>
    <row r="968" ht="15.75" customHeight="1">
      <c r="A968" s="35">
        <f>Bill!$Y968</f>
        <v>46526</v>
      </c>
      <c r="B968" s="43">
        <f>'Raw Data'!E970+Bill!$L$2</f>
        <v>20</v>
      </c>
      <c r="C968" s="43">
        <f>'Raw Data'!E970+Bill!$M$2</f>
        <v>25</v>
      </c>
      <c r="D968" s="43">
        <f>('Raw Data'!$F970*2)-10</f>
        <v>-10</v>
      </c>
      <c r="E968" s="43">
        <f>'Raw Data'!F970+Bill!$O$2</f>
        <v>20</v>
      </c>
      <c r="F968" s="43">
        <f>'Raw Data'!F970+Bill!$P$2</f>
        <v>25</v>
      </c>
      <c r="G968" s="43">
        <f>'Raw Data'!E970+Bill!$Q$2</f>
        <v>50</v>
      </c>
      <c r="H968" s="43">
        <f>('Raw Data'!F970+Bill!$R$2)</f>
        <v>20</v>
      </c>
      <c r="I968" s="36">
        <f>'Raw Data'!G970/100</f>
        <v>0</v>
      </c>
      <c r="K968" s="37">
        <f>Bill!$Y968</f>
        <v>46526</v>
      </c>
      <c r="L968" s="38">
        <f>Bill!$AA968*('Raw Data'!$E970+$L$2)</f>
        <v>0</v>
      </c>
      <c r="M968" s="38">
        <f>Bill!$AB968*('Raw Data'!$E970+$M$2)</f>
        <v>0</v>
      </c>
      <c r="N968" s="38">
        <f>(('Raw Data'!$F970 * 2)-10)*Bill!$AC968</f>
        <v>0</v>
      </c>
      <c r="O968" s="38">
        <f>('Raw Data'!F970+Bill!$O$2)*Bill!$AD968</f>
        <v>0</v>
      </c>
      <c r="P968" s="38">
        <f>('Raw Data'!F970+Bill!$P$2)*Bill!$AE968</f>
        <v>0</v>
      </c>
      <c r="Q968" s="38">
        <f>Bill!$Z968*('Raw Data'!$E970+$Q$2)</f>
        <v>0</v>
      </c>
      <c r="R968" s="38">
        <f>('Raw Data'!F970+Bill!$R$2)*Bill!$AF968</f>
        <v>0</v>
      </c>
      <c r="S968" s="48">
        <f>('Raw Data'!G970/100)*Bill!$AG968</f>
        <v>0</v>
      </c>
      <c r="T968" s="38">
        <f>SUM(Bill!$L968:$R968)</f>
        <v>0</v>
      </c>
      <c r="U968" s="53"/>
      <c r="V968" s="50"/>
      <c r="W968" s="38">
        <f>Bill!$U968-Bill!$T968</f>
        <v>0</v>
      </c>
      <c r="Y968" s="37">
        <f>'Raw Data'!D970</f>
        <v>46526</v>
      </c>
      <c r="Z968" s="47">
        <v>0.0</v>
      </c>
      <c r="AA968" s="47"/>
      <c r="AB968" s="47"/>
      <c r="AC968" s="47"/>
      <c r="AD968" s="47"/>
      <c r="AE968" s="47"/>
      <c r="AF968" s="47"/>
      <c r="AG968" s="47"/>
    </row>
    <row r="969" ht="15.75" customHeight="1">
      <c r="A969" s="35">
        <f>Bill!$Y969</f>
        <v>46527</v>
      </c>
      <c r="B969" s="43">
        <f>'Raw Data'!E971+Bill!$L$2</f>
        <v>20</v>
      </c>
      <c r="C969" s="43">
        <f>'Raw Data'!E971+Bill!$M$2</f>
        <v>25</v>
      </c>
      <c r="D969" s="43">
        <f>('Raw Data'!$F971*2)-10</f>
        <v>-10</v>
      </c>
      <c r="E969" s="43">
        <f>'Raw Data'!F971+Bill!$O$2</f>
        <v>20</v>
      </c>
      <c r="F969" s="43">
        <f>'Raw Data'!F971+Bill!$P$2</f>
        <v>25</v>
      </c>
      <c r="G969" s="43">
        <f>'Raw Data'!E971+Bill!$Q$2</f>
        <v>50</v>
      </c>
      <c r="H969" s="43">
        <f>('Raw Data'!F971+Bill!$R$2)</f>
        <v>20</v>
      </c>
      <c r="I969" s="36">
        <f>'Raw Data'!G971/100</f>
        <v>0</v>
      </c>
      <c r="K969" s="37">
        <f>Bill!$Y969</f>
        <v>46527</v>
      </c>
      <c r="L969" s="38">
        <f>Bill!$AA969*('Raw Data'!$E971+$L$2)</f>
        <v>0</v>
      </c>
      <c r="M969" s="38">
        <f>Bill!$AB969*('Raw Data'!$E971+$M$2)</f>
        <v>0</v>
      </c>
      <c r="N969" s="38">
        <f>(('Raw Data'!$F971 * 2)-10)*Bill!$AC969</f>
        <v>0</v>
      </c>
      <c r="O969" s="38">
        <f>('Raw Data'!F971+Bill!$O$2)*Bill!$AD969</f>
        <v>0</v>
      </c>
      <c r="P969" s="38">
        <f>('Raw Data'!F971+Bill!$P$2)*Bill!$AE969</f>
        <v>0</v>
      </c>
      <c r="Q969" s="38">
        <f>Bill!$Z969*('Raw Data'!$E971+$Q$2)</f>
        <v>0</v>
      </c>
      <c r="R969" s="38">
        <f>('Raw Data'!F971+Bill!$R$2)*Bill!$AF969</f>
        <v>0</v>
      </c>
      <c r="S969" s="48">
        <f>('Raw Data'!G971/100)*Bill!$AG969</f>
        <v>0</v>
      </c>
      <c r="T969" s="38">
        <f>SUM(Bill!$L969:$R969)</f>
        <v>0</v>
      </c>
      <c r="U969" s="53"/>
      <c r="V969" s="50"/>
      <c r="W969" s="38">
        <f>Bill!$U969-Bill!$T969</f>
        <v>0</v>
      </c>
      <c r="Y969" s="37">
        <f>'Raw Data'!D971</f>
        <v>46527</v>
      </c>
      <c r="Z969" s="47">
        <v>0.0</v>
      </c>
      <c r="AA969" s="47"/>
      <c r="AB969" s="47"/>
      <c r="AC969" s="47"/>
      <c r="AD969" s="47"/>
      <c r="AE969" s="47"/>
      <c r="AF969" s="47"/>
      <c r="AG969" s="47"/>
    </row>
    <row r="970" ht="15.75" customHeight="1">
      <c r="A970" s="35">
        <f>Bill!$Y970</f>
        <v>46528</v>
      </c>
      <c r="B970" s="43">
        <f>'Raw Data'!E972+Bill!$L$2</f>
        <v>20</v>
      </c>
      <c r="C970" s="43">
        <f>'Raw Data'!E972+Bill!$M$2</f>
        <v>25</v>
      </c>
      <c r="D970" s="43">
        <f>('Raw Data'!$F972*2)-10</f>
        <v>-10</v>
      </c>
      <c r="E970" s="43">
        <f>'Raw Data'!F972+Bill!$O$2</f>
        <v>20</v>
      </c>
      <c r="F970" s="43">
        <f>'Raw Data'!F972+Bill!$P$2</f>
        <v>25</v>
      </c>
      <c r="G970" s="43">
        <f>'Raw Data'!E972+Bill!$Q$2</f>
        <v>50</v>
      </c>
      <c r="H970" s="43">
        <f>('Raw Data'!F972+Bill!$R$2)</f>
        <v>20</v>
      </c>
      <c r="I970" s="36">
        <f>'Raw Data'!G972/100</f>
        <v>0</v>
      </c>
      <c r="K970" s="37">
        <f>Bill!$Y970</f>
        <v>46528</v>
      </c>
      <c r="L970" s="38">
        <f>Bill!$AA970*('Raw Data'!$E972+$L$2)</f>
        <v>0</v>
      </c>
      <c r="M970" s="38">
        <f>Bill!$AB970*('Raw Data'!$E972+$M$2)</f>
        <v>0</v>
      </c>
      <c r="N970" s="38">
        <f>(('Raw Data'!$F972 * 2)-10)*Bill!$AC970</f>
        <v>0</v>
      </c>
      <c r="O970" s="38">
        <f>('Raw Data'!F972+Bill!$O$2)*Bill!$AD970</f>
        <v>0</v>
      </c>
      <c r="P970" s="38">
        <f>('Raw Data'!F972+Bill!$P$2)*Bill!$AE970</f>
        <v>0</v>
      </c>
      <c r="Q970" s="38">
        <f>Bill!$Z970*('Raw Data'!$E972+$Q$2)</f>
        <v>0</v>
      </c>
      <c r="R970" s="38">
        <f>('Raw Data'!F972+Bill!$R$2)*Bill!$AF970</f>
        <v>0</v>
      </c>
      <c r="S970" s="48">
        <f>('Raw Data'!G972/100)*Bill!$AG970</f>
        <v>0</v>
      </c>
      <c r="T970" s="38">
        <f>SUM(Bill!$L970:$R970)</f>
        <v>0</v>
      </c>
      <c r="U970" s="53"/>
      <c r="V970" s="50"/>
      <c r="W970" s="38">
        <f>Bill!$U970-Bill!$T970</f>
        <v>0</v>
      </c>
      <c r="Y970" s="37">
        <f>'Raw Data'!D972</f>
        <v>46528</v>
      </c>
      <c r="Z970" s="47">
        <v>0.0</v>
      </c>
      <c r="AA970" s="47"/>
      <c r="AB970" s="47"/>
      <c r="AC970" s="47"/>
      <c r="AD970" s="47"/>
      <c r="AE970" s="47"/>
      <c r="AF970" s="47"/>
      <c r="AG970" s="47"/>
    </row>
    <row r="971" ht="15.75" customHeight="1">
      <c r="A971" s="35">
        <f>Bill!$Y971</f>
        <v>46529</v>
      </c>
      <c r="B971" s="43">
        <f>'Raw Data'!E973+Bill!$L$2</f>
        <v>20</v>
      </c>
      <c r="C971" s="43">
        <f>'Raw Data'!E973+Bill!$M$2</f>
        <v>25</v>
      </c>
      <c r="D971" s="43">
        <f>('Raw Data'!$F973*2)-10</f>
        <v>-10</v>
      </c>
      <c r="E971" s="43">
        <f>'Raw Data'!F973+Bill!$O$2</f>
        <v>20</v>
      </c>
      <c r="F971" s="43">
        <f>'Raw Data'!F973+Bill!$P$2</f>
        <v>25</v>
      </c>
      <c r="G971" s="43">
        <f>'Raw Data'!E973+Bill!$Q$2</f>
        <v>50</v>
      </c>
      <c r="H971" s="43">
        <f>('Raw Data'!F973+Bill!$R$2)</f>
        <v>20</v>
      </c>
      <c r="I971" s="36">
        <f>'Raw Data'!G973/100</f>
        <v>0</v>
      </c>
      <c r="K971" s="37">
        <f>Bill!$Y971</f>
        <v>46529</v>
      </c>
      <c r="L971" s="38">
        <f>Bill!$AA971*('Raw Data'!$E973+$L$2)</f>
        <v>0</v>
      </c>
      <c r="M971" s="38">
        <f>Bill!$AB971*('Raw Data'!$E973+$M$2)</f>
        <v>0</v>
      </c>
      <c r="N971" s="38">
        <f>(('Raw Data'!$F973 * 2)-10)*Bill!$AC971</f>
        <v>0</v>
      </c>
      <c r="O971" s="38">
        <f>('Raw Data'!F973+Bill!$O$2)*Bill!$AD971</f>
        <v>0</v>
      </c>
      <c r="P971" s="38">
        <f>('Raw Data'!F973+Bill!$P$2)*Bill!$AE971</f>
        <v>0</v>
      </c>
      <c r="Q971" s="38">
        <f>Bill!$Z971*('Raw Data'!$E973+$Q$2)</f>
        <v>0</v>
      </c>
      <c r="R971" s="38">
        <f>('Raw Data'!F973+Bill!$R$2)*Bill!$AF971</f>
        <v>0</v>
      </c>
      <c r="S971" s="48">
        <f>('Raw Data'!G973/100)*Bill!$AG971</f>
        <v>0</v>
      </c>
      <c r="T971" s="38">
        <f>SUM(Bill!$L971:$R971)</f>
        <v>0</v>
      </c>
      <c r="U971" s="53"/>
      <c r="V971" s="50"/>
      <c r="W971" s="38">
        <f>Bill!$U971-Bill!$T971</f>
        <v>0</v>
      </c>
      <c r="Y971" s="37">
        <f>'Raw Data'!D973</f>
        <v>46529</v>
      </c>
      <c r="Z971" s="47">
        <v>0.0</v>
      </c>
      <c r="AA971" s="47"/>
      <c r="AB971" s="47"/>
      <c r="AC971" s="47"/>
      <c r="AD971" s="47"/>
      <c r="AE971" s="47"/>
      <c r="AF971" s="47"/>
      <c r="AG971" s="47"/>
    </row>
    <row r="972" ht="15.75" customHeight="1">
      <c r="A972" s="35">
        <f>Bill!$Y972</f>
        <v>46530</v>
      </c>
      <c r="B972" s="43">
        <f>'Raw Data'!E974+Bill!$L$2</f>
        <v>20</v>
      </c>
      <c r="C972" s="43">
        <f>'Raw Data'!E974+Bill!$M$2</f>
        <v>25</v>
      </c>
      <c r="D972" s="43">
        <f>('Raw Data'!$F974*2)-10</f>
        <v>-10</v>
      </c>
      <c r="E972" s="43">
        <f>'Raw Data'!F974+Bill!$O$2</f>
        <v>20</v>
      </c>
      <c r="F972" s="43">
        <f>'Raw Data'!F974+Bill!$P$2</f>
        <v>25</v>
      </c>
      <c r="G972" s="43">
        <f>'Raw Data'!E974+Bill!$Q$2</f>
        <v>50</v>
      </c>
      <c r="H972" s="43">
        <f>('Raw Data'!F974+Bill!$R$2)</f>
        <v>20</v>
      </c>
      <c r="I972" s="36">
        <f>'Raw Data'!G974/100</f>
        <v>0</v>
      </c>
      <c r="K972" s="37">
        <f>Bill!$Y972</f>
        <v>46530</v>
      </c>
      <c r="L972" s="38">
        <f>Bill!$AA972*('Raw Data'!$E974+$L$2)</f>
        <v>0</v>
      </c>
      <c r="M972" s="38">
        <f>Bill!$AB972*('Raw Data'!$E974+$M$2)</f>
        <v>0</v>
      </c>
      <c r="N972" s="38">
        <f>(('Raw Data'!$F974 * 2)-10)*Bill!$AC972</f>
        <v>0</v>
      </c>
      <c r="O972" s="38">
        <f>('Raw Data'!F974+Bill!$O$2)*Bill!$AD972</f>
        <v>0</v>
      </c>
      <c r="P972" s="38">
        <f>('Raw Data'!F974+Bill!$P$2)*Bill!$AE972</f>
        <v>0</v>
      </c>
      <c r="Q972" s="38">
        <f>Bill!$Z972*('Raw Data'!$E974+$Q$2)</f>
        <v>0</v>
      </c>
      <c r="R972" s="38">
        <f>('Raw Data'!F974+Bill!$R$2)*Bill!$AF972</f>
        <v>0</v>
      </c>
      <c r="S972" s="48">
        <f>('Raw Data'!G974/100)*Bill!$AG972</f>
        <v>0</v>
      </c>
      <c r="T972" s="38">
        <f>SUM(Bill!$L972:$R972)</f>
        <v>0</v>
      </c>
      <c r="U972" s="53"/>
      <c r="V972" s="50"/>
      <c r="W972" s="38">
        <f>Bill!$U972-Bill!$T972</f>
        <v>0</v>
      </c>
      <c r="Y972" s="37">
        <f>'Raw Data'!D974</f>
        <v>46530</v>
      </c>
      <c r="Z972" s="47">
        <v>0.0</v>
      </c>
      <c r="AA972" s="47"/>
      <c r="AB972" s="47"/>
      <c r="AC972" s="47"/>
      <c r="AD972" s="47"/>
      <c r="AE972" s="47"/>
      <c r="AF972" s="47"/>
      <c r="AG972" s="47"/>
    </row>
    <row r="973" ht="15.75" customHeight="1">
      <c r="A973" s="35">
        <f>Bill!$Y973</f>
        <v>46531</v>
      </c>
      <c r="B973" s="43">
        <f>'Raw Data'!E975+Bill!$L$2</f>
        <v>20</v>
      </c>
      <c r="C973" s="43">
        <f>'Raw Data'!E975+Bill!$M$2</f>
        <v>25</v>
      </c>
      <c r="D973" s="43">
        <f>('Raw Data'!$F975*2)-10</f>
        <v>-10</v>
      </c>
      <c r="E973" s="43">
        <f>'Raw Data'!F975+Bill!$O$2</f>
        <v>20</v>
      </c>
      <c r="F973" s="43">
        <f>'Raw Data'!F975+Bill!$P$2</f>
        <v>25</v>
      </c>
      <c r="G973" s="43">
        <f>'Raw Data'!E975+Bill!$Q$2</f>
        <v>50</v>
      </c>
      <c r="H973" s="43">
        <f>('Raw Data'!F975+Bill!$R$2)</f>
        <v>20</v>
      </c>
      <c r="I973" s="36">
        <f>'Raw Data'!G975/100</f>
        <v>0</v>
      </c>
      <c r="K973" s="37">
        <f>Bill!$Y973</f>
        <v>46531</v>
      </c>
      <c r="L973" s="38">
        <f>Bill!$AA973*('Raw Data'!$E975+$L$2)</f>
        <v>0</v>
      </c>
      <c r="M973" s="38">
        <f>Bill!$AB973*('Raw Data'!$E975+$M$2)</f>
        <v>0</v>
      </c>
      <c r="N973" s="38">
        <f>(('Raw Data'!$F975 * 2)-10)*Bill!$AC973</f>
        <v>0</v>
      </c>
      <c r="O973" s="38">
        <f>('Raw Data'!F975+Bill!$O$2)*Bill!$AD973</f>
        <v>0</v>
      </c>
      <c r="P973" s="38">
        <f>('Raw Data'!F975+Bill!$P$2)*Bill!$AE973</f>
        <v>0</v>
      </c>
      <c r="Q973" s="38">
        <f>Bill!$Z973*('Raw Data'!$E975+$Q$2)</f>
        <v>0</v>
      </c>
      <c r="R973" s="38">
        <f>('Raw Data'!F975+Bill!$R$2)*Bill!$AF973</f>
        <v>0</v>
      </c>
      <c r="S973" s="48">
        <f>('Raw Data'!G975/100)*Bill!$AG973</f>
        <v>0</v>
      </c>
      <c r="T973" s="38">
        <f>SUM(Bill!$L973:$R973)</f>
        <v>0</v>
      </c>
      <c r="U973" s="53"/>
      <c r="V973" s="50"/>
      <c r="W973" s="38">
        <f>Bill!$U973-Bill!$T973</f>
        <v>0</v>
      </c>
      <c r="Y973" s="37">
        <f>'Raw Data'!D975</f>
        <v>46531</v>
      </c>
      <c r="Z973" s="47">
        <v>0.0</v>
      </c>
      <c r="AA973" s="47"/>
      <c r="AB973" s="47"/>
      <c r="AC973" s="47"/>
      <c r="AD973" s="47"/>
      <c r="AE973" s="47"/>
      <c r="AF973" s="47"/>
      <c r="AG973" s="47"/>
    </row>
    <row r="974" ht="15.75" customHeight="1">
      <c r="A974" s="35">
        <f>Bill!$Y974</f>
        <v>46532</v>
      </c>
      <c r="B974" s="43">
        <f>'Raw Data'!E976+Bill!$L$2</f>
        <v>20</v>
      </c>
      <c r="C974" s="43">
        <f>'Raw Data'!E976+Bill!$M$2</f>
        <v>25</v>
      </c>
      <c r="D974" s="43">
        <f>('Raw Data'!$F976*2)-10</f>
        <v>-10</v>
      </c>
      <c r="E974" s="43">
        <f>'Raw Data'!F976+Bill!$O$2</f>
        <v>20</v>
      </c>
      <c r="F974" s="43">
        <f>'Raw Data'!F976+Bill!$P$2</f>
        <v>25</v>
      </c>
      <c r="G974" s="43">
        <f>'Raw Data'!E976+Bill!$Q$2</f>
        <v>50</v>
      </c>
      <c r="H974" s="43">
        <f>('Raw Data'!F976+Bill!$R$2)</f>
        <v>20</v>
      </c>
      <c r="I974" s="36">
        <f>'Raw Data'!G976/100</f>
        <v>0</v>
      </c>
      <c r="K974" s="37">
        <f>Bill!$Y974</f>
        <v>46532</v>
      </c>
      <c r="L974" s="38">
        <f>Bill!$AA974*('Raw Data'!$E976+$L$2)</f>
        <v>0</v>
      </c>
      <c r="M974" s="38">
        <f>Bill!$AB974*('Raw Data'!$E976+$M$2)</f>
        <v>0</v>
      </c>
      <c r="N974" s="38">
        <f>(('Raw Data'!$F976 * 2)-10)*Bill!$AC974</f>
        <v>0</v>
      </c>
      <c r="O974" s="38">
        <f>('Raw Data'!F976+Bill!$O$2)*Bill!$AD974</f>
        <v>0</v>
      </c>
      <c r="P974" s="38">
        <f>('Raw Data'!F976+Bill!$P$2)*Bill!$AE974</f>
        <v>0</v>
      </c>
      <c r="Q974" s="38">
        <f>Bill!$Z974*('Raw Data'!$E976+$Q$2)</f>
        <v>0</v>
      </c>
      <c r="R974" s="38">
        <f>('Raw Data'!F976+Bill!$R$2)*Bill!$AF974</f>
        <v>0</v>
      </c>
      <c r="S974" s="48">
        <f>('Raw Data'!G976/100)*Bill!$AG974</f>
        <v>0</v>
      </c>
      <c r="T974" s="38">
        <f>SUM(Bill!$L974:$R974)</f>
        <v>0</v>
      </c>
      <c r="U974" s="53"/>
      <c r="V974" s="50"/>
      <c r="W974" s="38">
        <f>Bill!$U974-Bill!$T974</f>
        <v>0</v>
      </c>
      <c r="Y974" s="37">
        <f>'Raw Data'!D976</f>
        <v>46532</v>
      </c>
      <c r="Z974" s="47">
        <v>0.0</v>
      </c>
      <c r="AA974" s="47"/>
      <c r="AB974" s="47"/>
      <c r="AC974" s="47"/>
      <c r="AD974" s="47"/>
      <c r="AE974" s="47"/>
      <c r="AF974" s="47"/>
      <c r="AG974" s="47"/>
    </row>
    <row r="975" ht="15.75" customHeight="1">
      <c r="A975" s="35">
        <f>Bill!$Y975</f>
        <v>46533</v>
      </c>
      <c r="B975" s="43">
        <f>'Raw Data'!E977+Bill!$L$2</f>
        <v>20</v>
      </c>
      <c r="C975" s="43">
        <f>'Raw Data'!E977+Bill!$M$2</f>
        <v>25</v>
      </c>
      <c r="D975" s="43">
        <f>('Raw Data'!$F977*2)-10</f>
        <v>-10</v>
      </c>
      <c r="E975" s="43">
        <f>'Raw Data'!F977+Bill!$O$2</f>
        <v>20</v>
      </c>
      <c r="F975" s="43">
        <f>'Raw Data'!F977+Bill!$P$2</f>
        <v>25</v>
      </c>
      <c r="G975" s="43">
        <f>'Raw Data'!E977+Bill!$Q$2</f>
        <v>50</v>
      </c>
      <c r="H975" s="43">
        <f>('Raw Data'!F977+Bill!$R$2)</f>
        <v>20</v>
      </c>
      <c r="I975" s="36">
        <f>'Raw Data'!G977/100</f>
        <v>0</v>
      </c>
      <c r="K975" s="37">
        <f>Bill!$Y975</f>
        <v>46533</v>
      </c>
      <c r="L975" s="38">
        <f>Bill!$AA975*('Raw Data'!$E977+$L$2)</f>
        <v>0</v>
      </c>
      <c r="M975" s="38">
        <f>Bill!$AB975*('Raw Data'!$E977+$M$2)</f>
        <v>0</v>
      </c>
      <c r="N975" s="38">
        <f>(('Raw Data'!$F977 * 2)-10)*Bill!$AC975</f>
        <v>0</v>
      </c>
      <c r="O975" s="38">
        <f>('Raw Data'!F977+Bill!$O$2)*Bill!$AD975</f>
        <v>0</v>
      </c>
      <c r="P975" s="38">
        <f>('Raw Data'!F977+Bill!$P$2)*Bill!$AE975</f>
        <v>0</v>
      </c>
      <c r="Q975" s="38">
        <f>Bill!$Z975*('Raw Data'!$E977+$Q$2)</f>
        <v>0</v>
      </c>
      <c r="R975" s="38">
        <f>('Raw Data'!F977+Bill!$R$2)*Bill!$AF975</f>
        <v>0</v>
      </c>
      <c r="S975" s="48">
        <f>('Raw Data'!G977/100)*Bill!$AG975</f>
        <v>0</v>
      </c>
      <c r="T975" s="38">
        <f>SUM(Bill!$L975:$R975)</f>
        <v>0</v>
      </c>
      <c r="U975" s="53"/>
      <c r="V975" s="50"/>
      <c r="W975" s="38">
        <f>Bill!$U975-Bill!$T975</f>
        <v>0</v>
      </c>
      <c r="Y975" s="37">
        <f>'Raw Data'!D977</f>
        <v>46533</v>
      </c>
      <c r="Z975" s="47">
        <v>0.0</v>
      </c>
      <c r="AA975" s="47"/>
      <c r="AB975" s="47"/>
      <c r="AC975" s="47"/>
      <c r="AD975" s="47"/>
      <c r="AE975" s="47"/>
      <c r="AF975" s="47"/>
      <c r="AG975" s="47"/>
    </row>
    <row r="976" ht="15.75" customHeight="1">
      <c r="A976" s="35">
        <f>Bill!$Y976</f>
        <v>46534</v>
      </c>
      <c r="B976" s="43">
        <f>'Raw Data'!E978+Bill!$L$2</f>
        <v>20</v>
      </c>
      <c r="C976" s="43">
        <f>'Raw Data'!E978+Bill!$M$2</f>
        <v>25</v>
      </c>
      <c r="D976" s="43">
        <f>('Raw Data'!$F978*2)-10</f>
        <v>-10</v>
      </c>
      <c r="E976" s="43">
        <f>'Raw Data'!F978+Bill!$O$2</f>
        <v>20</v>
      </c>
      <c r="F976" s="43">
        <f>'Raw Data'!F978+Bill!$P$2</f>
        <v>25</v>
      </c>
      <c r="G976" s="43">
        <f>'Raw Data'!E978+Bill!$Q$2</f>
        <v>50</v>
      </c>
      <c r="H976" s="43">
        <f>('Raw Data'!F978+Bill!$R$2)</f>
        <v>20</v>
      </c>
      <c r="I976" s="36">
        <f>'Raw Data'!G978/100</f>
        <v>0</v>
      </c>
      <c r="K976" s="37">
        <f>Bill!$Y976</f>
        <v>46534</v>
      </c>
      <c r="L976" s="38">
        <f>Bill!$AA976*('Raw Data'!$E978+$L$2)</f>
        <v>0</v>
      </c>
      <c r="M976" s="38">
        <f>Bill!$AB976*('Raw Data'!$E978+$M$2)</f>
        <v>0</v>
      </c>
      <c r="N976" s="38">
        <f>(('Raw Data'!$F978 * 2)-10)*Bill!$AC976</f>
        <v>0</v>
      </c>
      <c r="O976" s="38">
        <f>('Raw Data'!F978+Bill!$O$2)*Bill!$AD976</f>
        <v>0</v>
      </c>
      <c r="P976" s="38">
        <f>('Raw Data'!F978+Bill!$P$2)*Bill!$AE976</f>
        <v>0</v>
      </c>
      <c r="Q976" s="38">
        <f>Bill!$Z976*('Raw Data'!$E978+$Q$2)</f>
        <v>0</v>
      </c>
      <c r="R976" s="38">
        <f>('Raw Data'!F978+Bill!$R$2)*Bill!$AF976</f>
        <v>0</v>
      </c>
      <c r="S976" s="48">
        <f>('Raw Data'!G978/100)*Bill!$AG976</f>
        <v>0</v>
      </c>
      <c r="T976" s="38">
        <f>SUM(Bill!$L976:$R976)</f>
        <v>0</v>
      </c>
      <c r="U976" s="53"/>
      <c r="V976" s="50"/>
      <c r="W976" s="38">
        <f>Bill!$U976-Bill!$T976</f>
        <v>0</v>
      </c>
      <c r="Y976" s="37">
        <f>'Raw Data'!D978</f>
        <v>46534</v>
      </c>
      <c r="Z976" s="47">
        <v>0.0</v>
      </c>
      <c r="AA976" s="47"/>
      <c r="AB976" s="47"/>
      <c r="AC976" s="47"/>
      <c r="AD976" s="47"/>
      <c r="AE976" s="47"/>
      <c r="AF976" s="47"/>
      <c r="AG976" s="47"/>
    </row>
    <row r="977" ht="15.75" customHeight="1">
      <c r="A977" s="35">
        <f>Bill!$Y977</f>
        <v>46535</v>
      </c>
      <c r="B977" s="43">
        <f>'Raw Data'!E979+Bill!$L$2</f>
        <v>20</v>
      </c>
      <c r="C977" s="43">
        <f>'Raw Data'!E979+Bill!$M$2</f>
        <v>25</v>
      </c>
      <c r="D977" s="43">
        <f>('Raw Data'!$F979*2)-10</f>
        <v>-10</v>
      </c>
      <c r="E977" s="43">
        <f>'Raw Data'!F979+Bill!$O$2</f>
        <v>20</v>
      </c>
      <c r="F977" s="43">
        <f>'Raw Data'!F979+Bill!$P$2</f>
        <v>25</v>
      </c>
      <c r="G977" s="43">
        <f>'Raw Data'!E979+Bill!$Q$2</f>
        <v>50</v>
      </c>
      <c r="H977" s="43">
        <f>('Raw Data'!F979+Bill!$R$2)</f>
        <v>20</v>
      </c>
      <c r="I977" s="36">
        <f>'Raw Data'!G979/100</f>
        <v>0</v>
      </c>
      <c r="K977" s="37">
        <f>Bill!$Y977</f>
        <v>46535</v>
      </c>
      <c r="L977" s="38">
        <f>Bill!$AA977*('Raw Data'!$E979+$L$2)</f>
        <v>0</v>
      </c>
      <c r="M977" s="38">
        <f>Bill!$AB977*('Raw Data'!$E979+$M$2)</f>
        <v>0</v>
      </c>
      <c r="N977" s="38">
        <f>(('Raw Data'!$F979 * 2)-10)*Bill!$AC977</f>
        <v>0</v>
      </c>
      <c r="O977" s="38">
        <f>('Raw Data'!F979+Bill!$O$2)*Bill!$AD977</f>
        <v>0</v>
      </c>
      <c r="P977" s="38">
        <f>('Raw Data'!F979+Bill!$P$2)*Bill!$AE977</f>
        <v>0</v>
      </c>
      <c r="Q977" s="38">
        <f>Bill!$Z977*('Raw Data'!$E979+$Q$2)</f>
        <v>0</v>
      </c>
      <c r="R977" s="38">
        <f>('Raw Data'!F979+Bill!$R$2)*Bill!$AF977</f>
        <v>0</v>
      </c>
      <c r="S977" s="48">
        <f>('Raw Data'!G979/100)*Bill!$AG977</f>
        <v>0</v>
      </c>
      <c r="T977" s="38">
        <f>SUM(Bill!$L977:$R977)</f>
        <v>0</v>
      </c>
      <c r="U977" s="53"/>
      <c r="V977" s="50"/>
      <c r="W977" s="38">
        <f>Bill!$U977-Bill!$T977</f>
        <v>0</v>
      </c>
      <c r="Y977" s="37">
        <f>'Raw Data'!D979</f>
        <v>46535</v>
      </c>
      <c r="Z977" s="47">
        <v>0.0</v>
      </c>
      <c r="AA977" s="47"/>
      <c r="AB977" s="47"/>
      <c r="AC977" s="47"/>
      <c r="AD977" s="47"/>
      <c r="AE977" s="47"/>
      <c r="AF977" s="47"/>
      <c r="AG977" s="47"/>
    </row>
    <row r="978" ht="15.75" customHeight="1">
      <c r="A978" s="35">
        <f>Bill!$Y978</f>
        <v>46536</v>
      </c>
      <c r="B978" s="43">
        <f>'Raw Data'!E980+Bill!$L$2</f>
        <v>20</v>
      </c>
      <c r="C978" s="43">
        <f>'Raw Data'!E980+Bill!$M$2</f>
        <v>25</v>
      </c>
      <c r="D978" s="43">
        <f>('Raw Data'!$F980*2)-10</f>
        <v>-10</v>
      </c>
      <c r="E978" s="43">
        <f>'Raw Data'!F980+Bill!$O$2</f>
        <v>20</v>
      </c>
      <c r="F978" s="43">
        <f>'Raw Data'!F980+Bill!$P$2</f>
        <v>25</v>
      </c>
      <c r="G978" s="43">
        <f>'Raw Data'!E980+Bill!$Q$2</f>
        <v>50</v>
      </c>
      <c r="H978" s="43">
        <f>('Raw Data'!F980+Bill!$R$2)</f>
        <v>20</v>
      </c>
      <c r="I978" s="36">
        <f>'Raw Data'!G980/100</f>
        <v>0</v>
      </c>
      <c r="K978" s="37">
        <f>Bill!$Y978</f>
        <v>46536</v>
      </c>
      <c r="L978" s="38">
        <f>Bill!$AA978*('Raw Data'!$E980+$L$2)</f>
        <v>0</v>
      </c>
      <c r="M978" s="38">
        <f>Bill!$AB978*('Raw Data'!$E980+$M$2)</f>
        <v>0</v>
      </c>
      <c r="N978" s="38">
        <f>(('Raw Data'!$F980 * 2)-10)*Bill!$AC978</f>
        <v>0</v>
      </c>
      <c r="O978" s="38">
        <f>('Raw Data'!F980+Bill!$O$2)*Bill!$AD978</f>
        <v>0</v>
      </c>
      <c r="P978" s="38">
        <f>('Raw Data'!F980+Bill!$P$2)*Bill!$AE978</f>
        <v>0</v>
      </c>
      <c r="Q978" s="38">
        <f>Bill!$Z978*('Raw Data'!$E980+$Q$2)</f>
        <v>0</v>
      </c>
      <c r="R978" s="38">
        <f>('Raw Data'!F980+Bill!$R$2)*Bill!$AF978</f>
        <v>0</v>
      </c>
      <c r="S978" s="48">
        <f>('Raw Data'!G980/100)*Bill!$AG978</f>
        <v>0</v>
      </c>
      <c r="T978" s="38">
        <f>SUM(Bill!$L978:$R978)</f>
        <v>0</v>
      </c>
      <c r="U978" s="53"/>
      <c r="V978" s="50"/>
      <c r="W978" s="38">
        <f>Bill!$U978-Bill!$T978</f>
        <v>0</v>
      </c>
      <c r="Y978" s="37">
        <f>'Raw Data'!D980</f>
        <v>46536</v>
      </c>
      <c r="Z978" s="47">
        <v>0.0</v>
      </c>
      <c r="AA978" s="47"/>
      <c r="AB978" s="47"/>
      <c r="AC978" s="47"/>
      <c r="AD978" s="47"/>
      <c r="AE978" s="47"/>
      <c r="AF978" s="47"/>
      <c r="AG978" s="47"/>
    </row>
    <row r="979" ht="15.75" customHeight="1">
      <c r="A979" s="35">
        <f>Bill!$Y979</f>
        <v>46537</v>
      </c>
      <c r="B979" s="43">
        <f>'Raw Data'!E981+Bill!$L$2</f>
        <v>20</v>
      </c>
      <c r="C979" s="43">
        <f>'Raw Data'!E981+Bill!$M$2</f>
        <v>25</v>
      </c>
      <c r="D979" s="43">
        <f>('Raw Data'!$F981*2)-10</f>
        <v>-10</v>
      </c>
      <c r="E979" s="43">
        <f>'Raw Data'!F981+Bill!$O$2</f>
        <v>20</v>
      </c>
      <c r="F979" s="43">
        <f>'Raw Data'!F981+Bill!$P$2</f>
        <v>25</v>
      </c>
      <c r="G979" s="43">
        <f>'Raw Data'!E981+Bill!$Q$2</f>
        <v>50</v>
      </c>
      <c r="H979" s="43">
        <f>('Raw Data'!F981+Bill!$R$2)</f>
        <v>20</v>
      </c>
      <c r="I979" s="36">
        <f>'Raw Data'!G981/100</f>
        <v>0</v>
      </c>
      <c r="K979" s="37">
        <f>Bill!$Y979</f>
        <v>46537</v>
      </c>
      <c r="L979" s="38">
        <f>Bill!$AA979*('Raw Data'!$E981+$L$2)</f>
        <v>0</v>
      </c>
      <c r="M979" s="38">
        <f>Bill!$AB979*('Raw Data'!$E981+$M$2)</f>
        <v>0</v>
      </c>
      <c r="N979" s="38">
        <f>(('Raw Data'!$F981 * 2)-10)*Bill!$AC979</f>
        <v>0</v>
      </c>
      <c r="O979" s="38">
        <f>('Raw Data'!F981+Bill!$O$2)*Bill!$AD979</f>
        <v>0</v>
      </c>
      <c r="P979" s="38">
        <f>('Raw Data'!F981+Bill!$P$2)*Bill!$AE979</f>
        <v>0</v>
      </c>
      <c r="Q979" s="38">
        <f>Bill!$Z979*('Raw Data'!$E981+$Q$2)</f>
        <v>0</v>
      </c>
      <c r="R979" s="38">
        <f>('Raw Data'!F981+Bill!$R$2)*Bill!$AF979</f>
        <v>0</v>
      </c>
      <c r="S979" s="48">
        <f>('Raw Data'!G981/100)*Bill!$AG979</f>
        <v>0</v>
      </c>
      <c r="T979" s="38">
        <f>SUM(Bill!$L979:$R979)</f>
        <v>0</v>
      </c>
      <c r="U979" s="53"/>
      <c r="V979" s="50"/>
      <c r="W979" s="38">
        <f>Bill!$U979-Bill!$T979</f>
        <v>0</v>
      </c>
      <c r="Y979" s="37">
        <f>'Raw Data'!D981</f>
        <v>46537</v>
      </c>
      <c r="Z979" s="47">
        <v>0.0</v>
      </c>
      <c r="AA979" s="47"/>
      <c r="AB979" s="47"/>
      <c r="AC979" s="47"/>
      <c r="AD979" s="47"/>
      <c r="AE979" s="47"/>
      <c r="AF979" s="47"/>
      <c r="AG979" s="47"/>
    </row>
    <row r="980" ht="15.75" customHeight="1">
      <c r="A980" s="35">
        <f>Bill!$Y980</f>
        <v>46538</v>
      </c>
      <c r="B980" s="43">
        <f>'Raw Data'!E982+Bill!$L$2</f>
        <v>20</v>
      </c>
      <c r="C980" s="43">
        <f>'Raw Data'!E982+Bill!$M$2</f>
        <v>25</v>
      </c>
      <c r="D980" s="43">
        <f>('Raw Data'!$F982*2)-10</f>
        <v>-10</v>
      </c>
      <c r="E980" s="43">
        <f>'Raw Data'!F982+Bill!$O$2</f>
        <v>20</v>
      </c>
      <c r="F980" s="43">
        <f>'Raw Data'!F982+Bill!$P$2</f>
        <v>25</v>
      </c>
      <c r="G980" s="43">
        <f>'Raw Data'!E982+Bill!$Q$2</f>
        <v>50</v>
      </c>
      <c r="H980" s="43">
        <f>('Raw Data'!F982+Bill!$R$2)</f>
        <v>20</v>
      </c>
      <c r="I980" s="36">
        <f>'Raw Data'!G982/100</f>
        <v>0</v>
      </c>
      <c r="K980" s="37">
        <f>Bill!$Y980</f>
        <v>46538</v>
      </c>
      <c r="L980" s="38">
        <f>Bill!$AA980*('Raw Data'!$E982+$L$2)</f>
        <v>0</v>
      </c>
      <c r="M980" s="38">
        <f>Bill!$AB980*('Raw Data'!$E982+$M$2)</f>
        <v>0</v>
      </c>
      <c r="N980" s="38">
        <f>(('Raw Data'!$F982 * 2)-10)*Bill!$AC980</f>
        <v>0</v>
      </c>
      <c r="O980" s="38">
        <f>('Raw Data'!F982+Bill!$O$2)*Bill!$AD980</f>
        <v>0</v>
      </c>
      <c r="P980" s="38">
        <f>('Raw Data'!F982+Bill!$P$2)*Bill!$AE980</f>
        <v>0</v>
      </c>
      <c r="Q980" s="38">
        <f>Bill!$Z980*('Raw Data'!$E982+$Q$2)</f>
        <v>0</v>
      </c>
      <c r="R980" s="38">
        <f>('Raw Data'!F982+Bill!$R$2)*Bill!$AF980</f>
        <v>0</v>
      </c>
      <c r="S980" s="48">
        <f>('Raw Data'!G982/100)*Bill!$AG980</f>
        <v>0</v>
      </c>
      <c r="T980" s="38">
        <f>SUM(Bill!$L980:$R980)</f>
        <v>0</v>
      </c>
      <c r="U980" s="53"/>
      <c r="V980" s="50"/>
      <c r="W980" s="38">
        <f>Bill!$U980-Bill!$T980</f>
        <v>0</v>
      </c>
      <c r="Y980" s="37">
        <f>'Raw Data'!D982</f>
        <v>46538</v>
      </c>
      <c r="Z980" s="47">
        <v>0.0</v>
      </c>
      <c r="AA980" s="47"/>
      <c r="AB980" s="47"/>
      <c r="AC980" s="47"/>
      <c r="AD980" s="47"/>
      <c r="AE980" s="47"/>
      <c r="AF980" s="47"/>
      <c r="AG980" s="47"/>
    </row>
    <row r="981" ht="15.75" customHeight="1">
      <c r="A981" s="35">
        <f>Bill!$Y981</f>
        <v>46539</v>
      </c>
      <c r="B981" s="43">
        <f>'Raw Data'!E983+Bill!$L$2</f>
        <v>20</v>
      </c>
      <c r="C981" s="43">
        <f>'Raw Data'!E983+Bill!$M$2</f>
        <v>25</v>
      </c>
      <c r="D981" s="43">
        <f>('Raw Data'!$F983*2)-10</f>
        <v>-10</v>
      </c>
      <c r="E981" s="43">
        <f>'Raw Data'!F983+Bill!$O$2</f>
        <v>20</v>
      </c>
      <c r="F981" s="43">
        <f>'Raw Data'!F983+Bill!$P$2</f>
        <v>25</v>
      </c>
      <c r="G981" s="43">
        <f>'Raw Data'!E983+Bill!$Q$2</f>
        <v>50</v>
      </c>
      <c r="H981" s="43">
        <f>('Raw Data'!F983+Bill!$R$2)</f>
        <v>20</v>
      </c>
      <c r="I981" s="36">
        <f>'Raw Data'!G983/100</f>
        <v>0</v>
      </c>
      <c r="K981" s="37">
        <f>Bill!$Y981</f>
        <v>46539</v>
      </c>
      <c r="L981" s="38">
        <f>Bill!$AA981*('Raw Data'!$E983+$L$2)</f>
        <v>0</v>
      </c>
      <c r="M981" s="38">
        <f>Bill!$AB981*('Raw Data'!$E983+$M$2)</f>
        <v>0</v>
      </c>
      <c r="N981" s="38">
        <f>(('Raw Data'!$F983 * 2)-10)*Bill!$AC981</f>
        <v>0</v>
      </c>
      <c r="O981" s="38">
        <f>('Raw Data'!F983+Bill!$O$2)*Bill!$AD981</f>
        <v>0</v>
      </c>
      <c r="P981" s="38">
        <f>('Raw Data'!F983+Bill!$P$2)*Bill!$AE981</f>
        <v>0</v>
      </c>
      <c r="Q981" s="38">
        <f>Bill!$Z981*('Raw Data'!$E983+$Q$2)</f>
        <v>0</v>
      </c>
      <c r="R981" s="38">
        <f>('Raw Data'!F983+Bill!$R$2)*Bill!$AF981</f>
        <v>0</v>
      </c>
      <c r="S981" s="48">
        <f>('Raw Data'!G983/100)*Bill!$AG981</f>
        <v>0</v>
      </c>
      <c r="T981" s="38">
        <f>SUM(Bill!$L981:$R981)</f>
        <v>0</v>
      </c>
      <c r="U981" s="53"/>
      <c r="V981" s="50"/>
      <c r="W981" s="38">
        <f>Bill!$U981-Bill!$T981</f>
        <v>0</v>
      </c>
      <c r="Y981" s="37">
        <f>'Raw Data'!D983</f>
        <v>46539</v>
      </c>
      <c r="Z981" s="47">
        <v>0.0</v>
      </c>
      <c r="AA981" s="47"/>
      <c r="AB981" s="47"/>
      <c r="AC981" s="47"/>
      <c r="AD981" s="47"/>
      <c r="AE981" s="47"/>
      <c r="AF981" s="47"/>
      <c r="AG981" s="47"/>
    </row>
    <row r="982" ht="15.75" customHeight="1">
      <c r="A982" s="35">
        <f>Bill!$Y982</f>
        <v>46540</v>
      </c>
      <c r="B982" s="43">
        <f>'Raw Data'!E984+Bill!$L$2</f>
        <v>20</v>
      </c>
      <c r="C982" s="43">
        <f>'Raw Data'!E984+Bill!$M$2</f>
        <v>25</v>
      </c>
      <c r="D982" s="43">
        <f>('Raw Data'!$F984*2)-10</f>
        <v>-10</v>
      </c>
      <c r="E982" s="43">
        <f>'Raw Data'!F984+Bill!$O$2</f>
        <v>20</v>
      </c>
      <c r="F982" s="43">
        <f>'Raw Data'!F984+Bill!$P$2</f>
        <v>25</v>
      </c>
      <c r="G982" s="43">
        <f>'Raw Data'!E984+Bill!$Q$2</f>
        <v>50</v>
      </c>
      <c r="H982" s="43">
        <f>('Raw Data'!F984+Bill!$R$2)</f>
        <v>20</v>
      </c>
      <c r="I982" s="36">
        <f>'Raw Data'!G984/100</f>
        <v>0</v>
      </c>
      <c r="K982" s="37">
        <f>Bill!$Y982</f>
        <v>46540</v>
      </c>
      <c r="L982" s="38">
        <f>Bill!$AA982*('Raw Data'!$E984+$L$2)</f>
        <v>0</v>
      </c>
      <c r="M982" s="38">
        <f>Bill!$AB982*('Raw Data'!$E984+$M$2)</f>
        <v>0</v>
      </c>
      <c r="N982" s="38">
        <f>(('Raw Data'!$F984 * 2)-10)*Bill!$AC982</f>
        <v>0</v>
      </c>
      <c r="O982" s="38">
        <f>('Raw Data'!F984+Bill!$O$2)*Bill!$AD982</f>
        <v>0</v>
      </c>
      <c r="P982" s="38">
        <f>('Raw Data'!F984+Bill!$P$2)*Bill!$AE982</f>
        <v>0</v>
      </c>
      <c r="Q982" s="38">
        <f>Bill!$Z982*('Raw Data'!$E984+$Q$2)</f>
        <v>0</v>
      </c>
      <c r="R982" s="38">
        <f>('Raw Data'!F984+Bill!$R$2)*Bill!$AF982</f>
        <v>0</v>
      </c>
      <c r="S982" s="48">
        <f>('Raw Data'!G984/100)*Bill!$AG982</f>
        <v>0</v>
      </c>
      <c r="T982" s="38">
        <f>SUM(Bill!$L982:$R982)</f>
        <v>0</v>
      </c>
      <c r="U982" s="53"/>
      <c r="V982" s="50"/>
      <c r="W982" s="38">
        <f>Bill!$U982-Bill!$T982</f>
        <v>0</v>
      </c>
      <c r="Y982" s="37">
        <f>'Raw Data'!D984</f>
        <v>46540</v>
      </c>
      <c r="Z982" s="47">
        <v>0.0</v>
      </c>
      <c r="AA982" s="47"/>
      <c r="AB982" s="47"/>
      <c r="AC982" s="47"/>
      <c r="AD982" s="47"/>
      <c r="AE982" s="47"/>
      <c r="AF982" s="47"/>
      <c r="AG982" s="47"/>
    </row>
    <row r="983" ht="15.75" customHeight="1">
      <c r="A983" s="35">
        <f>Bill!$Y983</f>
        <v>46541</v>
      </c>
      <c r="B983" s="43">
        <f>'Raw Data'!E985+Bill!$L$2</f>
        <v>20</v>
      </c>
      <c r="C983" s="43">
        <f>'Raw Data'!E985+Bill!$M$2</f>
        <v>25</v>
      </c>
      <c r="D983" s="43">
        <f>('Raw Data'!$F985*2)-10</f>
        <v>-10</v>
      </c>
      <c r="E983" s="43">
        <f>'Raw Data'!F985+Bill!$O$2</f>
        <v>20</v>
      </c>
      <c r="F983" s="43">
        <f>'Raw Data'!F985+Bill!$P$2</f>
        <v>25</v>
      </c>
      <c r="G983" s="43">
        <f>'Raw Data'!E985+Bill!$Q$2</f>
        <v>50</v>
      </c>
      <c r="H983" s="43">
        <f>('Raw Data'!F985+Bill!$R$2)</f>
        <v>20</v>
      </c>
      <c r="I983" s="36">
        <f>'Raw Data'!G985/100</f>
        <v>0</v>
      </c>
      <c r="K983" s="37">
        <f>Bill!$Y983</f>
        <v>46541</v>
      </c>
      <c r="L983" s="38">
        <f>Bill!$AA983*('Raw Data'!$E985+$L$2)</f>
        <v>0</v>
      </c>
      <c r="M983" s="38">
        <f>Bill!$AB983*('Raw Data'!$E985+$M$2)</f>
        <v>0</v>
      </c>
      <c r="N983" s="38">
        <f>(('Raw Data'!$F985 * 2)-10)*Bill!$AC983</f>
        <v>0</v>
      </c>
      <c r="O983" s="38">
        <f>('Raw Data'!F985+Bill!$O$2)*Bill!$AD983</f>
        <v>0</v>
      </c>
      <c r="P983" s="38">
        <f>('Raw Data'!F985+Bill!$P$2)*Bill!$AE983</f>
        <v>0</v>
      </c>
      <c r="Q983" s="38">
        <f>Bill!$Z983*('Raw Data'!$E985+$Q$2)</f>
        <v>0</v>
      </c>
      <c r="R983" s="38">
        <f>('Raw Data'!F985+Bill!$R$2)*Bill!$AF983</f>
        <v>0</v>
      </c>
      <c r="S983" s="48">
        <f>('Raw Data'!G985/100)*Bill!$AG983</f>
        <v>0</v>
      </c>
      <c r="T983" s="38">
        <f>SUM(Bill!$L983:$R983)</f>
        <v>0</v>
      </c>
      <c r="U983" s="53"/>
      <c r="V983" s="50"/>
      <c r="W983" s="38">
        <f>Bill!$U983-Bill!$T983</f>
        <v>0</v>
      </c>
      <c r="Y983" s="37">
        <f>'Raw Data'!D985</f>
        <v>46541</v>
      </c>
      <c r="Z983" s="47">
        <v>0.0</v>
      </c>
      <c r="AA983" s="47"/>
      <c r="AB983" s="47"/>
      <c r="AC983" s="47"/>
      <c r="AD983" s="47"/>
      <c r="AE983" s="47"/>
      <c r="AF983" s="47"/>
      <c r="AG983" s="47"/>
    </row>
    <row r="984" ht="15.75" customHeight="1">
      <c r="A984" s="35">
        <f>Bill!$Y984</f>
        <v>46542</v>
      </c>
      <c r="B984" s="43">
        <f>'Raw Data'!E986+Bill!$L$2</f>
        <v>20</v>
      </c>
      <c r="C984" s="43">
        <f>'Raw Data'!E986+Bill!$M$2</f>
        <v>25</v>
      </c>
      <c r="D984" s="43">
        <f>('Raw Data'!$F986*2)-10</f>
        <v>-10</v>
      </c>
      <c r="E984" s="43">
        <f>'Raw Data'!F986+Bill!$O$2</f>
        <v>20</v>
      </c>
      <c r="F984" s="43">
        <f>'Raw Data'!F986+Bill!$P$2</f>
        <v>25</v>
      </c>
      <c r="G984" s="43">
        <f>'Raw Data'!E986+Bill!$Q$2</f>
        <v>50</v>
      </c>
      <c r="H984" s="43">
        <f>('Raw Data'!F986+Bill!$R$2)</f>
        <v>20</v>
      </c>
      <c r="I984" s="36">
        <f>'Raw Data'!G986/100</f>
        <v>0</v>
      </c>
      <c r="K984" s="37">
        <f>Bill!$Y984</f>
        <v>46542</v>
      </c>
      <c r="L984" s="38">
        <f>Bill!$AA984*('Raw Data'!$E986+$L$2)</f>
        <v>0</v>
      </c>
      <c r="M984" s="38">
        <f>Bill!$AB984*('Raw Data'!$E986+$M$2)</f>
        <v>0</v>
      </c>
      <c r="N984" s="38">
        <f>(('Raw Data'!$F986 * 2)-10)*Bill!$AC984</f>
        <v>0</v>
      </c>
      <c r="O984" s="38">
        <f>('Raw Data'!F986+Bill!$O$2)*Bill!$AD984</f>
        <v>0</v>
      </c>
      <c r="P984" s="38">
        <f>('Raw Data'!F986+Bill!$P$2)*Bill!$AE984</f>
        <v>0</v>
      </c>
      <c r="Q984" s="38">
        <f>Bill!$Z984*('Raw Data'!$E986+$Q$2)</f>
        <v>0</v>
      </c>
      <c r="R984" s="38">
        <f>('Raw Data'!F986+Bill!$R$2)*Bill!$AF984</f>
        <v>0</v>
      </c>
      <c r="S984" s="48">
        <f>('Raw Data'!G986/100)*Bill!$AG984</f>
        <v>0</v>
      </c>
      <c r="T984" s="38">
        <f>SUM(Bill!$L984:$R984)</f>
        <v>0</v>
      </c>
      <c r="U984" s="53"/>
      <c r="V984" s="50"/>
      <c r="W984" s="38">
        <f>Bill!$U984-Bill!$T984</f>
        <v>0</v>
      </c>
      <c r="Y984" s="37">
        <f>'Raw Data'!D986</f>
        <v>46542</v>
      </c>
      <c r="Z984" s="47">
        <v>0.0</v>
      </c>
      <c r="AA984" s="47"/>
      <c r="AB984" s="47"/>
      <c r="AC984" s="47"/>
      <c r="AD984" s="47"/>
      <c r="AE984" s="47"/>
      <c r="AF984" s="47"/>
      <c r="AG984" s="47"/>
    </row>
    <row r="985" ht="15.75" customHeight="1">
      <c r="A985" s="35">
        <f>Bill!$Y985</f>
        <v>46543</v>
      </c>
      <c r="B985" s="43">
        <f>'Raw Data'!E987+Bill!$L$2</f>
        <v>20</v>
      </c>
      <c r="C985" s="43">
        <f>'Raw Data'!E987+Bill!$M$2</f>
        <v>25</v>
      </c>
      <c r="D985" s="43">
        <f>('Raw Data'!$F987*2)-10</f>
        <v>-10</v>
      </c>
      <c r="E985" s="43">
        <f>'Raw Data'!F987+Bill!$O$2</f>
        <v>20</v>
      </c>
      <c r="F985" s="43">
        <f>'Raw Data'!F987+Bill!$P$2</f>
        <v>25</v>
      </c>
      <c r="G985" s="43">
        <f>'Raw Data'!E987+Bill!$Q$2</f>
        <v>50</v>
      </c>
      <c r="H985" s="43">
        <f>('Raw Data'!F987+Bill!$R$2)</f>
        <v>20</v>
      </c>
      <c r="I985" s="36">
        <f>'Raw Data'!G987/100</f>
        <v>0</v>
      </c>
      <c r="K985" s="37">
        <f>Bill!$Y985</f>
        <v>46543</v>
      </c>
      <c r="L985" s="38">
        <f>Bill!$AA985*('Raw Data'!$E987+$L$2)</f>
        <v>0</v>
      </c>
      <c r="M985" s="38">
        <f>Bill!$AB985*('Raw Data'!$E987+$M$2)</f>
        <v>0</v>
      </c>
      <c r="N985" s="38">
        <f>(('Raw Data'!$F987 * 2)-10)*Bill!$AC985</f>
        <v>0</v>
      </c>
      <c r="O985" s="38">
        <f>('Raw Data'!F987+Bill!$O$2)*Bill!$AD985</f>
        <v>0</v>
      </c>
      <c r="P985" s="38">
        <f>('Raw Data'!F987+Bill!$P$2)*Bill!$AE985</f>
        <v>0</v>
      </c>
      <c r="Q985" s="38">
        <f>Bill!$Z985*('Raw Data'!$E987+$Q$2)</f>
        <v>0</v>
      </c>
      <c r="R985" s="38">
        <f>('Raw Data'!F987+Bill!$R$2)*Bill!$AF985</f>
        <v>0</v>
      </c>
      <c r="S985" s="48">
        <f>('Raw Data'!G987/100)*Bill!$AG985</f>
        <v>0</v>
      </c>
      <c r="T985" s="38">
        <f>SUM(Bill!$L985:$R985)</f>
        <v>0</v>
      </c>
      <c r="U985" s="53"/>
      <c r="V985" s="50"/>
      <c r="W985" s="38">
        <f>Bill!$U985-Bill!$T985</f>
        <v>0</v>
      </c>
      <c r="Y985" s="37">
        <f>'Raw Data'!D987</f>
        <v>46543</v>
      </c>
      <c r="Z985" s="47">
        <v>0.0</v>
      </c>
      <c r="AA985" s="47"/>
      <c r="AB985" s="47"/>
      <c r="AC985" s="47"/>
      <c r="AD985" s="47"/>
      <c r="AE985" s="47"/>
      <c r="AF985" s="47"/>
      <c r="AG985" s="47"/>
    </row>
    <row r="986" ht="15.75" customHeight="1">
      <c r="A986" s="35">
        <f>Bill!$Y986</f>
        <v>46544</v>
      </c>
      <c r="B986" s="43">
        <f>'Raw Data'!E988+Bill!$L$2</f>
        <v>20</v>
      </c>
      <c r="C986" s="43">
        <f>'Raw Data'!E988+Bill!$M$2</f>
        <v>25</v>
      </c>
      <c r="D986" s="43">
        <f>('Raw Data'!$F988*2)-10</f>
        <v>-10</v>
      </c>
      <c r="E986" s="43">
        <f>'Raw Data'!F988+Bill!$O$2</f>
        <v>20</v>
      </c>
      <c r="F986" s="43">
        <f>'Raw Data'!F988+Bill!$P$2</f>
        <v>25</v>
      </c>
      <c r="G986" s="43">
        <f>'Raw Data'!E988+Bill!$Q$2</f>
        <v>50</v>
      </c>
      <c r="H986" s="43">
        <f>('Raw Data'!F988+Bill!$R$2)</f>
        <v>20</v>
      </c>
      <c r="I986" s="36">
        <f>'Raw Data'!G988/100</f>
        <v>0</v>
      </c>
      <c r="K986" s="37">
        <f>Bill!$Y986</f>
        <v>46544</v>
      </c>
      <c r="L986" s="38">
        <f>Bill!$AA986*('Raw Data'!$E988+$L$2)</f>
        <v>0</v>
      </c>
      <c r="M986" s="38">
        <f>Bill!$AB986*('Raw Data'!$E988+$M$2)</f>
        <v>0</v>
      </c>
      <c r="N986" s="38">
        <f>(('Raw Data'!$F988 * 2)-10)*Bill!$AC986</f>
        <v>0</v>
      </c>
      <c r="O986" s="38">
        <f>('Raw Data'!F988+Bill!$O$2)*Bill!$AD986</f>
        <v>0</v>
      </c>
      <c r="P986" s="38">
        <f>('Raw Data'!F988+Bill!$P$2)*Bill!$AE986</f>
        <v>0</v>
      </c>
      <c r="Q986" s="38">
        <f>Bill!$Z986*('Raw Data'!$E988+$Q$2)</f>
        <v>0</v>
      </c>
      <c r="R986" s="38">
        <f>('Raw Data'!F988+Bill!$R$2)*Bill!$AF986</f>
        <v>0</v>
      </c>
      <c r="S986" s="48">
        <f>('Raw Data'!G988/100)*Bill!$AG986</f>
        <v>0</v>
      </c>
      <c r="T986" s="38">
        <f>SUM(Bill!$L986:$R986)</f>
        <v>0</v>
      </c>
      <c r="U986" s="53"/>
      <c r="V986" s="50"/>
      <c r="W986" s="38">
        <f>Bill!$U986-Bill!$T986</f>
        <v>0</v>
      </c>
      <c r="Y986" s="37">
        <f>'Raw Data'!D988</f>
        <v>46544</v>
      </c>
      <c r="Z986" s="47">
        <v>0.0</v>
      </c>
      <c r="AA986" s="47"/>
      <c r="AB986" s="47"/>
      <c r="AC986" s="47"/>
      <c r="AD986" s="47"/>
      <c r="AE986" s="47"/>
      <c r="AF986" s="47"/>
      <c r="AG986" s="47"/>
    </row>
    <row r="987" ht="15.75" customHeight="1">
      <c r="A987" s="35">
        <f>Bill!$Y987</f>
        <v>46545</v>
      </c>
      <c r="B987" s="43">
        <f>'Raw Data'!E989+Bill!$L$2</f>
        <v>20</v>
      </c>
      <c r="C987" s="43">
        <f>'Raw Data'!E989+Bill!$M$2</f>
        <v>25</v>
      </c>
      <c r="D987" s="43">
        <f>('Raw Data'!$F989*2)-10</f>
        <v>-10</v>
      </c>
      <c r="E987" s="43">
        <f>'Raw Data'!F989+Bill!$O$2</f>
        <v>20</v>
      </c>
      <c r="F987" s="43">
        <f>'Raw Data'!F989+Bill!$P$2</f>
        <v>25</v>
      </c>
      <c r="G987" s="43">
        <f>'Raw Data'!E989+Bill!$Q$2</f>
        <v>50</v>
      </c>
      <c r="H987" s="43">
        <f>('Raw Data'!F989+Bill!$R$2)</f>
        <v>20</v>
      </c>
      <c r="I987" s="36">
        <f>'Raw Data'!G989/100</f>
        <v>0</v>
      </c>
      <c r="K987" s="37">
        <f>Bill!$Y987</f>
        <v>46545</v>
      </c>
      <c r="L987" s="38">
        <f>Bill!$AA987*('Raw Data'!$E989+$L$2)</f>
        <v>0</v>
      </c>
      <c r="M987" s="38">
        <f>Bill!$AB987*('Raw Data'!$E989+$M$2)</f>
        <v>0</v>
      </c>
      <c r="N987" s="38">
        <f>(('Raw Data'!$F989 * 2)-10)*Bill!$AC987</f>
        <v>0</v>
      </c>
      <c r="O987" s="38">
        <f>('Raw Data'!F989+Bill!$O$2)*Bill!$AD987</f>
        <v>0</v>
      </c>
      <c r="P987" s="38">
        <f>('Raw Data'!F989+Bill!$P$2)*Bill!$AE987</f>
        <v>0</v>
      </c>
      <c r="Q987" s="38">
        <f>Bill!$Z987*('Raw Data'!$E989+$Q$2)</f>
        <v>0</v>
      </c>
      <c r="R987" s="38">
        <f>('Raw Data'!F989+Bill!$R$2)*Bill!$AF987</f>
        <v>0</v>
      </c>
      <c r="S987" s="48">
        <f>('Raw Data'!G989/100)*Bill!$AG987</f>
        <v>0</v>
      </c>
      <c r="T987" s="38">
        <f>SUM(Bill!$L987:$R987)</f>
        <v>0</v>
      </c>
      <c r="U987" s="53"/>
      <c r="V987" s="50"/>
      <c r="W987" s="38">
        <f>Bill!$U987-Bill!$T987</f>
        <v>0</v>
      </c>
      <c r="Y987" s="37">
        <f>'Raw Data'!D989</f>
        <v>46545</v>
      </c>
      <c r="Z987" s="47">
        <v>0.0</v>
      </c>
      <c r="AA987" s="47"/>
      <c r="AB987" s="47"/>
      <c r="AC987" s="47"/>
      <c r="AD987" s="47"/>
      <c r="AE987" s="47"/>
      <c r="AF987" s="47"/>
      <c r="AG987" s="47"/>
    </row>
    <row r="988" ht="15.75" customHeight="1">
      <c r="A988" s="35">
        <f>Bill!$Y988</f>
        <v>46546</v>
      </c>
      <c r="B988" s="43">
        <f>'Raw Data'!E990+Bill!$L$2</f>
        <v>20</v>
      </c>
      <c r="C988" s="43">
        <f>'Raw Data'!E990+Bill!$M$2</f>
        <v>25</v>
      </c>
      <c r="D988" s="43">
        <f>('Raw Data'!$F990*2)-10</f>
        <v>-10</v>
      </c>
      <c r="E988" s="43">
        <f>'Raw Data'!F990+Bill!$O$2</f>
        <v>20</v>
      </c>
      <c r="F988" s="43">
        <f>'Raw Data'!F990+Bill!$P$2</f>
        <v>25</v>
      </c>
      <c r="G988" s="43">
        <f>'Raw Data'!E990+Bill!$Q$2</f>
        <v>50</v>
      </c>
      <c r="H988" s="43">
        <f>('Raw Data'!F990+Bill!$R$2)</f>
        <v>20</v>
      </c>
      <c r="I988" s="36">
        <f>'Raw Data'!G990/100</f>
        <v>0</v>
      </c>
      <c r="K988" s="37">
        <f>Bill!$Y988</f>
        <v>46546</v>
      </c>
      <c r="L988" s="38">
        <f>Bill!$AA988*('Raw Data'!$E990+$L$2)</f>
        <v>0</v>
      </c>
      <c r="M988" s="38">
        <f>Bill!$AB988*('Raw Data'!$E990+$M$2)</f>
        <v>0</v>
      </c>
      <c r="N988" s="38">
        <f>(('Raw Data'!$F990 * 2)-10)*Bill!$AC988</f>
        <v>0</v>
      </c>
      <c r="O988" s="38">
        <f>('Raw Data'!F990+Bill!$O$2)*Bill!$AD988</f>
        <v>0</v>
      </c>
      <c r="P988" s="38">
        <f>('Raw Data'!F990+Bill!$P$2)*Bill!$AE988</f>
        <v>0</v>
      </c>
      <c r="Q988" s="38">
        <f>Bill!$Z988*('Raw Data'!$E990+$Q$2)</f>
        <v>0</v>
      </c>
      <c r="R988" s="38">
        <f>('Raw Data'!F990+Bill!$R$2)*Bill!$AF988</f>
        <v>0</v>
      </c>
      <c r="S988" s="48">
        <f>('Raw Data'!G990/100)*Bill!$AG988</f>
        <v>0</v>
      </c>
      <c r="T988" s="38">
        <f>SUM(Bill!$L988:$R988)</f>
        <v>0</v>
      </c>
      <c r="U988" s="53"/>
      <c r="V988" s="50"/>
      <c r="W988" s="38">
        <f>Bill!$U988-Bill!$T988</f>
        <v>0</v>
      </c>
      <c r="Y988" s="37">
        <f>'Raw Data'!D990</f>
        <v>46546</v>
      </c>
      <c r="Z988" s="47">
        <v>0.0</v>
      </c>
      <c r="AA988" s="47"/>
      <c r="AB988" s="47"/>
      <c r="AC988" s="47"/>
      <c r="AD988" s="47"/>
      <c r="AE988" s="47"/>
      <c r="AF988" s="47"/>
      <c r="AG988" s="47"/>
    </row>
    <row r="989" ht="15.75" customHeight="1">
      <c r="A989" s="35">
        <f>Bill!$Y989</f>
        <v>46547</v>
      </c>
      <c r="B989" s="43">
        <f>'Raw Data'!E991+Bill!$L$2</f>
        <v>20</v>
      </c>
      <c r="C989" s="43">
        <f>'Raw Data'!E991+Bill!$M$2</f>
        <v>25</v>
      </c>
      <c r="D989" s="43">
        <f>('Raw Data'!$F991*2)-10</f>
        <v>-10</v>
      </c>
      <c r="E989" s="43">
        <f>'Raw Data'!F991+Bill!$O$2</f>
        <v>20</v>
      </c>
      <c r="F989" s="43">
        <f>'Raw Data'!F991+Bill!$P$2</f>
        <v>25</v>
      </c>
      <c r="G989" s="43">
        <f>'Raw Data'!E991+Bill!$Q$2</f>
        <v>50</v>
      </c>
      <c r="H989" s="43">
        <f>('Raw Data'!F991+Bill!$R$2)</f>
        <v>20</v>
      </c>
      <c r="I989" s="36">
        <f>'Raw Data'!G991/100</f>
        <v>0</v>
      </c>
      <c r="K989" s="37">
        <f>Bill!$Y989</f>
        <v>46547</v>
      </c>
      <c r="L989" s="38">
        <f>Bill!$AA989*('Raw Data'!$E991+$L$2)</f>
        <v>0</v>
      </c>
      <c r="M989" s="38">
        <f>Bill!$AB989*('Raw Data'!$E991+$M$2)</f>
        <v>0</v>
      </c>
      <c r="N989" s="38">
        <f>(('Raw Data'!$F991 * 2)-10)*Bill!$AC989</f>
        <v>0</v>
      </c>
      <c r="O989" s="38">
        <f>('Raw Data'!F991+Bill!$O$2)*Bill!$AD989</f>
        <v>0</v>
      </c>
      <c r="P989" s="38">
        <f>('Raw Data'!F991+Bill!$P$2)*Bill!$AE989</f>
        <v>0</v>
      </c>
      <c r="Q989" s="38">
        <f>Bill!$Z989*('Raw Data'!$E991+$Q$2)</f>
        <v>0</v>
      </c>
      <c r="R989" s="38">
        <f>('Raw Data'!F991+Bill!$R$2)*Bill!$AF989</f>
        <v>0</v>
      </c>
      <c r="S989" s="48">
        <f>('Raw Data'!G991/100)*Bill!$AG989</f>
        <v>0</v>
      </c>
      <c r="T989" s="38">
        <f>SUM(Bill!$L989:$R989)</f>
        <v>0</v>
      </c>
      <c r="U989" s="53"/>
      <c r="V989" s="50"/>
      <c r="W989" s="38">
        <f>Bill!$U989-Bill!$T989</f>
        <v>0</v>
      </c>
      <c r="Y989" s="37">
        <f>'Raw Data'!D991</f>
        <v>46547</v>
      </c>
      <c r="Z989" s="47">
        <v>0.0</v>
      </c>
      <c r="AA989" s="47"/>
      <c r="AB989" s="47"/>
      <c r="AC989" s="47"/>
      <c r="AD989" s="47"/>
      <c r="AE989" s="47"/>
      <c r="AF989" s="47"/>
      <c r="AG989" s="47"/>
    </row>
    <row r="990" ht="15.75" customHeight="1">
      <c r="A990" s="35">
        <f>Bill!$Y990</f>
        <v>46548</v>
      </c>
      <c r="B990" s="43">
        <f>'Raw Data'!E992+Bill!$L$2</f>
        <v>20</v>
      </c>
      <c r="C990" s="43">
        <f>'Raw Data'!E992+Bill!$M$2</f>
        <v>25</v>
      </c>
      <c r="D990" s="43">
        <f>('Raw Data'!$F992*2)-10</f>
        <v>-10</v>
      </c>
      <c r="E990" s="43">
        <f>'Raw Data'!F992+Bill!$O$2</f>
        <v>20</v>
      </c>
      <c r="F990" s="43">
        <f>'Raw Data'!F992+Bill!$P$2</f>
        <v>25</v>
      </c>
      <c r="G990" s="43">
        <f>'Raw Data'!E992+Bill!$Q$2</f>
        <v>50</v>
      </c>
      <c r="H990" s="43">
        <f>('Raw Data'!F992+Bill!$R$2)</f>
        <v>20</v>
      </c>
      <c r="I990" s="36">
        <f>'Raw Data'!G992/100</f>
        <v>0</v>
      </c>
      <c r="K990" s="37">
        <f>Bill!$Y990</f>
        <v>46548</v>
      </c>
      <c r="L990" s="38">
        <f>Bill!$AA990*('Raw Data'!$E992+$L$2)</f>
        <v>0</v>
      </c>
      <c r="M990" s="38">
        <f>Bill!$AB990*('Raw Data'!$E992+$M$2)</f>
        <v>0</v>
      </c>
      <c r="N990" s="38">
        <f>(('Raw Data'!$F992 * 2)-10)*Bill!$AC990</f>
        <v>0</v>
      </c>
      <c r="O990" s="38">
        <f>('Raw Data'!F992+Bill!$O$2)*Bill!$AD990</f>
        <v>0</v>
      </c>
      <c r="P990" s="38">
        <f>('Raw Data'!F992+Bill!$P$2)*Bill!$AE990</f>
        <v>0</v>
      </c>
      <c r="Q990" s="38">
        <f>Bill!$Z990*('Raw Data'!$E992+$Q$2)</f>
        <v>0</v>
      </c>
      <c r="R990" s="38">
        <f>('Raw Data'!F992+Bill!$R$2)*Bill!$AF990</f>
        <v>0</v>
      </c>
      <c r="S990" s="48">
        <f>('Raw Data'!G992/100)*Bill!$AG990</f>
        <v>0</v>
      </c>
      <c r="T990" s="38">
        <f>SUM(Bill!$L990:$R990)</f>
        <v>0</v>
      </c>
      <c r="U990" s="53"/>
      <c r="V990" s="50"/>
      <c r="W990" s="38">
        <f>Bill!$U990-Bill!$T990</f>
        <v>0</v>
      </c>
      <c r="Y990" s="37">
        <f>'Raw Data'!D992</f>
        <v>46548</v>
      </c>
      <c r="Z990" s="47">
        <v>0.0</v>
      </c>
      <c r="AA990" s="47"/>
      <c r="AB990" s="47"/>
      <c r="AC990" s="47"/>
      <c r="AD990" s="47"/>
      <c r="AE990" s="47"/>
      <c r="AF990" s="47"/>
      <c r="AG990" s="47"/>
    </row>
    <row r="991" ht="15.75" customHeight="1">
      <c r="A991" s="35">
        <f>Bill!$Y991</f>
        <v>46549</v>
      </c>
      <c r="B991" s="43">
        <f>'Raw Data'!E993+Bill!$L$2</f>
        <v>20</v>
      </c>
      <c r="C991" s="43">
        <f>'Raw Data'!E993+Bill!$M$2</f>
        <v>25</v>
      </c>
      <c r="D991" s="43">
        <f>('Raw Data'!$F993*2)-10</f>
        <v>-10</v>
      </c>
      <c r="E991" s="43">
        <f>'Raw Data'!F993+Bill!$O$2</f>
        <v>20</v>
      </c>
      <c r="F991" s="43">
        <f>'Raw Data'!F993+Bill!$P$2</f>
        <v>25</v>
      </c>
      <c r="G991" s="43">
        <f>'Raw Data'!E993+Bill!$Q$2</f>
        <v>50</v>
      </c>
      <c r="H991" s="43">
        <f>('Raw Data'!F993+Bill!$R$2)</f>
        <v>20</v>
      </c>
      <c r="I991" s="36">
        <f>'Raw Data'!G993/100</f>
        <v>0</v>
      </c>
      <c r="K991" s="37">
        <f>Bill!$Y991</f>
        <v>46549</v>
      </c>
      <c r="L991" s="38">
        <f>Bill!$AA991*('Raw Data'!$E993+$L$2)</f>
        <v>0</v>
      </c>
      <c r="M991" s="38">
        <f>Bill!$AB991*('Raw Data'!$E993+$M$2)</f>
        <v>0</v>
      </c>
      <c r="N991" s="38">
        <f>(('Raw Data'!$F993 * 2)-10)*Bill!$AC991</f>
        <v>0</v>
      </c>
      <c r="O991" s="38">
        <f>('Raw Data'!F993+Bill!$O$2)*Bill!$AD991</f>
        <v>0</v>
      </c>
      <c r="P991" s="38">
        <f>('Raw Data'!F993+Bill!$P$2)*Bill!$AE991</f>
        <v>0</v>
      </c>
      <c r="Q991" s="38">
        <f>Bill!$Z991*('Raw Data'!$E993+$Q$2)</f>
        <v>0</v>
      </c>
      <c r="R991" s="38">
        <f>('Raw Data'!F993+Bill!$R$2)*Bill!$AF991</f>
        <v>0</v>
      </c>
      <c r="S991" s="48">
        <f>('Raw Data'!G993/100)*Bill!$AG991</f>
        <v>0</v>
      </c>
      <c r="T991" s="38">
        <f>SUM(Bill!$L991:$R991)</f>
        <v>0</v>
      </c>
      <c r="U991" s="53"/>
      <c r="V991" s="50"/>
      <c r="W991" s="38">
        <f>Bill!$U991-Bill!$T991</f>
        <v>0</v>
      </c>
      <c r="Y991" s="37">
        <f>'Raw Data'!D993</f>
        <v>46549</v>
      </c>
      <c r="Z991" s="47">
        <v>0.0</v>
      </c>
      <c r="AA991" s="47"/>
      <c r="AB991" s="47"/>
      <c r="AC991" s="47"/>
      <c r="AD991" s="47"/>
      <c r="AE991" s="47"/>
      <c r="AF991" s="47"/>
      <c r="AG991" s="47"/>
    </row>
    <row r="992" ht="15.75" customHeight="1">
      <c r="A992" s="35">
        <f>Bill!$Y992</f>
        <v>46550</v>
      </c>
      <c r="B992" s="43">
        <f>'Raw Data'!E994+Bill!$L$2</f>
        <v>20</v>
      </c>
      <c r="C992" s="43">
        <f>'Raw Data'!E994+Bill!$M$2</f>
        <v>25</v>
      </c>
      <c r="D992" s="43">
        <f>('Raw Data'!$F994*2)-10</f>
        <v>-10</v>
      </c>
      <c r="E992" s="43">
        <f>'Raw Data'!F994+Bill!$O$2</f>
        <v>20</v>
      </c>
      <c r="F992" s="43">
        <f>'Raw Data'!F994+Bill!$P$2</f>
        <v>25</v>
      </c>
      <c r="G992" s="43">
        <f>'Raw Data'!E994+Bill!$Q$2</f>
        <v>50</v>
      </c>
      <c r="H992" s="43">
        <f>('Raw Data'!F994+Bill!$R$2)</f>
        <v>20</v>
      </c>
      <c r="I992" s="36">
        <f>'Raw Data'!G994/100</f>
        <v>0</v>
      </c>
      <c r="K992" s="37">
        <f>Bill!$Y992</f>
        <v>46550</v>
      </c>
      <c r="L992" s="38">
        <f>Bill!$AA992*('Raw Data'!$E994+$L$2)</f>
        <v>0</v>
      </c>
      <c r="M992" s="38">
        <f>Bill!$AB992*('Raw Data'!$E994+$M$2)</f>
        <v>0</v>
      </c>
      <c r="N992" s="38">
        <f>(('Raw Data'!$F994 * 2)-10)*Bill!$AC992</f>
        <v>0</v>
      </c>
      <c r="O992" s="38">
        <f>('Raw Data'!F994+Bill!$O$2)*Bill!$AD992</f>
        <v>0</v>
      </c>
      <c r="P992" s="38">
        <f>('Raw Data'!F994+Bill!$P$2)*Bill!$AE992</f>
        <v>0</v>
      </c>
      <c r="Q992" s="38">
        <f>Bill!$Z992*('Raw Data'!$E994+$Q$2)</f>
        <v>0</v>
      </c>
      <c r="R992" s="38">
        <f>('Raw Data'!F994+Bill!$R$2)*Bill!$AF992</f>
        <v>0</v>
      </c>
      <c r="S992" s="48">
        <f>('Raw Data'!G994/100)*Bill!$AG992</f>
        <v>0</v>
      </c>
      <c r="T992" s="38">
        <f>SUM(Bill!$L992:$R992)</f>
        <v>0</v>
      </c>
      <c r="U992" s="53"/>
      <c r="V992" s="50"/>
      <c r="W992" s="38">
        <f>Bill!$U992-Bill!$T992</f>
        <v>0</v>
      </c>
      <c r="Y992" s="37">
        <f>'Raw Data'!D994</f>
        <v>46550</v>
      </c>
      <c r="Z992" s="47">
        <v>0.0</v>
      </c>
      <c r="AA992" s="47"/>
      <c r="AB992" s="47"/>
      <c r="AC992" s="47"/>
      <c r="AD992" s="47"/>
      <c r="AE992" s="47"/>
      <c r="AF992" s="47"/>
      <c r="AG992" s="47"/>
    </row>
    <row r="993" ht="15.75" customHeight="1">
      <c r="A993" s="35">
        <f>Bill!$Y993</f>
        <v>46551</v>
      </c>
      <c r="B993" s="43">
        <f>'Raw Data'!E995+Bill!$L$2</f>
        <v>20</v>
      </c>
      <c r="C993" s="43">
        <f>'Raw Data'!E995+Bill!$M$2</f>
        <v>25</v>
      </c>
      <c r="D993" s="43">
        <f>('Raw Data'!$F995*2)-10</f>
        <v>-10</v>
      </c>
      <c r="E993" s="43">
        <f>'Raw Data'!F995+Bill!$O$2</f>
        <v>20</v>
      </c>
      <c r="F993" s="43">
        <f>'Raw Data'!F995+Bill!$P$2</f>
        <v>25</v>
      </c>
      <c r="G993" s="43">
        <f>'Raw Data'!E995+Bill!$Q$2</f>
        <v>50</v>
      </c>
      <c r="H993" s="43">
        <f>('Raw Data'!F995+Bill!$R$2)</f>
        <v>20</v>
      </c>
      <c r="I993" s="36">
        <f>'Raw Data'!G995/100</f>
        <v>0</v>
      </c>
      <c r="K993" s="37">
        <f>Bill!$Y993</f>
        <v>46551</v>
      </c>
      <c r="L993" s="38">
        <f>Bill!$AA993*('Raw Data'!$E995+$L$2)</f>
        <v>0</v>
      </c>
      <c r="M993" s="38">
        <f>Bill!$AB993*('Raw Data'!$E995+$M$2)</f>
        <v>0</v>
      </c>
      <c r="N993" s="38">
        <f>(('Raw Data'!$F995 * 2)-10)*Bill!$AC993</f>
        <v>0</v>
      </c>
      <c r="O993" s="38">
        <f>('Raw Data'!F995+Bill!$O$2)*Bill!$AD993</f>
        <v>0</v>
      </c>
      <c r="P993" s="38">
        <f>('Raw Data'!F995+Bill!$P$2)*Bill!$AE993</f>
        <v>0</v>
      </c>
      <c r="Q993" s="38">
        <f>Bill!$Z993*('Raw Data'!$E995+$Q$2)</f>
        <v>0</v>
      </c>
      <c r="R993" s="38">
        <f>('Raw Data'!F995+Bill!$R$2)*Bill!$AF993</f>
        <v>0</v>
      </c>
      <c r="S993" s="48">
        <f>('Raw Data'!G995/100)*Bill!$AG993</f>
        <v>0</v>
      </c>
      <c r="T993" s="38">
        <f>SUM(Bill!$L993:$R993)</f>
        <v>0</v>
      </c>
      <c r="U993" s="53"/>
      <c r="V993" s="50"/>
      <c r="W993" s="38">
        <f>Bill!$U993-Bill!$T993</f>
        <v>0</v>
      </c>
      <c r="Y993" s="37">
        <f>'Raw Data'!D995</f>
        <v>46551</v>
      </c>
      <c r="Z993" s="47">
        <v>0.0</v>
      </c>
      <c r="AA993" s="47"/>
      <c r="AB993" s="47"/>
      <c r="AC993" s="47"/>
      <c r="AD993" s="47"/>
      <c r="AE993" s="47"/>
      <c r="AF993" s="47"/>
      <c r="AG993" s="47"/>
    </row>
    <row r="994" ht="15.75" customHeight="1">
      <c r="A994" s="35">
        <f>Bill!$Y994</f>
        <v>46552</v>
      </c>
      <c r="B994" s="43">
        <f>'Raw Data'!E996+Bill!$L$2</f>
        <v>20</v>
      </c>
      <c r="C994" s="43">
        <f>'Raw Data'!E996+Bill!$M$2</f>
        <v>25</v>
      </c>
      <c r="D994" s="43">
        <f>('Raw Data'!$F996*2)-10</f>
        <v>-10</v>
      </c>
      <c r="E994" s="43">
        <f>'Raw Data'!F996+Bill!$O$2</f>
        <v>20</v>
      </c>
      <c r="F994" s="43">
        <f>'Raw Data'!F996+Bill!$P$2</f>
        <v>25</v>
      </c>
      <c r="G994" s="43">
        <f>'Raw Data'!E996+Bill!$Q$2</f>
        <v>50</v>
      </c>
      <c r="H994" s="43">
        <f>('Raw Data'!F996+Bill!$R$2)</f>
        <v>20</v>
      </c>
      <c r="I994" s="36">
        <f>'Raw Data'!G996/100</f>
        <v>0</v>
      </c>
      <c r="K994" s="37">
        <f>Bill!$Y994</f>
        <v>46552</v>
      </c>
      <c r="L994" s="38">
        <f>Bill!$AA994*('Raw Data'!$E996+$L$2)</f>
        <v>0</v>
      </c>
      <c r="M994" s="38">
        <f>Bill!$AB994*('Raw Data'!$E996+$M$2)</f>
        <v>0</v>
      </c>
      <c r="N994" s="38">
        <f>(('Raw Data'!$F996 * 2)-10)*Bill!$AC994</f>
        <v>0</v>
      </c>
      <c r="O994" s="38">
        <f>('Raw Data'!F996+Bill!$O$2)*Bill!$AD994</f>
        <v>0</v>
      </c>
      <c r="P994" s="38">
        <f>('Raw Data'!F996+Bill!$P$2)*Bill!$AE994</f>
        <v>0</v>
      </c>
      <c r="Q994" s="38">
        <f>Bill!$Z994*('Raw Data'!$E996+$Q$2)</f>
        <v>0</v>
      </c>
      <c r="R994" s="38">
        <f>('Raw Data'!F996+Bill!$R$2)*Bill!$AF994</f>
        <v>0</v>
      </c>
      <c r="S994" s="48">
        <f>('Raw Data'!G996/100)*Bill!$AG994</f>
        <v>0</v>
      </c>
      <c r="T994" s="38">
        <f>SUM(Bill!$L994:$R994)</f>
        <v>0</v>
      </c>
      <c r="U994" s="53"/>
      <c r="V994" s="50"/>
      <c r="W994" s="38">
        <f>Bill!$U994-Bill!$T994</f>
        <v>0</v>
      </c>
      <c r="Y994" s="37">
        <f>'Raw Data'!D996</f>
        <v>46552</v>
      </c>
      <c r="Z994" s="47">
        <v>0.0</v>
      </c>
      <c r="AA994" s="47"/>
      <c r="AB994" s="47"/>
      <c r="AC994" s="47"/>
      <c r="AD994" s="47"/>
      <c r="AE994" s="47"/>
      <c r="AF994" s="47"/>
      <c r="AG994" s="47"/>
    </row>
    <row r="995" ht="15.75" customHeight="1">
      <c r="A995" s="35">
        <f>Bill!$Y995</f>
        <v>46553</v>
      </c>
      <c r="B995" s="43">
        <f>'Raw Data'!E997+Bill!$L$2</f>
        <v>20</v>
      </c>
      <c r="C995" s="43">
        <f>'Raw Data'!E997+Bill!$M$2</f>
        <v>25</v>
      </c>
      <c r="D995" s="43">
        <f>('Raw Data'!$F997*2)-10</f>
        <v>-10</v>
      </c>
      <c r="E995" s="43">
        <f>'Raw Data'!F997+Bill!$O$2</f>
        <v>20</v>
      </c>
      <c r="F995" s="43">
        <f>'Raw Data'!F997+Bill!$P$2</f>
        <v>25</v>
      </c>
      <c r="G995" s="43">
        <f>'Raw Data'!E997+Bill!$Q$2</f>
        <v>50</v>
      </c>
      <c r="H995" s="43">
        <f>('Raw Data'!F997+Bill!$R$2)</f>
        <v>20</v>
      </c>
      <c r="I995" s="36">
        <f>'Raw Data'!G997/100</f>
        <v>0</v>
      </c>
      <c r="K995" s="37">
        <f>Bill!$Y995</f>
        <v>46553</v>
      </c>
      <c r="L995" s="38">
        <f>Bill!$AA995*('Raw Data'!$E997+$L$2)</f>
        <v>0</v>
      </c>
      <c r="M995" s="38">
        <f>Bill!$AB995*('Raw Data'!$E997+$M$2)</f>
        <v>0</v>
      </c>
      <c r="N995" s="38">
        <f>(('Raw Data'!$F997 * 2)-10)*Bill!$AC995</f>
        <v>0</v>
      </c>
      <c r="O995" s="38">
        <f>('Raw Data'!F997+Bill!$O$2)*Bill!$AD995</f>
        <v>0</v>
      </c>
      <c r="P995" s="38">
        <f>('Raw Data'!F997+Bill!$P$2)*Bill!$AE995</f>
        <v>0</v>
      </c>
      <c r="Q995" s="38">
        <f>Bill!$Z995*('Raw Data'!$E997+$Q$2)</f>
        <v>0</v>
      </c>
      <c r="R995" s="38">
        <f>('Raw Data'!F997+Bill!$R$2)*Bill!$AF995</f>
        <v>0</v>
      </c>
      <c r="S995" s="48">
        <f>('Raw Data'!G997/100)*Bill!$AG995</f>
        <v>0</v>
      </c>
      <c r="T995" s="38">
        <f>SUM(Bill!$L995:$R995)</f>
        <v>0</v>
      </c>
      <c r="U995" s="53"/>
      <c r="V995" s="50"/>
      <c r="W995" s="38">
        <f>Bill!$U995-Bill!$T995</f>
        <v>0</v>
      </c>
      <c r="Y995" s="37">
        <f>'Raw Data'!D997</f>
        <v>46553</v>
      </c>
      <c r="Z995" s="47">
        <v>0.0</v>
      </c>
      <c r="AA995" s="47"/>
      <c r="AB995" s="47"/>
      <c r="AC995" s="47"/>
      <c r="AD995" s="47"/>
      <c r="AE995" s="47"/>
      <c r="AF995" s="47"/>
      <c r="AG995" s="47"/>
    </row>
    <row r="996" ht="15.75" customHeight="1">
      <c r="A996" s="35">
        <f>Bill!$Y996</f>
        <v>46554</v>
      </c>
      <c r="B996" s="43">
        <f>'Raw Data'!E998+Bill!$L$2</f>
        <v>20</v>
      </c>
      <c r="C996" s="43">
        <f>'Raw Data'!E998+Bill!$M$2</f>
        <v>25</v>
      </c>
      <c r="D996" s="43">
        <f>('Raw Data'!$F998*2)-10</f>
        <v>-10</v>
      </c>
      <c r="E996" s="43">
        <f>'Raw Data'!F998+Bill!$O$2</f>
        <v>20</v>
      </c>
      <c r="F996" s="43">
        <f>'Raw Data'!F998+Bill!$P$2</f>
        <v>25</v>
      </c>
      <c r="G996" s="43">
        <f>'Raw Data'!E998+Bill!$Q$2</f>
        <v>50</v>
      </c>
      <c r="H996" s="43">
        <f>('Raw Data'!F998+Bill!$R$2)</f>
        <v>20</v>
      </c>
      <c r="I996" s="36">
        <f>'Raw Data'!G998/100</f>
        <v>0</v>
      </c>
      <c r="K996" s="37">
        <f>Bill!$Y996</f>
        <v>46554</v>
      </c>
      <c r="L996" s="38">
        <f>Bill!$AA996*('Raw Data'!$E998+$L$2)</f>
        <v>0</v>
      </c>
      <c r="M996" s="38">
        <f>Bill!$AB996*('Raw Data'!$E998+$M$2)</f>
        <v>0</v>
      </c>
      <c r="N996" s="38">
        <f>(('Raw Data'!$F998 * 2)-10)*Bill!$AC996</f>
        <v>0</v>
      </c>
      <c r="O996" s="38">
        <f>('Raw Data'!F998+Bill!$O$2)*Bill!$AD996</f>
        <v>0</v>
      </c>
      <c r="P996" s="38">
        <f>('Raw Data'!F998+Bill!$P$2)*Bill!$AE996</f>
        <v>0</v>
      </c>
      <c r="Q996" s="38">
        <f>Bill!$Z996*('Raw Data'!$E998+$Q$2)</f>
        <v>0</v>
      </c>
      <c r="R996" s="38">
        <f>('Raw Data'!F998+Bill!$R$2)*Bill!$AF996</f>
        <v>0</v>
      </c>
      <c r="S996" s="48">
        <f>('Raw Data'!G998/100)*Bill!$AG996</f>
        <v>0</v>
      </c>
      <c r="T996" s="38">
        <f>SUM(Bill!$L996:$R996)</f>
        <v>0</v>
      </c>
      <c r="U996" s="53"/>
      <c r="V996" s="50"/>
      <c r="W996" s="38">
        <f>Bill!$U996-Bill!$T996</f>
        <v>0</v>
      </c>
      <c r="Y996" s="37">
        <f>'Raw Data'!D998</f>
        <v>46554</v>
      </c>
      <c r="Z996" s="47">
        <v>0.0</v>
      </c>
      <c r="AA996" s="47"/>
      <c r="AB996" s="47"/>
      <c r="AC996" s="47"/>
      <c r="AD996" s="47"/>
      <c r="AE996" s="47"/>
      <c r="AF996" s="47"/>
      <c r="AG996" s="47"/>
    </row>
    <row r="997" ht="15.75" customHeight="1">
      <c r="A997" s="35">
        <f>Bill!$Y997</f>
        <v>46555</v>
      </c>
      <c r="B997" s="43">
        <f>'Raw Data'!E999+Bill!$L$2</f>
        <v>20</v>
      </c>
      <c r="C997" s="43">
        <f>'Raw Data'!E999+Bill!$M$2</f>
        <v>25</v>
      </c>
      <c r="D997" s="43">
        <f>('Raw Data'!$F999*2)-10</f>
        <v>-10</v>
      </c>
      <c r="E997" s="43">
        <f>'Raw Data'!F999+Bill!$O$2</f>
        <v>20</v>
      </c>
      <c r="F997" s="43">
        <f>'Raw Data'!F999+Bill!$P$2</f>
        <v>25</v>
      </c>
      <c r="G997" s="43">
        <f>'Raw Data'!E999+Bill!$Q$2</f>
        <v>50</v>
      </c>
      <c r="H997" s="43">
        <f>('Raw Data'!F999+Bill!$R$2)</f>
        <v>20</v>
      </c>
      <c r="I997" s="36">
        <f>'Raw Data'!G999/100</f>
        <v>0</v>
      </c>
      <c r="K997" s="37">
        <f>Bill!$Y997</f>
        <v>46555</v>
      </c>
      <c r="L997" s="38">
        <f>Bill!$AA997*('Raw Data'!$E999+$L$2)</f>
        <v>0</v>
      </c>
      <c r="M997" s="38">
        <f>Bill!$AB997*('Raw Data'!$E999+$M$2)</f>
        <v>0</v>
      </c>
      <c r="N997" s="38">
        <f>(('Raw Data'!$F999 * 2)-10)*Bill!$AC997</f>
        <v>0</v>
      </c>
      <c r="O997" s="38">
        <f>('Raw Data'!F999+Bill!$O$2)*Bill!$AD997</f>
        <v>0</v>
      </c>
      <c r="P997" s="38">
        <f>('Raw Data'!F999+Bill!$P$2)*Bill!$AE997</f>
        <v>0</v>
      </c>
      <c r="Q997" s="38">
        <f>Bill!$Z997*('Raw Data'!$E999+$Q$2)</f>
        <v>0</v>
      </c>
      <c r="R997" s="38">
        <f>('Raw Data'!F999+Bill!$R$2)*Bill!$AF997</f>
        <v>0</v>
      </c>
      <c r="S997" s="48">
        <f>('Raw Data'!G999/100)*Bill!$AG997</f>
        <v>0</v>
      </c>
      <c r="T997" s="38">
        <f>SUM(Bill!$L997:$R997)</f>
        <v>0</v>
      </c>
      <c r="U997" s="53"/>
      <c r="V997" s="50"/>
      <c r="W997" s="38">
        <f>Bill!$U997-Bill!$T997</f>
        <v>0</v>
      </c>
      <c r="Y997" s="37">
        <f>'Raw Data'!D999</f>
        <v>46555</v>
      </c>
      <c r="Z997" s="47">
        <v>0.0</v>
      </c>
      <c r="AA997" s="47"/>
      <c r="AB997" s="47"/>
      <c r="AC997" s="47"/>
      <c r="AD997" s="47"/>
      <c r="AE997" s="47"/>
      <c r="AF997" s="47"/>
      <c r="AG997" s="47"/>
    </row>
    <row r="998" ht="15.75" customHeight="1">
      <c r="A998" s="35">
        <f>Bill!$Y998</f>
        <v>46556</v>
      </c>
      <c r="B998" s="43">
        <f>'Raw Data'!E1000+Bill!$L$2</f>
        <v>20</v>
      </c>
      <c r="C998" s="43">
        <f>'Raw Data'!E1000+Bill!$M$2</f>
        <v>25</v>
      </c>
      <c r="D998" s="43">
        <f>('Raw Data'!$F1000*2)-10</f>
        <v>-10</v>
      </c>
      <c r="E998" s="43">
        <f>'Raw Data'!F1000+Bill!$O$2</f>
        <v>20</v>
      </c>
      <c r="F998" s="43">
        <f>'Raw Data'!F1000+Bill!$P$2</f>
        <v>25</v>
      </c>
      <c r="G998" s="43">
        <f>'Raw Data'!E1000+Bill!$Q$2</f>
        <v>50</v>
      </c>
      <c r="H998" s="43">
        <f>('Raw Data'!F1000+Bill!$R$2)</f>
        <v>20</v>
      </c>
      <c r="I998" s="36">
        <f>'Raw Data'!G1000/100</f>
        <v>0</v>
      </c>
      <c r="K998" s="37">
        <f>Bill!$Y998</f>
        <v>46556</v>
      </c>
      <c r="L998" s="38">
        <f>Bill!$AA998*('Raw Data'!$E1000+$L$2)</f>
        <v>0</v>
      </c>
      <c r="M998" s="38">
        <f>Bill!$AB998*('Raw Data'!$E1000+$M$2)</f>
        <v>0</v>
      </c>
      <c r="N998" s="38">
        <f>(('Raw Data'!$F1000 * 2)-10)*Bill!$AC998</f>
        <v>0</v>
      </c>
      <c r="O998" s="38">
        <f>('Raw Data'!F1000+Bill!$O$2)*Bill!$AD998</f>
        <v>0</v>
      </c>
      <c r="P998" s="38">
        <f>('Raw Data'!F1000+Bill!$P$2)*Bill!$AE998</f>
        <v>0</v>
      </c>
      <c r="Q998" s="38">
        <f>Bill!$Z998*('Raw Data'!$E1000+$Q$2)</f>
        <v>0</v>
      </c>
      <c r="R998" s="38">
        <f>('Raw Data'!F1000+Bill!$R$2)*Bill!$AF998</f>
        <v>0</v>
      </c>
      <c r="S998" s="48">
        <f>('Raw Data'!G1000/100)*Bill!$AG998</f>
        <v>0</v>
      </c>
      <c r="T998" s="38">
        <f>SUM(Bill!$L998:$R998)</f>
        <v>0</v>
      </c>
      <c r="U998" s="53"/>
      <c r="V998" s="50"/>
      <c r="W998" s="38">
        <f>Bill!$U998-Bill!$T998</f>
        <v>0</v>
      </c>
      <c r="Y998" s="37">
        <f>'Raw Data'!D1000</f>
        <v>46556</v>
      </c>
      <c r="Z998" s="47">
        <v>0.0</v>
      </c>
      <c r="AA998" s="47"/>
      <c r="AB998" s="47"/>
      <c r="AC998" s="47"/>
      <c r="AD998" s="47"/>
      <c r="AE998" s="47"/>
      <c r="AF998" s="47"/>
      <c r="AG998" s="47"/>
    </row>
    <row r="999" ht="15.75" customHeight="1">
      <c r="A999" s="35" t="str">
        <f>Bill!$Y999</f>
        <v/>
      </c>
      <c r="B999" s="43"/>
      <c r="C999" s="43"/>
      <c r="D999" s="43"/>
      <c r="E999" s="43"/>
      <c r="F999" s="43"/>
      <c r="G999" s="43"/>
      <c r="H999" s="43"/>
      <c r="I999" s="36">
        <f>'Raw Data'!G1001/100</f>
        <v>0</v>
      </c>
      <c r="K999" s="37" t="str">
        <f>Bill!$Y999</f>
        <v/>
      </c>
      <c r="L999" s="38"/>
      <c r="M999" s="38"/>
      <c r="N999" s="52"/>
      <c r="O999" s="38"/>
      <c r="P999" s="38"/>
      <c r="Q999" s="38"/>
      <c r="R999" s="38"/>
      <c r="S999" s="48"/>
      <c r="T999" s="38"/>
      <c r="U999" s="53"/>
      <c r="V999" s="50"/>
      <c r="W999" s="38"/>
      <c r="Y999" s="37" t="str">
        <f>'Raw Data'!D1001</f>
        <v/>
      </c>
      <c r="Z999" s="47"/>
      <c r="AA999" s="47"/>
      <c r="AB999" s="47"/>
      <c r="AC999" s="47"/>
      <c r="AD999" s="47"/>
      <c r="AE999" s="47"/>
      <c r="AF999" s="47"/>
      <c r="AG999" s="47"/>
    </row>
    <row r="1000" ht="15.75" customHeight="1">
      <c r="A1000" s="35" t="str">
        <f>Bill!$Y1000</f>
        <v/>
      </c>
      <c r="B1000" s="43"/>
      <c r="C1000" s="43"/>
      <c r="D1000" s="43"/>
      <c r="E1000" s="43"/>
      <c r="F1000" s="43"/>
      <c r="G1000" s="43"/>
      <c r="H1000" s="43"/>
      <c r="I1000" s="36">
        <f>'Raw Data'!G1002/100</f>
        <v>0</v>
      </c>
      <c r="K1000" s="37" t="str">
        <f>Bill!$Y1000</f>
        <v/>
      </c>
      <c r="L1000" s="38"/>
      <c r="M1000" s="38"/>
      <c r="N1000" s="52"/>
      <c r="O1000" s="38"/>
      <c r="P1000" s="38"/>
      <c r="Q1000" s="38"/>
      <c r="R1000" s="38"/>
      <c r="S1000" s="48"/>
      <c r="T1000" s="38"/>
      <c r="U1000" s="53"/>
      <c r="V1000" s="50"/>
      <c r="W1000" s="38"/>
      <c r="Y1000" s="37" t="str">
        <f>'Raw Data'!D1002</f>
        <v/>
      </c>
      <c r="Z1000" s="47"/>
      <c r="AA1000" s="47"/>
      <c r="AB1000" s="47"/>
      <c r="AC1000" s="47"/>
      <c r="AD1000" s="47"/>
      <c r="AE1000" s="47"/>
      <c r="AF1000" s="47"/>
      <c r="AG1000" s="47"/>
    </row>
  </sheetData>
  <mergeCells count="2">
    <mergeCell ref="K4:T4"/>
    <mergeCell ref="Y4:AG4"/>
  </mergeCells>
  <conditionalFormatting sqref="B10">
    <cfRule type="cellIs" dxfId="4" priority="1" operator="lessThan">
      <formula>50</formula>
    </cfRule>
  </conditionalFormatting>
  <conditionalFormatting sqref="B12:F12 B14:F14">
    <cfRule type="cellIs" dxfId="4" priority="2" operator="lessThan">
      <formula>50</formula>
    </cfRule>
  </conditionalFormatting>
  <conditionalFormatting sqref="B6:H6 B8:H8 B10:H10 B12:H12 B14:H14">
    <cfRule type="cellIs" dxfId="4" priority="3" operator="lessThan">
      <formula>50</formula>
    </cfRule>
  </conditionalFormatting>
  <conditionalFormatting sqref="T6:T1000">
    <cfRule type="colorScale" priority="4">
      <colorScale>
        <cfvo type="min"/>
        <cfvo type="percent" val="50"/>
        <cfvo type="max"/>
        <color rgb="FFB7B7B7"/>
        <color rgb="FF666666"/>
        <color rgb="FFFF0000"/>
      </colorScale>
    </cfRule>
  </conditionalFormatting>
  <conditionalFormatting sqref="L6:R1000">
    <cfRule type="colorScale" priority="5">
      <colorScale>
        <cfvo type="min"/>
        <cfvo type="percentile" val="50"/>
        <cfvo type="max"/>
        <color rgb="FFF3F3F3"/>
        <color rgb="FFB7B7B7"/>
        <color rgb="FFFF0000"/>
      </colorScale>
    </cfRule>
  </conditionalFormatting>
  <printOptions/>
  <pageMargins bottom="0.75" footer="0.0" header="0.0" left="0.7" right="0.7" top="0.75"/>
  <pageSetup orientation="portrait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